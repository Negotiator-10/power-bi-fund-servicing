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und Master" sheetId="2" state="visible" r:id="rId2"/>
    <sheet xmlns:r="http://schemas.openxmlformats.org/officeDocument/2006/relationships" name="Capital Activity" sheetId="3" state="visible" r:id="rId3"/>
    <sheet xmlns:r="http://schemas.openxmlformats.org/officeDocument/2006/relationships" name="NAV Engine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595959"/>
      <sz val="10"/>
    </font>
    <font>
      <name val="Arial"/>
      <b val="1"/>
      <color rgb="001F3864"/>
      <sz val="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4" fontId="3" fillId="0" borderId="1" pivotButton="0" quotePrefix="0" xfId="0"/>
    <xf numFmtId="3" fontId="6" fillId="0" borderId="1" pivotButton="0" quotePrefix="0" xfId="0"/>
    <xf numFmtId="165" fontId="3" fillId="0" borderId="1" pivotButton="0" quotePrefix="0" xfId="0"/>
    <xf numFmtId="10" fontId="3" fillId="0" borderId="1" pivotButton="0" quotePrefix="0" xfId="0"/>
    <xf numFmtId="3" fontId="3" fillId="0" borderId="1" pivotButton="0" quotePrefix="0" xfId="0"/>
    <xf numFmtId="0" fontId="7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0" fontId="5" fillId="2" borderId="0" applyAlignment="1" pivotButton="0" quotePrefix="0" xfId="0">
      <alignment horizontal="center"/>
    </xf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Assets by Fund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'Dashboard'!$D$10:$D$15</f>
            </numRef>
          </cat>
          <val>
            <numRef>
              <f>'Dashboard'!$E$10:$E$15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" t="inlineStr">
        <is>
          <t>NAV Oversight &amp; Fund Accounting Pack</t>
        </is>
      </c>
    </row>
    <row r="2">
      <c r="A2" s="2" t="inlineStr">
        <is>
          <t>Daily NAV production oversight and exception monitoring across a fund range</t>
        </is>
      </c>
    </row>
    <row r="4">
      <c r="A4" s="3" t="inlineStr"/>
      <c r="B4" s="3" t="inlineStr"/>
    </row>
    <row r="5">
      <c r="A5" s="4" t="inlineStr">
        <is>
          <t>PURPOSE</t>
        </is>
      </c>
      <c r="B5" s="3" t="inlineStr"/>
    </row>
    <row r="6">
      <c r="A6" s="3" t="inlineStr">
        <is>
          <t>This model reproduces the daily NAV oversight cycle an asset-servicing team runs:</t>
        </is>
      </c>
      <c r="B6" s="3" t="inlineStr"/>
    </row>
    <row r="7">
      <c r="A7" s="3" t="inlineStr">
        <is>
          <t>it recomputes each fund's NAV from raw accounting inputs and flags any strike that</t>
        </is>
      </c>
      <c r="B7" s="3" t="inlineStr"/>
    </row>
    <row r="8">
      <c r="A8" s="3" t="inlineStr">
        <is>
          <t>breaches tolerance or fails a data-quality check before the NAV is released.</t>
        </is>
      </c>
      <c r="B8" s="3" t="inlineStr"/>
    </row>
    <row r="9">
      <c r="A9" s="3" t="inlineStr"/>
      <c r="B9" s="3" t="inlineStr"/>
    </row>
    <row r="10">
      <c r="A10" s="4" t="inlineStr">
        <is>
          <t>SHEETS</t>
        </is>
      </c>
      <c r="B10" s="3" t="inlineStr"/>
    </row>
    <row r="11">
      <c r="A11" s="3" t="inlineStr">
        <is>
          <t>Fund Master</t>
        </is>
      </c>
      <c r="B11" s="3" t="inlineStr">
        <is>
          <t>Reference data: fund codes, strategy, base currency, NAV tolerance (bps).</t>
        </is>
      </c>
    </row>
    <row r="12">
      <c r="A12" s="3" t="inlineStr">
        <is>
          <t>Capital Activity</t>
        </is>
      </c>
      <c r="B12" s="3" t="inlineStr">
        <is>
          <t>Daily subscriptions and redemptions per fund.</t>
        </is>
      </c>
    </row>
    <row r="13">
      <c r="A13" s="3" t="inlineStr">
        <is>
          <t>NAV Engine</t>
        </is>
      </c>
      <c r="B13" s="3" t="inlineStr">
        <is>
          <t>Core model. Recomputes NAV per share and runs the exception checks.</t>
        </is>
      </c>
    </row>
    <row r="14">
      <c r="A14" s="3" t="inlineStr">
        <is>
          <t>Dashboard</t>
        </is>
      </c>
      <c r="B14" s="3" t="inlineStr">
        <is>
          <t>KPI summary and exception counts by type and by fund.</t>
        </is>
      </c>
    </row>
    <row r="15">
      <c r="A15" s="3" t="inlineStr"/>
      <c r="B15" s="3" t="inlineStr"/>
    </row>
    <row r="16">
      <c r="A16" s="4" t="inlineStr">
        <is>
          <t>COLOUR KEY</t>
        </is>
      </c>
      <c r="B16" s="3" t="inlineStr"/>
    </row>
    <row r="17">
      <c r="A17" s="3" t="inlineStr">
        <is>
          <t>Blue text</t>
        </is>
      </c>
      <c r="B17" s="3" t="inlineStr">
        <is>
          <t>Raw input, sourced from the fund accounting / custody feed.</t>
        </is>
      </c>
    </row>
    <row r="18">
      <c r="A18" s="3" t="inlineStr">
        <is>
          <t>Black text</t>
        </is>
      </c>
      <c r="B18" s="3" t="inlineStr">
        <is>
          <t>Formula, computed by the model. Do not overwrite.</t>
        </is>
      </c>
    </row>
    <row r="19">
      <c r="A19" s="3" t="inlineStr"/>
      <c r="B19" s="3" t="inlineStr"/>
    </row>
    <row r="20">
      <c r="A20" s="4" t="inlineStr">
        <is>
          <t>EXCEPTION CHECKS</t>
        </is>
      </c>
      <c r="B20" s="3" t="inlineStr"/>
    </row>
    <row r="21">
      <c r="A21" s="3" t="inlineStr">
        <is>
          <t>NAV MOVE BREACH</t>
        </is>
      </c>
      <c r="B21" s="3" t="inlineStr">
        <is>
          <t>Day-over-day NAV per share move exceeds the fund's tolerance (bps).</t>
        </is>
      </c>
    </row>
    <row r="22">
      <c r="A22" s="3" t="inlineStr">
        <is>
          <t>STALE PRICE</t>
        </is>
      </c>
      <c r="B22" s="3" t="inlineStr">
        <is>
          <t>Investments market value identical to prior day (non money-market).</t>
        </is>
      </c>
    </row>
    <row r="23">
      <c r="A23" s="3" t="inlineStr">
        <is>
          <t>NEGATIVE CASH</t>
        </is>
      </c>
      <c r="B23" s="3" t="inlineStr">
        <is>
          <t>Cash balance is negative (overdrawn account).</t>
        </is>
      </c>
    </row>
    <row r="24">
      <c r="A24" s="3" t="inlineStr">
        <is>
          <t>LARGE FLOW</t>
        </is>
      </c>
      <c r="B24" s="3" t="inlineStr">
        <is>
          <t>Net subscription/redemption exceeds 5% of net assets.</t>
        </is>
      </c>
    </row>
    <row r="25">
      <c r="A25" s="3" t="inlineStr"/>
      <c r="B25" s="3" t="inlineStr"/>
    </row>
    <row r="26">
      <c r="A26" s="4" t="inlineStr">
        <is>
          <t>NOTE</t>
        </is>
      </c>
      <c r="B26" s="3" t="inlineStr">
        <is>
          <t>All figures are synthetic and generated for portfolio demonstration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3" customWidth="1" min="4" max="4"/>
    <col width="15" customWidth="1" min="5" max="5"/>
    <col width="16" customWidth="1" min="6" max="6"/>
    <col width="14" customWidth="1" min="7" max="7"/>
  </cols>
  <sheetData>
    <row r="1">
      <c r="A1" s="5" t="inlineStr">
        <is>
          <t>FundCode</t>
        </is>
      </c>
      <c r="B1" s="5" t="inlineStr">
        <is>
          <t>FundName</t>
        </is>
      </c>
      <c r="C1" s="5" t="inlineStr">
        <is>
          <t>Strategy</t>
        </is>
      </c>
      <c r="D1" s="5" t="inlineStr">
        <is>
          <t>BaseCurrency</t>
        </is>
      </c>
      <c r="E1" s="5" t="inlineStr">
        <is>
          <t>StrikeFrequency</t>
        </is>
      </c>
      <c r="F1" s="5" t="inlineStr">
        <is>
          <t>NAVToleranceBps</t>
        </is>
      </c>
      <c r="G1" s="5" t="inlineStr">
        <is>
          <t>InceptionDate</t>
        </is>
      </c>
    </row>
    <row r="2">
      <c r="A2" s="6" t="inlineStr">
        <is>
          <t>EQGL</t>
        </is>
      </c>
      <c r="B2" s="6" t="inlineStr">
        <is>
          <t>Global Equity Fund</t>
        </is>
      </c>
      <c r="C2" s="6" t="inlineStr">
        <is>
          <t>Equity</t>
        </is>
      </c>
      <c r="D2" s="6" t="inlineStr">
        <is>
          <t>USD</t>
        </is>
      </c>
      <c r="E2" s="6" t="inlineStr">
        <is>
          <t>Daily</t>
        </is>
      </c>
      <c r="F2" s="7" t="n">
        <v>500</v>
      </c>
      <c r="G2" s="6" t="inlineStr">
        <is>
          <t>2019-03-15</t>
        </is>
      </c>
    </row>
    <row r="3">
      <c r="A3" s="6" t="inlineStr">
        <is>
          <t>EQEM</t>
        </is>
      </c>
      <c r="B3" s="6" t="inlineStr">
        <is>
          <t>Emerging Markets Equity</t>
        </is>
      </c>
      <c r="C3" s="6" t="inlineStr">
        <is>
          <t>Equity</t>
        </is>
      </c>
      <c r="D3" s="6" t="inlineStr">
        <is>
          <t>USD</t>
        </is>
      </c>
      <c r="E3" s="6" t="inlineStr">
        <is>
          <t>Daily</t>
        </is>
      </c>
      <c r="F3" s="7" t="n">
        <v>500</v>
      </c>
      <c r="G3" s="6" t="inlineStr">
        <is>
          <t>2020-06-01</t>
        </is>
      </c>
    </row>
    <row r="4">
      <c r="A4" s="6" t="inlineStr">
        <is>
          <t>FIIG</t>
        </is>
      </c>
      <c r="B4" s="6" t="inlineStr">
        <is>
          <t>Investment Grade Bond</t>
        </is>
      </c>
      <c r="C4" s="6" t="inlineStr">
        <is>
          <t>Fixed Income</t>
        </is>
      </c>
      <c r="D4" s="6" t="inlineStr">
        <is>
          <t>USD</t>
        </is>
      </c>
      <c r="E4" s="6" t="inlineStr">
        <is>
          <t>Daily</t>
        </is>
      </c>
      <c r="F4" s="7" t="n">
        <v>150</v>
      </c>
      <c r="G4" s="6" t="inlineStr">
        <is>
          <t>2017-01-10</t>
        </is>
      </c>
    </row>
    <row r="5">
      <c r="A5" s="6" t="inlineStr">
        <is>
          <t>BALM</t>
        </is>
      </c>
      <c r="B5" s="6" t="inlineStr">
        <is>
          <t>Balanced Multi-Asset</t>
        </is>
      </c>
      <c r="C5" s="6" t="inlineStr">
        <is>
          <t>Balanced</t>
        </is>
      </c>
      <c r="D5" s="6" t="inlineStr">
        <is>
          <t>USD</t>
        </is>
      </c>
      <c r="E5" s="6" t="inlineStr">
        <is>
          <t>Daily</t>
        </is>
      </c>
      <c r="F5" s="7" t="n">
        <v>300</v>
      </c>
      <c r="G5" s="6" t="inlineStr">
        <is>
          <t>2018-09-20</t>
        </is>
      </c>
    </row>
    <row r="6">
      <c r="A6" s="6" t="inlineStr">
        <is>
          <t>MMUS</t>
        </is>
      </c>
      <c r="B6" s="6" t="inlineStr">
        <is>
          <t>USD Liquidity Fund</t>
        </is>
      </c>
      <c r="C6" s="6" t="inlineStr">
        <is>
          <t>Money Market</t>
        </is>
      </c>
      <c r="D6" s="6" t="inlineStr">
        <is>
          <t>USD</t>
        </is>
      </c>
      <c r="E6" s="6" t="inlineStr">
        <is>
          <t>Daily</t>
        </is>
      </c>
      <c r="F6" s="7" t="n">
        <v>10</v>
      </c>
      <c r="G6" s="6" t="inlineStr">
        <is>
          <t>2015-04-02</t>
        </is>
      </c>
    </row>
    <row r="7">
      <c r="A7" s="6" t="inlineStr">
        <is>
          <t>FDIV</t>
        </is>
      </c>
      <c r="B7" s="6" t="inlineStr">
        <is>
          <t>Global Dividend Fund</t>
        </is>
      </c>
      <c r="C7" s="6" t="inlineStr">
        <is>
          <t>Equity</t>
        </is>
      </c>
      <c r="D7" s="6" t="inlineStr">
        <is>
          <t>USD</t>
        </is>
      </c>
      <c r="E7" s="6" t="inlineStr">
        <is>
          <t>Daily</t>
        </is>
      </c>
      <c r="F7" s="7" t="n">
        <v>500</v>
      </c>
      <c r="G7" s="6" t="inlineStr">
        <is>
          <t>2021-02-11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Date</t>
        </is>
      </c>
      <c r="B1" s="5" t="inlineStr">
        <is>
          <t>FundCode</t>
        </is>
      </c>
      <c r="C1" s="5" t="inlineStr">
        <is>
          <t>Subscriptions</t>
        </is>
      </c>
      <c r="D1" s="5" t="inlineStr">
        <is>
          <t>Redemptions</t>
        </is>
      </c>
      <c r="E1" s="5" t="inlineStr">
        <is>
          <t>NetFlow</t>
        </is>
      </c>
    </row>
    <row r="2">
      <c r="A2" s="6" t="inlineStr">
        <is>
          <t>2026-04-01</t>
        </is>
      </c>
      <c r="B2" s="6" t="inlineStr">
        <is>
          <t>EQGL</t>
        </is>
      </c>
      <c r="C2" s="8" t="n">
        <v>383789.89</v>
      </c>
      <c r="D2" s="8" t="n">
        <v>336318.6</v>
      </c>
      <c r="E2" s="9">
        <f>C2-D2</f>
        <v/>
      </c>
    </row>
    <row r="3">
      <c r="A3" s="6" t="inlineStr">
        <is>
          <t>2026-04-02</t>
        </is>
      </c>
      <c r="B3" s="6" t="inlineStr">
        <is>
          <t>EQGL</t>
        </is>
      </c>
      <c r="C3" s="8" t="n">
        <v>213217.24</v>
      </c>
      <c r="D3" s="8" t="n">
        <v>178372.31</v>
      </c>
      <c r="E3" s="9">
        <f>C3-D3</f>
        <v/>
      </c>
    </row>
    <row r="4">
      <c r="A4" s="6" t="inlineStr">
        <is>
          <t>2026-04-03</t>
        </is>
      </c>
      <c r="B4" s="6" t="inlineStr">
        <is>
          <t>EQGL</t>
        </is>
      </c>
      <c r="C4" s="8" t="n">
        <v>0</v>
      </c>
      <c r="D4" s="8" t="n">
        <v>710316.6800000001</v>
      </c>
      <c r="E4" s="9">
        <f>C4-D4</f>
        <v/>
      </c>
    </row>
    <row r="5">
      <c r="A5" s="6" t="inlineStr">
        <is>
          <t>2026-04-06</t>
        </is>
      </c>
      <c r="B5" s="6" t="inlineStr">
        <is>
          <t>EQGL</t>
        </is>
      </c>
      <c r="C5" s="8" t="n">
        <v>608240.98</v>
      </c>
      <c r="D5" s="8" t="n">
        <v>0</v>
      </c>
      <c r="E5" s="9">
        <f>C5-D5</f>
        <v/>
      </c>
    </row>
    <row r="6">
      <c r="A6" s="6" t="inlineStr">
        <is>
          <t>2026-04-07</t>
        </is>
      </c>
      <c r="B6" s="6" t="inlineStr">
        <is>
          <t>EQGL</t>
        </is>
      </c>
      <c r="C6" s="8" t="n">
        <v>111124.81</v>
      </c>
      <c r="D6" s="8" t="n">
        <v>297064.86</v>
      </c>
      <c r="E6" s="9">
        <f>C6-D6</f>
        <v/>
      </c>
    </row>
    <row r="7">
      <c r="A7" s="6" t="inlineStr">
        <is>
          <t>2026-04-08</t>
        </is>
      </c>
      <c r="B7" s="6" t="inlineStr">
        <is>
          <t>EQGL</t>
        </is>
      </c>
      <c r="C7" s="8" t="n">
        <v>1169973.41</v>
      </c>
      <c r="D7" s="8" t="n">
        <v>0</v>
      </c>
      <c r="E7" s="9">
        <f>C7-D7</f>
        <v/>
      </c>
    </row>
    <row r="8">
      <c r="A8" s="6" t="inlineStr">
        <is>
          <t>2026-04-09</t>
        </is>
      </c>
      <c r="B8" s="6" t="inlineStr">
        <is>
          <t>EQGL</t>
        </is>
      </c>
      <c r="C8" s="8" t="n">
        <v>1107419.14</v>
      </c>
      <c r="D8" s="8" t="n">
        <v>612873.17</v>
      </c>
      <c r="E8" s="9">
        <f>C8-D8</f>
        <v/>
      </c>
    </row>
    <row r="9">
      <c r="A9" s="6" t="inlineStr">
        <is>
          <t>2026-04-10</t>
        </is>
      </c>
      <c r="B9" s="6" t="inlineStr">
        <is>
          <t>EQGL</t>
        </is>
      </c>
      <c r="C9" s="8" t="n">
        <v>215284.75</v>
      </c>
      <c r="D9" s="8" t="n">
        <v>1216957.36</v>
      </c>
      <c r="E9" s="9">
        <f>C9-D9</f>
        <v/>
      </c>
    </row>
    <row r="10">
      <c r="A10" s="6" t="inlineStr">
        <is>
          <t>2026-04-13</t>
        </is>
      </c>
      <c r="B10" s="6" t="inlineStr">
        <is>
          <t>EQGL</t>
        </is>
      </c>
      <c r="C10" s="8" t="n">
        <v>54370.03</v>
      </c>
      <c r="D10" s="8" t="n">
        <v>913163.23</v>
      </c>
      <c r="E10" s="9">
        <f>C10-D10</f>
        <v/>
      </c>
    </row>
    <row r="11">
      <c r="A11" s="6" t="inlineStr">
        <is>
          <t>2026-04-14</t>
        </is>
      </c>
      <c r="B11" s="6" t="inlineStr">
        <is>
          <t>EQGL</t>
        </is>
      </c>
      <c r="C11" s="8" t="n">
        <v>804459.99</v>
      </c>
      <c r="D11" s="8" t="n">
        <v>1161321.78</v>
      </c>
      <c r="E11" s="9">
        <f>C11-D11</f>
        <v/>
      </c>
    </row>
    <row r="12">
      <c r="A12" s="6" t="inlineStr">
        <is>
          <t>2026-04-15</t>
        </is>
      </c>
      <c r="B12" s="6" t="inlineStr">
        <is>
          <t>EQGL</t>
        </is>
      </c>
      <c r="C12" s="8" t="n">
        <v>1162519.21</v>
      </c>
      <c r="D12" s="8" t="n">
        <v>1420955.7</v>
      </c>
      <c r="E12" s="9">
        <f>C12-D12</f>
        <v/>
      </c>
    </row>
    <row r="13">
      <c r="A13" s="6" t="inlineStr">
        <is>
          <t>2026-04-16</t>
        </is>
      </c>
      <c r="B13" s="6" t="inlineStr">
        <is>
          <t>EQGL</t>
        </is>
      </c>
      <c r="C13" s="8" t="n">
        <v>826878.33</v>
      </c>
      <c r="D13" s="8" t="n">
        <v>1544940.94</v>
      </c>
      <c r="E13" s="9">
        <f>C13-D13</f>
        <v/>
      </c>
    </row>
    <row r="14">
      <c r="A14" s="6" t="inlineStr">
        <is>
          <t>2026-04-17</t>
        </is>
      </c>
      <c r="B14" s="6" t="inlineStr">
        <is>
          <t>EQGL</t>
        </is>
      </c>
      <c r="C14" s="8" t="n">
        <v>622763.02</v>
      </c>
      <c r="D14" s="8" t="n">
        <v>292076.99</v>
      </c>
      <c r="E14" s="9">
        <f>C14-D14</f>
        <v/>
      </c>
    </row>
    <row r="15">
      <c r="A15" s="6" t="inlineStr">
        <is>
          <t>2026-04-20</t>
        </is>
      </c>
      <c r="B15" s="6" t="inlineStr">
        <is>
          <t>EQGL</t>
        </is>
      </c>
      <c r="C15" s="8" t="n">
        <v>1657553.17</v>
      </c>
      <c r="D15" s="8" t="n">
        <v>142539.71</v>
      </c>
      <c r="E15" s="9">
        <f>C15-D15</f>
        <v/>
      </c>
    </row>
    <row r="16">
      <c r="A16" s="6" t="inlineStr">
        <is>
          <t>2026-04-21</t>
        </is>
      </c>
      <c r="B16" s="6" t="inlineStr">
        <is>
          <t>EQGL</t>
        </is>
      </c>
      <c r="C16" s="8" t="n">
        <v>163858.41</v>
      </c>
      <c r="D16" s="8" t="n">
        <v>846048.39</v>
      </c>
      <c r="E16" s="9">
        <f>C16-D16</f>
        <v/>
      </c>
    </row>
    <row r="17">
      <c r="A17" s="6" t="inlineStr">
        <is>
          <t>2026-04-22</t>
        </is>
      </c>
      <c r="B17" s="6" t="inlineStr">
        <is>
          <t>EQGL</t>
        </is>
      </c>
      <c r="C17" s="8" t="n">
        <v>266271.53</v>
      </c>
      <c r="D17" s="8" t="n">
        <v>0</v>
      </c>
      <c r="E17" s="9">
        <f>C17-D17</f>
        <v/>
      </c>
    </row>
    <row r="18">
      <c r="A18" s="6" t="inlineStr">
        <is>
          <t>2026-04-23</t>
        </is>
      </c>
      <c r="B18" s="6" t="inlineStr">
        <is>
          <t>EQGL</t>
        </is>
      </c>
      <c r="C18" s="8" t="n">
        <v>0</v>
      </c>
      <c r="D18" s="8" t="n">
        <v>209119.89</v>
      </c>
      <c r="E18" s="9">
        <f>C18-D18</f>
        <v/>
      </c>
    </row>
    <row r="19">
      <c r="A19" s="6" t="inlineStr">
        <is>
          <t>2026-04-24</t>
        </is>
      </c>
      <c r="B19" s="6" t="inlineStr">
        <is>
          <t>EQGL</t>
        </is>
      </c>
      <c r="C19" s="8" t="n">
        <v>1961322.31</v>
      </c>
      <c r="D19" s="8" t="n">
        <v>615062.0699999999</v>
      </c>
      <c r="E19" s="9">
        <f>C19-D19</f>
        <v/>
      </c>
    </row>
    <row r="20">
      <c r="A20" s="6" t="inlineStr">
        <is>
          <t>2026-04-27</t>
        </is>
      </c>
      <c r="B20" s="6" t="inlineStr">
        <is>
          <t>EQGL</t>
        </is>
      </c>
      <c r="C20" s="8" t="n">
        <v>602811.28</v>
      </c>
      <c r="D20" s="8" t="n">
        <v>2175931.12</v>
      </c>
      <c r="E20" s="9">
        <f>C20-D20</f>
        <v/>
      </c>
    </row>
    <row r="21">
      <c r="A21" s="6" t="inlineStr">
        <is>
          <t>2026-04-28</t>
        </is>
      </c>
      <c r="B21" s="6" t="inlineStr">
        <is>
          <t>EQGL</t>
        </is>
      </c>
      <c r="C21" s="8" t="n">
        <v>1408260.17</v>
      </c>
      <c r="D21" s="8" t="n">
        <v>1008818.33</v>
      </c>
      <c r="E21" s="9">
        <f>C21-D21</f>
        <v/>
      </c>
    </row>
    <row r="22">
      <c r="A22" s="6" t="inlineStr">
        <is>
          <t>2026-04-29</t>
        </is>
      </c>
      <c r="B22" s="6" t="inlineStr">
        <is>
          <t>EQGL</t>
        </is>
      </c>
      <c r="C22" s="8" t="n">
        <v>994621.6800000001</v>
      </c>
      <c r="D22" s="8" t="n">
        <v>1989890.74</v>
      </c>
      <c r="E22" s="9">
        <f>C22-D22</f>
        <v/>
      </c>
    </row>
    <row r="23">
      <c r="A23" s="6" t="inlineStr">
        <is>
          <t>2026-04-30</t>
        </is>
      </c>
      <c r="B23" s="6" t="inlineStr">
        <is>
          <t>EQGL</t>
        </is>
      </c>
      <c r="C23" s="8" t="n">
        <v>0</v>
      </c>
      <c r="D23" s="8" t="n">
        <v>542759.95</v>
      </c>
      <c r="E23" s="9">
        <f>C23-D23</f>
        <v/>
      </c>
    </row>
    <row r="24">
      <c r="A24" s="6" t="inlineStr">
        <is>
          <t>2026-05-01</t>
        </is>
      </c>
      <c r="B24" s="6" t="inlineStr">
        <is>
          <t>EQGL</t>
        </is>
      </c>
      <c r="C24" s="8" t="n">
        <v>0</v>
      </c>
      <c r="D24" s="8" t="n">
        <v>276354.05</v>
      </c>
      <c r="E24" s="9">
        <f>C24-D24</f>
        <v/>
      </c>
    </row>
    <row r="25">
      <c r="A25" s="6" t="inlineStr">
        <is>
          <t>2026-05-04</t>
        </is>
      </c>
      <c r="B25" s="6" t="inlineStr">
        <is>
          <t>EQGL</t>
        </is>
      </c>
      <c r="C25" s="8" t="n">
        <v>0</v>
      </c>
      <c r="D25" s="8" t="n">
        <v>621920.29</v>
      </c>
      <c r="E25" s="9">
        <f>C25-D25</f>
        <v/>
      </c>
    </row>
    <row r="26">
      <c r="A26" s="6" t="inlineStr">
        <is>
          <t>2026-05-05</t>
        </is>
      </c>
      <c r="B26" s="6" t="inlineStr">
        <is>
          <t>EQGL</t>
        </is>
      </c>
      <c r="C26" s="8" t="n">
        <v>946324.52</v>
      </c>
      <c r="D26" s="8" t="n">
        <v>698543.55</v>
      </c>
      <c r="E26" s="9">
        <f>C26-D26</f>
        <v/>
      </c>
    </row>
    <row r="27">
      <c r="A27" s="6" t="inlineStr">
        <is>
          <t>2026-05-06</t>
        </is>
      </c>
      <c r="B27" s="6" t="inlineStr">
        <is>
          <t>EQGL</t>
        </is>
      </c>
      <c r="C27" s="8" t="n">
        <v>776045.92</v>
      </c>
      <c r="D27" s="8" t="n">
        <v>8812.33</v>
      </c>
      <c r="E27" s="9">
        <f>C27-D27</f>
        <v/>
      </c>
    </row>
    <row r="28">
      <c r="A28" s="6" t="inlineStr">
        <is>
          <t>2026-05-07</t>
        </is>
      </c>
      <c r="B28" s="6" t="inlineStr">
        <is>
          <t>EQGL</t>
        </is>
      </c>
      <c r="C28" s="8" t="n">
        <v>0</v>
      </c>
      <c r="D28" s="8" t="n">
        <v>1032791.7</v>
      </c>
      <c r="E28" s="9">
        <f>C28-D28</f>
        <v/>
      </c>
    </row>
    <row r="29">
      <c r="A29" s="6" t="inlineStr">
        <is>
          <t>2026-05-08</t>
        </is>
      </c>
      <c r="B29" s="6" t="inlineStr">
        <is>
          <t>EQGL</t>
        </is>
      </c>
      <c r="C29" s="8" t="n">
        <v>1169612.76</v>
      </c>
      <c r="D29" s="8" t="n">
        <v>1789612.81</v>
      </c>
      <c r="E29" s="9">
        <f>C29-D29</f>
        <v/>
      </c>
    </row>
    <row r="30">
      <c r="A30" s="6" t="inlineStr">
        <is>
          <t>2026-05-11</t>
        </is>
      </c>
      <c r="B30" s="6" t="inlineStr">
        <is>
          <t>EQGL</t>
        </is>
      </c>
      <c r="C30" s="8" t="n">
        <v>500636.33</v>
      </c>
      <c r="D30" s="8" t="n">
        <v>728665.65</v>
      </c>
      <c r="E30" s="9">
        <f>C30-D30</f>
        <v/>
      </c>
    </row>
    <row r="31">
      <c r="A31" s="6" t="inlineStr">
        <is>
          <t>2026-05-12</t>
        </is>
      </c>
      <c r="B31" s="6" t="inlineStr">
        <is>
          <t>EQGL</t>
        </is>
      </c>
      <c r="C31" s="8" t="n">
        <v>361095.32</v>
      </c>
      <c r="D31" s="8" t="n">
        <v>2351155.37</v>
      </c>
      <c r="E31" s="9">
        <f>C31-D31</f>
        <v/>
      </c>
    </row>
    <row r="32">
      <c r="A32" s="6" t="inlineStr">
        <is>
          <t>2026-05-13</t>
        </is>
      </c>
      <c r="B32" s="6" t="inlineStr">
        <is>
          <t>EQGL</t>
        </is>
      </c>
      <c r="C32" s="8" t="n">
        <v>391743.69</v>
      </c>
      <c r="D32" s="8" t="n">
        <v>982948.34</v>
      </c>
      <c r="E32" s="9">
        <f>C32-D32</f>
        <v/>
      </c>
    </row>
    <row r="33">
      <c r="A33" s="6" t="inlineStr">
        <is>
          <t>2026-05-14</t>
        </is>
      </c>
      <c r="B33" s="6" t="inlineStr">
        <is>
          <t>EQGL</t>
        </is>
      </c>
      <c r="C33" s="8" t="n">
        <v>225792.88</v>
      </c>
      <c r="D33" s="8" t="n">
        <v>1080063.98</v>
      </c>
      <c r="E33" s="9">
        <f>C33-D33</f>
        <v/>
      </c>
    </row>
    <row r="34">
      <c r="A34" s="6" t="inlineStr">
        <is>
          <t>2026-05-15</t>
        </is>
      </c>
      <c r="B34" s="6" t="inlineStr">
        <is>
          <t>EQGL</t>
        </is>
      </c>
      <c r="C34" s="8" t="n">
        <v>0</v>
      </c>
      <c r="D34" s="8" t="n">
        <v>600840.52</v>
      </c>
      <c r="E34" s="9">
        <f>C34-D34</f>
        <v/>
      </c>
    </row>
    <row r="35">
      <c r="A35" s="6" t="inlineStr">
        <is>
          <t>2026-05-18</t>
        </is>
      </c>
      <c r="B35" s="6" t="inlineStr">
        <is>
          <t>EQGL</t>
        </is>
      </c>
      <c r="C35" s="8" t="n">
        <v>1363790.12</v>
      </c>
      <c r="D35" s="8" t="n">
        <v>1214693</v>
      </c>
      <c r="E35" s="9">
        <f>C35-D35</f>
        <v/>
      </c>
    </row>
    <row r="36">
      <c r="A36" s="6" t="inlineStr">
        <is>
          <t>2026-05-19</t>
        </is>
      </c>
      <c r="B36" s="6" t="inlineStr">
        <is>
          <t>EQGL</t>
        </is>
      </c>
      <c r="C36" s="8" t="n">
        <v>941195.48</v>
      </c>
      <c r="D36" s="8" t="n">
        <v>3123562.88</v>
      </c>
      <c r="E36" s="9">
        <f>C36-D36</f>
        <v/>
      </c>
    </row>
    <row r="37">
      <c r="A37" s="6" t="inlineStr">
        <is>
          <t>2026-05-20</t>
        </is>
      </c>
      <c r="B37" s="6" t="inlineStr">
        <is>
          <t>EQGL</t>
        </is>
      </c>
      <c r="C37" s="8" t="n">
        <v>323439.68</v>
      </c>
      <c r="D37" s="8" t="n">
        <v>1013617.01</v>
      </c>
      <c r="E37" s="9">
        <f>C37-D37</f>
        <v/>
      </c>
    </row>
    <row r="38">
      <c r="A38" s="6" t="inlineStr">
        <is>
          <t>2026-05-21</t>
        </is>
      </c>
      <c r="B38" s="6" t="inlineStr">
        <is>
          <t>EQGL</t>
        </is>
      </c>
      <c r="C38" s="8" t="n">
        <v>2280105.97</v>
      </c>
      <c r="D38" s="8" t="n">
        <v>0</v>
      </c>
      <c r="E38" s="9">
        <f>C38-D38</f>
        <v/>
      </c>
    </row>
    <row r="39">
      <c r="A39" s="6" t="inlineStr">
        <is>
          <t>2026-05-22</t>
        </is>
      </c>
      <c r="B39" s="6" t="inlineStr">
        <is>
          <t>EQGL</t>
        </is>
      </c>
      <c r="C39" s="8" t="n">
        <v>605824.33</v>
      </c>
      <c r="D39" s="8" t="n">
        <v>0</v>
      </c>
      <c r="E39" s="9">
        <f>C39-D39</f>
        <v/>
      </c>
    </row>
    <row r="40">
      <c r="A40" s="6" t="inlineStr">
        <is>
          <t>2026-05-26</t>
        </is>
      </c>
      <c r="B40" s="6" t="inlineStr">
        <is>
          <t>EQGL</t>
        </is>
      </c>
      <c r="C40" s="8" t="n">
        <v>591905.45</v>
      </c>
      <c r="D40" s="8" t="n">
        <v>51608.56</v>
      </c>
      <c r="E40" s="9">
        <f>C40-D40</f>
        <v/>
      </c>
    </row>
    <row r="41">
      <c r="A41" s="6" t="inlineStr">
        <is>
          <t>2026-05-27</t>
        </is>
      </c>
      <c r="B41" s="6" t="inlineStr">
        <is>
          <t>EQGL</t>
        </is>
      </c>
      <c r="C41" s="8" t="n">
        <v>65630.87</v>
      </c>
      <c r="D41" s="8" t="n">
        <v>1077359.53</v>
      </c>
      <c r="E41" s="9">
        <f>C41-D41</f>
        <v/>
      </c>
    </row>
    <row r="42">
      <c r="A42" s="6" t="inlineStr">
        <is>
          <t>2026-05-28</t>
        </is>
      </c>
      <c r="B42" s="6" t="inlineStr">
        <is>
          <t>EQGL</t>
        </is>
      </c>
      <c r="C42" s="8" t="n">
        <v>0</v>
      </c>
      <c r="D42" s="8" t="n">
        <v>267870.16</v>
      </c>
      <c r="E42" s="9">
        <f>C42-D42</f>
        <v/>
      </c>
    </row>
    <row r="43">
      <c r="A43" s="6" t="inlineStr">
        <is>
          <t>2026-05-29</t>
        </is>
      </c>
      <c r="B43" s="6" t="inlineStr">
        <is>
          <t>EQGL</t>
        </is>
      </c>
      <c r="C43" s="8" t="n">
        <v>0</v>
      </c>
      <c r="D43" s="8" t="n">
        <v>1121981.85</v>
      </c>
      <c r="E43" s="9">
        <f>C43-D43</f>
        <v/>
      </c>
    </row>
    <row r="44">
      <c r="A44" s="6" t="inlineStr">
        <is>
          <t>2026-06-01</t>
        </is>
      </c>
      <c r="B44" s="6" t="inlineStr">
        <is>
          <t>EQGL</t>
        </is>
      </c>
      <c r="C44" s="8" t="n">
        <v>1500581.89</v>
      </c>
      <c r="D44" s="8" t="n">
        <v>13369.42</v>
      </c>
      <c r="E44" s="9">
        <f>C44-D44</f>
        <v/>
      </c>
    </row>
    <row r="45">
      <c r="A45" s="6" t="inlineStr">
        <is>
          <t>2026-06-02</t>
        </is>
      </c>
      <c r="B45" s="6" t="inlineStr">
        <is>
          <t>EQGL</t>
        </is>
      </c>
      <c r="C45" s="8" t="n">
        <v>0</v>
      </c>
      <c r="D45" s="8" t="n">
        <v>0</v>
      </c>
      <c r="E45" s="9">
        <f>C45-D45</f>
        <v/>
      </c>
    </row>
    <row r="46">
      <c r="A46" s="6" t="inlineStr">
        <is>
          <t>2026-06-03</t>
        </is>
      </c>
      <c r="B46" s="6" t="inlineStr">
        <is>
          <t>EQGL</t>
        </is>
      </c>
      <c r="C46" s="8" t="n">
        <v>230606.9</v>
      </c>
      <c r="D46" s="8" t="n">
        <v>585165.0699999999</v>
      </c>
      <c r="E46" s="9">
        <f>C46-D46</f>
        <v/>
      </c>
    </row>
    <row r="47">
      <c r="A47" s="6" t="inlineStr">
        <is>
          <t>2026-06-04</t>
        </is>
      </c>
      <c r="B47" s="6" t="inlineStr">
        <is>
          <t>EQGL</t>
        </is>
      </c>
      <c r="C47" s="8" t="n">
        <v>0</v>
      </c>
      <c r="D47" s="8" t="n">
        <v>811154.5699999999</v>
      </c>
      <c r="E47" s="9">
        <f>C47-D47</f>
        <v/>
      </c>
    </row>
    <row r="48">
      <c r="A48" s="6" t="inlineStr">
        <is>
          <t>2026-06-05</t>
        </is>
      </c>
      <c r="B48" s="6" t="inlineStr">
        <is>
          <t>EQGL</t>
        </is>
      </c>
      <c r="C48" s="8" t="n">
        <v>642456.9</v>
      </c>
      <c r="D48" s="8" t="n">
        <v>947573.12</v>
      </c>
      <c r="E48" s="9">
        <f>C48-D48</f>
        <v/>
      </c>
    </row>
    <row r="49">
      <c r="A49" s="6" t="inlineStr">
        <is>
          <t>2026-06-08</t>
        </is>
      </c>
      <c r="B49" s="6" t="inlineStr">
        <is>
          <t>EQGL</t>
        </is>
      </c>
      <c r="C49" s="8" t="n">
        <v>445071.89</v>
      </c>
      <c r="D49" s="8" t="n">
        <v>897232.33</v>
      </c>
      <c r="E49" s="9">
        <f>C49-D49</f>
        <v/>
      </c>
    </row>
    <row r="50">
      <c r="A50" s="6" t="inlineStr">
        <is>
          <t>2026-06-09</t>
        </is>
      </c>
      <c r="B50" s="6" t="inlineStr">
        <is>
          <t>EQGL</t>
        </is>
      </c>
      <c r="C50" s="8" t="n">
        <v>119512.62</v>
      </c>
      <c r="D50" s="8" t="n">
        <v>1075428.63</v>
      </c>
      <c r="E50" s="9">
        <f>C50-D50</f>
        <v/>
      </c>
    </row>
    <row r="51">
      <c r="A51" s="6" t="inlineStr">
        <is>
          <t>2026-06-10</t>
        </is>
      </c>
      <c r="B51" s="6" t="inlineStr">
        <is>
          <t>EQGL</t>
        </is>
      </c>
      <c r="C51" s="8" t="n">
        <v>1162769.42</v>
      </c>
      <c r="D51" s="8" t="n">
        <v>925406.87</v>
      </c>
      <c r="E51" s="9">
        <f>C51-D51</f>
        <v/>
      </c>
    </row>
    <row r="52">
      <c r="A52" s="6" t="inlineStr">
        <is>
          <t>2026-06-11</t>
        </is>
      </c>
      <c r="B52" s="6" t="inlineStr">
        <is>
          <t>EQGL</t>
        </is>
      </c>
      <c r="C52" s="8" t="n">
        <v>542449.21</v>
      </c>
      <c r="D52" s="8" t="n">
        <v>576017.28</v>
      </c>
      <c r="E52" s="9">
        <f>C52-D52</f>
        <v/>
      </c>
    </row>
    <row r="53">
      <c r="A53" s="6" t="inlineStr">
        <is>
          <t>2026-06-12</t>
        </is>
      </c>
      <c r="B53" s="6" t="inlineStr">
        <is>
          <t>EQGL</t>
        </is>
      </c>
      <c r="C53" s="8" t="n">
        <v>396045.18</v>
      </c>
      <c r="D53" s="8" t="n">
        <v>1245365.81</v>
      </c>
      <c r="E53" s="9">
        <f>C53-D53</f>
        <v/>
      </c>
    </row>
    <row r="54">
      <c r="A54" s="6" t="inlineStr">
        <is>
          <t>2026-06-15</t>
        </is>
      </c>
      <c r="B54" s="6" t="inlineStr">
        <is>
          <t>EQGL</t>
        </is>
      </c>
      <c r="C54" s="8" t="n">
        <v>1065373.01</v>
      </c>
      <c r="D54" s="8" t="n">
        <v>284398.07</v>
      </c>
      <c r="E54" s="9">
        <f>C54-D54</f>
        <v/>
      </c>
    </row>
    <row r="55">
      <c r="A55" s="6" t="inlineStr">
        <is>
          <t>2026-06-16</t>
        </is>
      </c>
      <c r="B55" s="6" t="inlineStr">
        <is>
          <t>EQGL</t>
        </is>
      </c>
      <c r="C55" s="8" t="n">
        <v>0</v>
      </c>
      <c r="D55" s="8" t="n">
        <v>1923008.12</v>
      </c>
      <c r="E55" s="9">
        <f>C55-D55</f>
        <v/>
      </c>
    </row>
    <row r="56">
      <c r="A56" s="6" t="inlineStr">
        <is>
          <t>2026-06-17</t>
        </is>
      </c>
      <c r="B56" s="6" t="inlineStr">
        <is>
          <t>EQGL</t>
        </is>
      </c>
      <c r="C56" s="8" t="n">
        <v>1022345.14</v>
      </c>
      <c r="D56" s="8" t="n">
        <v>924531.64</v>
      </c>
      <c r="E56" s="9">
        <f>C56-D56</f>
        <v/>
      </c>
    </row>
    <row r="57">
      <c r="A57" s="6" t="inlineStr">
        <is>
          <t>2026-06-18</t>
        </is>
      </c>
      <c r="B57" s="6" t="inlineStr">
        <is>
          <t>EQGL</t>
        </is>
      </c>
      <c r="C57" s="8" t="n">
        <v>1283489.08</v>
      </c>
      <c r="D57" s="8" t="n">
        <v>395706.87</v>
      </c>
      <c r="E57" s="9">
        <f>C57-D57</f>
        <v/>
      </c>
    </row>
    <row r="58">
      <c r="A58" s="6" t="inlineStr">
        <is>
          <t>2026-06-19</t>
        </is>
      </c>
      <c r="B58" s="6" t="inlineStr">
        <is>
          <t>EQGL</t>
        </is>
      </c>
      <c r="C58" s="8" t="n">
        <v>0</v>
      </c>
      <c r="D58" s="8" t="n">
        <v>662194.6800000001</v>
      </c>
      <c r="E58" s="9">
        <f>C58-D58</f>
        <v/>
      </c>
    </row>
    <row r="59">
      <c r="A59" s="6" t="inlineStr">
        <is>
          <t>2026-06-22</t>
        </is>
      </c>
      <c r="B59" s="6" t="inlineStr">
        <is>
          <t>EQGL</t>
        </is>
      </c>
      <c r="C59" s="8" t="n">
        <v>0</v>
      </c>
      <c r="D59" s="8" t="n">
        <v>0</v>
      </c>
      <c r="E59" s="9">
        <f>C59-D59</f>
        <v/>
      </c>
    </row>
    <row r="60">
      <c r="A60" s="6" t="inlineStr">
        <is>
          <t>2026-06-23</t>
        </is>
      </c>
      <c r="B60" s="6" t="inlineStr">
        <is>
          <t>EQGL</t>
        </is>
      </c>
      <c r="C60" s="8" t="n">
        <v>1196098.76</v>
      </c>
      <c r="D60" s="8" t="n">
        <v>386921.92</v>
      </c>
      <c r="E60" s="9">
        <f>C60-D60</f>
        <v/>
      </c>
    </row>
    <row r="61">
      <c r="A61" s="6" t="inlineStr">
        <is>
          <t>2026-06-24</t>
        </is>
      </c>
      <c r="B61" s="6" t="inlineStr">
        <is>
          <t>EQGL</t>
        </is>
      </c>
      <c r="C61" s="8" t="n">
        <v>798102.61</v>
      </c>
      <c r="D61" s="8" t="n">
        <v>0</v>
      </c>
      <c r="E61" s="9">
        <f>C61-D61</f>
        <v/>
      </c>
    </row>
    <row r="62">
      <c r="A62" s="6" t="inlineStr">
        <is>
          <t>2026-06-25</t>
        </is>
      </c>
      <c r="B62" s="6" t="inlineStr">
        <is>
          <t>EQGL</t>
        </is>
      </c>
      <c r="C62" s="8" t="n">
        <v>1071467.13</v>
      </c>
      <c r="D62" s="8" t="n">
        <v>222367.64</v>
      </c>
      <c r="E62" s="9">
        <f>C62-D62</f>
        <v/>
      </c>
    </row>
    <row r="63">
      <c r="A63" s="6" t="inlineStr">
        <is>
          <t>2026-06-26</t>
        </is>
      </c>
      <c r="B63" s="6" t="inlineStr">
        <is>
          <t>EQGL</t>
        </is>
      </c>
      <c r="C63" s="8" t="n">
        <v>576235.5699999999</v>
      </c>
      <c r="D63" s="8" t="n">
        <v>835634.83</v>
      </c>
      <c r="E63" s="9">
        <f>C63-D63</f>
        <v/>
      </c>
    </row>
    <row r="64">
      <c r="A64" s="6" t="inlineStr">
        <is>
          <t>2026-06-29</t>
        </is>
      </c>
      <c r="B64" s="6" t="inlineStr">
        <is>
          <t>EQGL</t>
        </is>
      </c>
      <c r="C64" s="8" t="n">
        <v>1207006.55</v>
      </c>
      <c r="D64" s="8" t="n">
        <v>621039.25</v>
      </c>
      <c r="E64" s="9">
        <f>C64-D64</f>
        <v/>
      </c>
    </row>
    <row r="65">
      <c r="A65" s="6" t="inlineStr">
        <is>
          <t>2026-06-30</t>
        </is>
      </c>
      <c r="B65" s="6" t="inlineStr">
        <is>
          <t>EQGL</t>
        </is>
      </c>
      <c r="C65" s="8" t="n">
        <v>0</v>
      </c>
      <c r="D65" s="8" t="n">
        <v>137435.08</v>
      </c>
      <c r="E65" s="9">
        <f>C65-D65</f>
        <v/>
      </c>
    </row>
    <row r="66">
      <c r="A66" s="6" t="inlineStr">
        <is>
          <t>2026-04-01</t>
        </is>
      </c>
      <c r="B66" s="6" t="inlineStr">
        <is>
          <t>EQEM</t>
        </is>
      </c>
      <c r="C66" s="8" t="n">
        <v>632557.67</v>
      </c>
      <c r="D66" s="8" t="n">
        <v>51275.85</v>
      </c>
      <c r="E66" s="9">
        <f>C66-D66</f>
        <v/>
      </c>
    </row>
    <row r="67">
      <c r="A67" s="6" t="inlineStr">
        <is>
          <t>2026-04-02</t>
        </is>
      </c>
      <c r="B67" s="6" t="inlineStr">
        <is>
          <t>EQEM</t>
        </is>
      </c>
      <c r="C67" s="8" t="n">
        <v>717751.72</v>
      </c>
      <c r="D67" s="8" t="n">
        <v>88011.10000000001</v>
      </c>
      <c r="E67" s="9">
        <f>C67-D67</f>
        <v/>
      </c>
    </row>
    <row r="68">
      <c r="A68" s="6" t="inlineStr">
        <is>
          <t>2026-04-03</t>
        </is>
      </c>
      <c r="B68" s="6" t="inlineStr">
        <is>
          <t>EQEM</t>
        </is>
      </c>
      <c r="C68" s="8" t="n">
        <v>0</v>
      </c>
      <c r="D68" s="8" t="n">
        <v>43613.12</v>
      </c>
      <c r="E68" s="9">
        <f>C68-D68</f>
        <v/>
      </c>
    </row>
    <row r="69">
      <c r="A69" s="6" t="inlineStr">
        <is>
          <t>2026-04-06</t>
        </is>
      </c>
      <c r="B69" s="6" t="inlineStr">
        <is>
          <t>EQEM</t>
        </is>
      </c>
      <c r="C69" s="8" t="n">
        <v>0</v>
      </c>
      <c r="D69" s="8" t="n">
        <v>199448.6</v>
      </c>
      <c r="E69" s="9">
        <f>C69-D69</f>
        <v/>
      </c>
    </row>
    <row r="70">
      <c r="A70" s="6" t="inlineStr">
        <is>
          <t>2026-04-07</t>
        </is>
      </c>
      <c r="B70" s="6" t="inlineStr">
        <is>
          <t>EQEM</t>
        </is>
      </c>
      <c r="C70" s="8" t="n">
        <v>0</v>
      </c>
      <c r="D70" s="8" t="n">
        <v>683687.8</v>
      </c>
      <c r="E70" s="9">
        <f>C70-D70</f>
        <v/>
      </c>
    </row>
    <row r="71">
      <c r="A71" s="6" t="inlineStr">
        <is>
          <t>2026-04-08</t>
        </is>
      </c>
      <c r="B71" s="6" t="inlineStr">
        <is>
          <t>EQEM</t>
        </is>
      </c>
      <c r="C71" s="8" t="n">
        <v>717698.55</v>
      </c>
      <c r="D71" s="8" t="n">
        <v>271023.8</v>
      </c>
      <c r="E71" s="9">
        <f>C71-D71</f>
        <v/>
      </c>
    </row>
    <row r="72">
      <c r="A72" s="6" t="inlineStr">
        <is>
          <t>2026-04-09</t>
        </is>
      </c>
      <c r="B72" s="6" t="inlineStr">
        <is>
          <t>EQEM</t>
        </is>
      </c>
      <c r="C72" s="8" t="n">
        <v>519079.85</v>
      </c>
      <c r="D72" s="8" t="n">
        <v>714703.36</v>
      </c>
      <c r="E72" s="9">
        <f>C72-D72</f>
        <v/>
      </c>
    </row>
    <row r="73">
      <c r="A73" s="6" t="inlineStr">
        <is>
          <t>2026-04-10</t>
        </is>
      </c>
      <c r="B73" s="6" t="inlineStr">
        <is>
          <t>EQEM</t>
        </is>
      </c>
      <c r="C73" s="8" t="n">
        <v>0</v>
      </c>
      <c r="D73" s="8" t="n">
        <v>0</v>
      </c>
      <c r="E73" s="9">
        <f>C73-D73</f>
        <v/>
      </c>
    </row>
    <row r="74">
      <c r="A74" s="6" t="inlineStr">
        <is>
          <t>2026-04-13</t>
        </is>
      </c>
      <c r="B74" s="6" t="inlineStr">
        <is>
          <t>EQEM</t>
        </is>
      </c>
      <c r="C74" s="8" t="n">
        <v>884844.98</v>
      </c>
      <c r="D74" s="8" t="n">
        <v>0</v>
      </c>
      <c r="E74" s="9">
        <f>C74-D74</f>
        <v/>
      </c>
    </row>
    <row r="75">
      <c r="A75" s="6" t="inlineStr">
        <is>
          <t>2026-04-14</t>
        </is>
      </c>
      <c r="B75" s="6" t="inlineStr">
        <is>
          <t>EQEM</t>
        </is>
      </c>
      <c r="C75" s="8" t="n">
        <v>0</v>
      </c>
      <c r="D75" s="8" t="n">
        <v>217610.07</v>
      </c>
      <c r="E75" s="9">
        <f>C75-D75</f>
        <v/>
      </c>
    </row>
    <row r="76">
      <c r="A76" s="6" t="inlineStr">
        <is>
          <t>2026-04-15</t>
        </is>
      </c>
      <c r="B76" s="6" t="inlineStr">
        <is>
          <t>EQEM</t>
        </is>
      </c>
      <c r="C76" s="8" t="n">
        <v>87841.50999999999</v>
      </c>
      <c r="D76" s="8" t="n">
        <v>0</v>
      </c>
      <c r="E76" s="9">
        <f>C76-D76</f>
        <v/>
      </c>
    </row>
    <row r="77">
      <c r="A77" s="6" t="inlineStr">
        <is>
          <t>2026-04-16</t>
        </is>
      </c>
      <c r="B77" s="6" t="inlineStr">
        <is>
          <t>EQEM</t>
        </is>
      </c>
      <c r="C77" s="8" t="n">
        <v>81744.17</v>
      </c>
      <c r="D77" s="8" t="n">
        <v>0</v>
      </c>
      <c r="E77" s="9">
        <f>C77-D77</f>
        <v/>
      </c>
    </row>
    <row r="78">
      <c r="A78" s="6" t="inlineStr">
        <is>
          <t>2026-04-17</t>
        </is>
      </c>
      <c r="B78" s="6" t="inlineStr">
        <is>
          <t>EQEM</t>
        </is>
      </c>
      <c r="C78" s="8" t="n">
        <v>1009877.75</v>
      </c>
      <c r="D78" s="8" t="n">
        <v>260024.87</v>
      </c>
      <c r="E78" s="9">
        <f>C78-D78</f>
        <v/>
      </c>
    </row>
    <row r="79">
      <c r="A79" s="6" t="inlineStr">
        <is>
          <t>2026-04-20</t>
        </is>
      </c>
      <c r="B79" s="6" t="inlineStr">
        <is>
          <t>EQEM</t>
        </is>
      </c>
      <c r="C79" s="8" t="n">
        <v>507470.01</v>
      </c>
      <c r="D79" s="8" t="n">
        <v>506310.13</v>
      </c>
      <c r="E79" s="9">
        <f>C79-D79</f>
        <v/>
      </c>
    </row>
    <row r="80">
      <c r="A80" s="6" t="inlineStr">
        <is>
          <t>2026-04-21</t>
        </is>
      </c>
      <c r="B80" s="6" t="inlineStr">
        <is>
          <t>EQEM</t>
        </is>
      </c>
      <c r="C80" s="8" t="n">
        <v>0</v>
      </c>
      <c r="D80" s="8" t="n">
        <v>714104.13</v>
      </c>
      <c r="E80" s="9">
        <f>C80-D80</f>
        <v/>
      </c>
    </row>
    <row r="81">
      <c r="A81" s="6" t="inlineStr">
        <is>
          <t>2026-04-22</t>
        </is>
      </c>
      <c r="B81" s="6" t="inlineStr">
        <is>
          <t>EQEM</t>
        </is>
      </c>
      <c r="C81" s="8" t="n">
        <v>1424343.66</v>
      </c>
      <c r="D81" s="8" t="n">
        <v>629775.04</v>
      </c>
      <c r="E81" s="9">
        <f>C81-D81</f>
        <v/>
      </c>
    </row>
    <row r="82">
      <c r="A82" s="6" t="inlineStr">
        <is>
          <t>2026-04-23</t>
        </is>
      </c>
      <c r="B82" s="6" t="inlineStr">
        <is>
          <t>EQEM</t>
        </is>
      </c>
      <c r="C82" s="8" t="n">
        <v>0</v>
      </c>
      <c r="D82" s="8" t="n">
        <v>0</v>
      </c>
      <c r="E82" s="9">
        <f>C82-D82</f>
        <v/>
      </c>
    </row>
    <row r="83">
      <c r="A83" s="6" t="inlineStr">
        <is>
          <t>2026-04-24</t>
        </is>
      </c>
      <c r="B83" s="6" t="inlineStr">
        <is>
          <t>EQEM</t>
        </is>
      </c>
      <c r="C83" s="8" t="n">
        <v>276034.18</v>
      </c>
      <c r="D83" s="8" t="n">
        <v>752660.95</v>
      </c>
      <c r="E83" s="9">
        <f>C83-D83</f>
        <v/>
      </c>
    </row>
    <row r="84">
      <c r="A84" s="6" t="inlineStr">
        <is>
          <t>2026-04-27</t>
        </is>
      </c>
      <c r="B84" s="6" t="inlineStr">
        <is>
          <t>EQEM</t>
        </is>
      </c>
      <c r="C84" s="8" t="n">
        <v>0</v>
      </c>
      <c r="D84" s="8" t="n">
        <v>183094.51</v>
      </c>
      <c r="E84" s="9">
        <f>C84-D84</f>
        <v/>
      </c>
    </row>
    <row r="85">
      <c r="A85" s="6" t="inlineStr">
        <is>
          <t>2026-04-28</t>
        </is>
      </c>
      <c r="B85" s="6" t="inlineStr">
        <is>
          <t>EQEM</t>
        </is>
      </c>
      <c r="C85" s="8" t="n">
        <v>0</v>
      </c>
      <c r="D85" s="8" t="n">
        <v>439972.51</v>
      </c>
      <c r="E85" s="9">
        <f>C85-D85</f>
        <v/>
      </c>
    </row>
    <row r="86">
      <c r="A86" s="6" t="inlineStr">
        <is>
          <t>2026-04-29</t>
        </is>
      </c>
      <c r="B86" s="6" t="inlineStr">
        <is>
          <t>EQEM</t>
        </is>
      </c>
      <c r="C86" s="8" t="n">
        <v>297050.05</v>
      </c>
      <c r="D86" s="8" t="n">
        <v>0</v>
      </c>
      <c r="E86" s="9">
        <f>C86-D86</f>
        <v/>
      </c>
    </row>
    <row r="87">
      <c r="A87" s="6" t="inlineStr">
        <is>
          <t>2026-04-30</t>
        </is>
      </c>
      <c r="B87" s="6" t="inlineStr">
        <is>
          <t>EQEM</t>
        </is>
      </c>
      <c r="C87" s="8" t="n">
        <v>64441.07</v>
      </c>
      <c r="D87" s="8" t="n">
        <v>505588.41</v>
      </c>
      <c r="E87" s="9">
        <f>C87-D87</f>
        <v/>
      </c>
    </row>
    <row r="88">
      <c r="A88" s="6" t="inlineStr">
        <is>
          <t>2026-05-01</t>
        </is>
      </c>
      <c r="B88" s="6" t="inlineStr">
        <is>
          <t>EQEM</t>
        </is>
      </c>
      <c r="C88" s="8" t="n">
        <v>0</v>
      </c>
      <c r="D88" s="8" t="n">
        <v>433285.83</v>
      </c>
      <c r="E88" s="9">
        <f>C88-D88</f>
        <v/>
      </c>
    </row>
    <row r="89">
      <c r="A89" s="6" t="inlineStr">
        <is>
          <t>2026-05-04</t>
        </is>
      </c>
      <c r="B89" s="6" t="inlineStr">
        <is>
          <t>EQEM</t>
        </is>
      </c>
      <c r="C89" s="8" t="n">
        <v>0</v>
      </c>
      <c r="D89" s="8" t="n">
        <v>264396.97</v>
      </c>
      <c r="E89" s="9">
        <f>C89-D89</f>
        <v/>
      </c>
    </row>
    <row r="90">
      <c r="A90" s="6" t="inlineStr">
        <is>
          <t>2026-05-05</t>
        </is>
      </c>
      <c r="B90" s="6" t="inlineStr">
        <is>
          <t>EQEM</t>
        </is>
      </c>
      <c r="C90" s="8" t="n">
        <v>254418.31</v>
      </c>
      <c r="D90" s="8" t="n">
        <v>0</v>
      </c>
      <c r="E90" s="9">
        <f>C90-D90</f>
        <v/>
      </c>
    </row>
    <row r="91">
      <c r="A91" s="6" t="inlineStr">
        <is>
          <t>2026-05-06</t>
        </is>
      </c>
      <c r="B91" s="6" t="inlineStr">
        <is>
          <t>EQEM</t>
        </is>
      </c>
      <c r="C91" s="8" t="n">
        <v>653340.9300000001</v>
      </c>
      <c r="D91" s="8" t="n">
        <v>51279.87</v>
      </c>
      <c r="E91" s="9">
        <f>C91-D91</f>
        <v/>
      </c>
    </row>
    <row r="92">
      <c r="A92" s="6" t="inlineStr">
        <is>
          <t>2026-05-07</t>
        </is>
      </c>
      <c r="B92" s="6" t="inlineStr">
        <is>
          <t>EQEM</t>
        </is>
      </c>
      <c r="C92" s="8" t="n">
        <v>0</v>
      </c>
      <c r="D92" s="8" t="n">
        <v>0</v>
      </c>
      <c r="E92" s="9">
        <f>C92-D92</f>
        <v/>
      </c>
    </row>
    <row r="93">
      <c r="A93" s="6" t="inlineStr">
        <is>
          <t>2026-05-08</t>
        </is>
      </c>
      <c r="B93" s="6" t="inlineStr">
        <is>
          <t>EQEM</t>
        </is>
      </c>
      <c r="C93" s="8" t="n">
        <v>311211.4</v>
      </c>
      <c r="D93" s="8" t="n">
        <v>194914.06</v>
      </c>
      <c r="E93" s="9">
        <f>C93-D93</f>
        <v/>
      </c>
    </row>
    <row r="94">
      <c r="A94" s="6" t="inlineStr">
        <is>
          <t>2026-05-11</t>
        </is>
      </c>
      <c r="B94" s="6" t="inlineStr">
        <is>
          <t>EQEM</t>
        </is>
      </c>
      <c r="C94" s="8" t="n">
        <v>97610.48</v>
      </c>
      <c r="D94" s="8" t="n">
        <v>100497.66</v>
      </c>
      <c r="E94" s="9">
        <f>C94-D94</f>
        <v/>
      </c>
    </row>
    <row r="95">
      <c r="A95" s="6" t="inlineStr">
        <is>
          <t>2026-05-12</t>
        </is>
      </c>
      <c r="B95" s="6" t="inlineStr">
        <is>
          <t>EQEM</t>
        </is>
      </c>
      <c r="C95" s="8" t="n">
        <v>603058.39</v>
      </c>
      <c r="D95" s="8" t="n">
        <v>136825.98</v>
      </c>
      <c r="E95" s="9">
        <f>C95-D95</f>
        <v/>
      </c>
    </row>
    <row r="96">
      <c r="A96" s="6" t="inlineStr">
        <is>
          <t>2026-05-13</t>
        </is>
      </c>
      <c r="B96" s="6" t="inlineStr">
        <is>
          <t>EQEM</t>
        </is>
      </c>
      <c r="C96" s="8" t="n">
        <v>0</v>
      </c>
      <c r="D96" s="8" t="n">
        <v>128133.9</v>
      </c>
      <c r="E96" s="9">
        <f>C96-D96</f>
        <v/>
      </c>
    </row>
    <row r="97">
      <c r="A97" s="6" t="inlineStr">
        <is>
          <t>2026-05-14</t>
        </is>
      </c>
      <c r="B97" s="6" t="inlineStr">
        <is>
          <t>EQEM</t>
        </is>
      </c>
      <c r="C97" s="8" t="n">
        <v>587538.88</v>
      </c>
      <c r="D97" s="8" t="n">
        <v>0</v>
      </c>
      <c r="E97" s="9">
        <f>C97-D97</f>
        <v/>
      </c>
    </row>
    <row r="98">
      <c r="A98" s="6" t="inlineStr">
        <is>
          <t>2026-05-15</t>
        </is>
      </c>
      <c r="B98" s="6" t="inlineStr">
        <is>
          <t>EQEM</t>
        </is>
      </c>
      <c r="C98" s="8" t="n">
        <v>404920.66</v>
      </c>
      <c r="D98" s="8" t="n">
        <v>106386.82</v>
      </c>
      <c r="E98" s="9">
        <f>C98-D98</f>
        <v/>
      </c>
    </row>
    <row r="99">
      <c r="A99" s="6" t="inlineStr">
        <is>
          <t>2026-05-18</t>
        </is>
      </c>
      <c r="B99" s="6" t="inlineStr">
        <is>
          <t>EQEM</t>
        </is>
      </c>
      <c r="C99" s="8" t="n">
        <v>108117.75</v>
      </c>
      <c r="D99" s="8" t="n">
        <v>0</v>
      </c>
      <c r="E99" s="9">
        <f>C99-D99</f>
        <v/>
      </c>
    </row>
    <row r="100">
      <c r="A100" s="6" t="inlineStr">
        <is>
          <t>2026-05-19</t>
        </is>
      </c>
      <c r="B100" s="6" t="inlineStr">
        <is>
          <t>EQEM</t>
        </is>
      </c>
      <c r="C100" s="8" t="n">
        <v>457180.5</v>
      </c>
      <c r="D100" s="8" t="n">
        <v>361778.78</v>
      </c>
      <c r="E100" s="9">
        <f>C100-D100</f>
        <v/>
      </c>
    </row>
    <row r="101">
      <c r="A101" s="6" t="inlineStr">
        <is>
          <t>2026-05-20</t>
        </is>
      </c>
      <c r="B101" s="6" t="inlineStr">
        <is>
          <t>EQEM</t>
        </is>
      </c>
      <c r="C101" s="8" t="n">
        <v>113722.91</v>
      </c>
      <c r="D101" s="8" t="n">
        <v>376659.47</v>
      </c>
      <c r="E101" s="9">
        <f>C101-D101</f>
        <v/>
      </c>
    </row>
    <row r="102">
      <c r="A102" s="6" t="inlineStr">
        <is>
          <t>2026-05-21</t>
        </is>
      </c>
      <c r="B102" s="6" t="inlineStr">
        <is>
          <t>EQEM</t>
        </is>
      </c>
      <c r="C102" s="8" t="n">
        <v>432797.78</v>
      </c>
      <c r="D102" s="8" t="n">
        <v>887987.37</v>
      </c>
      <c r="E102" s="9">
        <f>C102-D102</f>
        <v/>
      </c>
    </row>
    <row r="103">
      <c r="A103" s="6" t="inlineStr">
        <is>
          <t>2026-05-22</t>
        </is>
      </c>
      <c r="B103" s="6" t="inlineStr">
        <is>
          <t>EQEM</t>
        </is>
      </c>
      <c r="C103" s="8" t="n">
        <v>522424.02</v>
      </c>
      <c r="D103" s="8" t="n">
        <v>229045.63</v>
      </c>
      <c r="E103" s="9">
        <f>C103-D103</f>
        <v/>
      </c>
    </row>
    <row r="104">
      <c r="A104" s="6" t="inlineStr">
        <is>
          <t>2026-05-26</t>
        </is>
      </c>
      <c r="B104" s="6" t="inlineStr">
        <is>
          <t>EQEM</t>
        </is>
      </c>
      <c r="C104" s="8" t="n">
        <v>319694.86</v>
      </c>
      <c r="D104" s="8" t="n">
        <v>495486.42</v>
      </c>
      <c r="E104" s="9">
        <f>C104-D104</f>
        <v/>
      </c>
    </row>
    <row r="105">
      <c r="A105" s="6" t="inlineStr">
        <is>
          <t>2026-05-27</t>
        </is>
      </c>
      <c r="B105" s="6" t="inlineStr">
        <is>
          <t>EQEM</t>
        </is>
      </c>
      <c r="C105" s="8" t="n">
        <v>979113.11</v>
      </c>
      <c r="D105" s="8" t="n">
        <v>706788.24</v>
      </c>
      <c r="E105" s="9">
        <f>C105-D105</f>
        <v/>
      </c>
    </row>
    <row r="106">
      <c r="A106" s="6" t="inlineStr">
        <is>
          <t>2026-05-28</t>
        </is>
      </c>
      <c r="B106" s="6" t="inlineStr">
        <is>
          <t>EQEM</t>
        </is>
      </c>
      <c r="C106" s="8" t="n">
        <v>299729.67</v>
      </c>
      <c r="D106" s="8" t="n">
        <v>621119.3100000001</v>
      </c>
      <c r="E106" s="9">
        <f>C106-D106</f>
        <v/>
      </c>
    </row>
    <row r="107">
      <c r="A107" s="6" t="inlineStr">
        <is>
          <t>2026-05-29</t>
        </is>
      </c>
      <c r="B107" s="6" t="inlineStr">
        <is>
          <t>EQEM</t>
        </is>
      </c>
      <c r="C107" s="8" t="n">
        <v>0</v>
      </c>
      <c r="D107" s="8" t="n">
        <v>0</v>
      </c>
      <c r="E107" s="9">
        <f>C107-D107</f>
        <v/>
      </c>
    </row>
    <row r="108">
      <c r="A108" s="6" t="inlineStr">
        <is>
          <t>2026-06-01</t>
        </is>
      </c>
      <c r="B108" s="6" t="inlineStr">
        <is>
          <t>EQEM</t>
        </is>
      </c>
      <c r="C108" s="8" t="n">
        <v>154088.09</v>
      </c>
      <c r="D108" s="8" t="n">
        <v>817136.34</v>
      </c>
      <c r="E108" s="9">
        <f>C108-D108</f>
        <v/>
      </c>
    </row>
    <row r="109">
      <c r="A109" s="6" t="inlineStr">
        <is>
          <t>2026-06-02</t>
        </is>
      </c>
      <c r="B109" s="6" t="inlineStr">
        <is>
          <t>EQEM</t>
        </is>
      </c>
      <c r="C109" s="8" t="n">
        <v>0</v>
      </c>
      <c r="D109" s="8" t="n">
        <v>229485.45</v>
      </c>
      <c r="E109" s="9">
        <f>C109-D109</f>
        <v/>
      </c>
    </row>
    <row r="110">
      <c r="A110" s="6" t="inlineStr">
        <is>
          <t>2026-06-03</t>
        </is>
      </c>
      <c r="B110" s="6" t="inlineStr">
        <is>
          <t>EQEM</t>
        </is>
      </c>
      <c r="C110" s="8" t="n">
        <v>178973.41</v>
      </c>
      <c r="D110" s="8" t="n">
        <v>0</v>
      </c>
      <c r="E110" s="9">
        <f>C110-D110</f>
        <v/>
      </c>
    </row>
    <row r="111">
      <c r="A111" s="6" t="inlineStr">
        <is>
          <t>2026-06-04</t>
        </is>
      </c>
      <c r="B111" s="6" t="inlineStr">
        <is>
          <t>EQEM</t>
        </is>
      </c>
      <c r="C111" s="8" t="n">
        <v>352687.53</v>
      </c>
      <c r="D111" s="8" t="n">
        <v>198773.1</v>
      </c>
      <c r="E111" s="9">
        <f>C111-D111</f>
        <v/>
      </c>
    </row>
    <row r="112">
      <c r="A112" s="6" t="inlineStr">
        <is>
          <t>2026-06-05</t>
        </is>
      </c>
      <c r="B112" s="6" t="inlineStr">
        <is>
          <t>EQEM</t>
        </is>
      </c>
      <c r="C112" s="8" t="n">
        <v>13821.37</v>
      </c>
      <c r="D112" s="8" t="n">
        <v>284292.71</v>
      </c>
      <c r="E112" s="9">
        <f>C112-D112</f>
        <v/>
      </c>
    </row>
    <row r="113">
      <c r="A113" s="6" t="inlineStr">
        <is>
          <t>2026-06-08</t>
        </is>
      </c>
      <c r="B113" s="6" t="inlineStr">
        <is>
          <t>EQEM</t>
        </is>
      </c>
      <c r="C113" s="8" t="n">
        <v>742543.6899999999</v>
      </c>
      <c r="D113" s="8" t="n">
        <v>0</v>
      </c>
      <c r="E113" s="9">
        <f>C113-D113</f>
        <v/>
      </c>
    </row>
    <row r="114">
      <c r="A114" s="6" t="inlineStr">
        <is>
          <t>2026-06-09</t>
        </is>
      </c>
      <c r="B114" s="6" t="inlineStr">
        <is>
          <t>EQEM</t>
        </is>
      </c>
      <c r="C114" s="8" t="n">
        <v>0</v>
      </c>
      <c r="D114" s="8" t="n">
        <v>845524.22</v>
      </c>
      <c r="E114" s="9">
        <f>C114-D114</f>
        <v/>
      </c>
    </row>
    <row r="115">
      <c r="A115" s="6" t="inlineStr">
        <is>
          <t>2026-06-10</t>
        </is>
      </c>
      <c r="B115" s="6" t="inlineStr">
        <is>
          <t>EQEM</t>
        </is>
      </c>
      <c r="C115" s="8" t="n">
        <v>83878.46000000001</v>
      </c>
      <c r="D115" s="8" t="n">
        <v>414876.73</v>
      </c>
      <c r="E115" s="9">
        <f>C115-D115</f>
        <v/>
      </c>
    </row>
    <row r="116">
      <c r="A116" s="6" t="inlineStr">
        <is>
          <t>2026-06-11</t>
        </is>
      </c>
      <c r="B116" s="6" t="inlineStr">
        <is>
          <t>EQEM</t>
        </is>
      </c>
      <c r="C116" s="8" t="n">
        <v>543477.11</v>
      </c>
      <c r="D116" s="8" t="n">
        <v>399493.79</v>
      </c>
      <c r="E116" s="9">
        <f>C116-D116</f>
        <v/>
      </c>
    </row>
    <row r="117">
      <c r="A117" s="6" t="inlineStr">
        <is>
          <t>2026-06-12</t>
        </is>
      </c>
      <c r="B117" s="6" t="inlineStr">
        <is>
          <t>EQEM</t>
        </is>
      </c>
      <c r="C117" s="8" t="n">
        <v>499633.67</v>
      </c>
      <c r="D117" s="8" t="n">
        <v>142444.66</v>
      </c>
      <c r="E117" s="9">
        <f>C117-D117</f>
        <v/>
      </c>
    </row>
    <row r="118">
      <c r="A118" s="6" t="inlineStr">
        <is>
          <t>2026-06-15</t>
        </is>
      </c>
      <c r="B118" s="6" t="inlineStr">
        <is>
          <t>EQEM</t>
        </is>
      </c>
      <c r="C118" s="8" t="n">
        <v>84547.03999999999</v>
      </c>
      <c r="D118" s="8" t="n">
        <v>605712.15</v>
      </c>
      <c r="E118" s="9">
        <f>C118-D118</f>
        <v/>
      </c>
    </row>
    <row r="119">
      <c r="A119" s="6" t="inlineStr">
        <is>
          <t>2026-06-16</t>
        </is>
      </c>
      <c r="B119" s="6" t="inlineStr">
        <is>
          <t>EQEM</t>
        </is>
      </c>
      <c r="C119" s="8" t="n">
        <v>0</v>
      </c>
      <c r="D119" s="8" t="n">
        <v>846384.8199999999</v>
      </c>
      <c r="E119" s="9">
        <f>C119-D119</f>
        <v/>
      </c>
    </row>
    <row r="120">
      <c r="A120" s="6" t="inlineStr">
        <is>
          <t>2026-06-17</t>
        </is>
      </c>
      <c r="B120" s="6" t="inlineStr">
        <is>
          <t>EQEM</t>
        </is>
      </c>
      <c r="C120" s="8" t="n">
        <v>76290.10000000001</v>
      </c>
      <c r="D120" s="8" t="n">
        <v>384105.41</v>
      </c>
      <c r="E120" s="9">
        <f>C120-D120</f>
        <v/>
      </c>
    </row>
    <row r="121">
      <c r="A121" s="6" t="inlineStr">
        <is>
          <t>2026-06-18</t>
        </is>
      </c>
      <c r="B121" s="6" t="inlineStr">
        <is>
          <t>EQEM</t>
        </is>
      </c>
      <c r="C121" s="8" t="n">
        <v>143736.26</v>
      </c>
      <c r="D121" s="8" t="n">
        <v>228581.54</v>
      </c>
      <c r="E121" s="9">
        <f>C121-D121</f>
        <v/>
      </c>
    </row>
    <row r="122">
      <c r="A122" s="6" t="inlineStr">
        <is>
          <t>2026-06-19</t>
        </is>
      </c>
      <c r="B122" s="6" t="inlineStr">
        <is>
          <t>EQEM</t>
        </is>
      </c>
      <c r="C122" s="8" t="n">
        <v>342561.94</v>
      </c>
      <c r="D122" s="8" t="n">
        <v>185261.68</v>
      </c>
      <c r="E122" s="9">
        <f>C122-D122</f>
        <v/>
      </c>
    </row>
    <row r="123">
      <c r="A123" s="6" t="inlineStr">
        <is>
          <t>2026-06-22</t>
        </is>
      </c>
      <c r="B123" s="6" t="inlineStr">
        <is>
          <t>EQEM</t>
        </is>
      </c>
      <c r="C123" s="8" t="n">
        <v>351854.43</v>
      </c>
      <c r="D123" s="8" t="n">
        <v>0</v>
      </c>
      <c r="E123" s="9">
        <f>C123-D123</f>
        <v/>
      </c>
    </row>
    <row r="124">
      <c r="A124" s="6" t="inlineStr">
        <is>
          <t>2026-06-23</t>
        </is>
      </c>
      <c r="B124" s="6" t="inlineStr">
        <is>
          <t>EQEM</t>
        </is>
      </c>
      <c r="C124" s="8" t="n">
        <v>374243.06</v>
      </c>
      <c r="D124" s="8" t="n">
        <v>583097.63</v>
      </c>
      <c r="E124" s="9">
        <f>C124-D124</f>
        <v/>
      </c>
    </row>
    <row r="125">
      <c r="A125" s="6" t="inlineStr">
        <is>
          <t>2026-06-24</t>
        </is>
      </c>
      <c r="B125" s="6" t="inlineStr">
        <is>
          <t>EQEM</t>
        </is>
      </c>
      <c r="C125" s="8" t="n">
        <v>46567.49</v>
      </c>
      <c r="D125" s="8" t="n">
        <v>256897.05</v>
      </c>
      <c r="E125" s="9">
        <f>C125-D125</f>
        <v/>
      </c>
    </row>
    <row r="126">
      <c r="A126" s="6" t="inlineStr">
        <is>
          <t>2026-06-25</t>
        </is>
      </c>
      <c r="B126" s="6" t="inlineStr">
        <is>
          <t>EQEM</t>
        </is>
      </c>
      <c r="C126" s="8" t="n">
        <v>51515.38</v>
      </c>
      <c r="D126" s="8" t="n">
        <v>0</v>
      </c>
      <c r="E126" s="9">
        <f>C126-D126</f>
        <v/>
      </c>
    </row>
    <row r="127">
      <c r="A127" s="6" t="inlineStr">
        <is>
          <t>2026-06-26</t>
        </is>
      </c>
      <c r="B127" s="6" t="inlineStr">
        <is>
          <t>EQEM</t>
        </is>
      </c>
      <c r="C127" s="8" t="n">
        <v>0</v>
      </c>
      <c r="D127" s="8" t="n">
        <v>1145642.28</v>
      </c>
      <c r="E127" s="9">
        <f>C127-D127</f>
        <v/>
      </c>
    </row>
    <row r="128">
      <c r="A128" s="6" t="inlineStr">
        <is>
          <t>2026-06-29</t>
        </is>
      </c>
      <c r="B128" s="6" t="inlineStr">
        <is>
          <t>EQEM</t>
        </is>
      </c>
      <c r="C128" s="8" t="n">
        <v>64862.73</v>
      </c>
      <c r="D128" s="8" t="n">
        <v>289605.35</v>
      </c>
      <c r="E128" s="9">
        <f>C128-D128</f>
        <v/>
      </c>
    </row>
    <row r="129">
      <c r="A129" s="6" t="inlineStr">
        <is>
          <t>2026-06-30</t>
        </is>
      </c>
      <c r="B129" s="6" t="inlineStr">
        <is>
          <t>EQEM</t>
        </is>
      </c>
      <c r="C129" s="8" t="n">
        <v>265984.28</v>
      </c>
      <c r="D129" s="8" t="n">
        <v>851843.02</v>
      </c>
      <c r="E129" s="9">
        <f>C129-D129</f>
        <v/>
      </c>
    </row>
    <row r="130">
      <c r="A130" s="6" t="inlineStr">
        <is>
          <t>2026-04-01</t>
        </is>
      </c>
      <c r="B130" s="6" t="inlineStr">
        <is>
          <t>FIIG</t>
        </is>
      </c>
      <c r="C130" s="8" t="n">
        <v>895800.21</v>
      </c>
      <c r="D130" s="8" t="n">
        <v>1009697.34</v>
      </c>
      <c r="E130" s="9">
        <f>C130-D130</f>
        <v/>
      </c>
    </row>
    <row r="131">
      <c r="A131" s="6" t="inlineStr">
        <is>
          <t>2026-04-02</t>
        </is>
      </c>
      <c r="B131" s="6" t="inlineStr">
        <is>
          <t>FIIG</t>
        </is>
      </c>
      <c r="C131" s="8" t="n">
        <v>437767.14</v>
      </c>
      <c r="D131" s="8" t="n">
        <v>800679.23</v>
      </c>
      <c r="E131" s="9">
        <f>C131-D131</f>
        <v/>
      </c>
    </row>
    <row r="132">
      <c r="A132" s="6" t="inlineStr">
        <is>
          <t>2026-04-03</t>
        </is>
      </c>
      <c r="B132" s="6" t="inlineStr">
        <is>
          <t>FIIG</t>
        </is>
      </c>
      <c r="C132" s="8" t="n">
        <v>848744.21</v>
      </c>
      <c r="D132" s="8" t="n">
        <v>1073983.75</v>
      </c>
      <c r="E132" s="9">
        <f>C132-D132</f>
        <v/>
      </c>
    </row>
    <row r="133">
      <c r="A133" s="6" t="inlineStr">
        <is>
          <t>2026-04-06</t>
        </is>
      </c>
      <c r="B133" s="6" t="inlineStr">
        <is>
          <t>FIIG</t>
        </is>
      </c>
      <c r="C133" s="8" t="n">
        <v>764392.61</v>
      </c>
      <c r="D133" s="8" t="n">
        <v>555366.49</v>
      </c>
      <c r="E133" s="9">
        <f>C133-D133</f>
        <v/>
      </c>
    </row>
    <row r="134">
      <c r="A134" s="6" t="inlineStr">
        <is>
          <t>2026-04-07</t>
        </is>
      </c>
      <c r="B134" s="6" t="inlineStr">
        <is>
          <t>FIIG</t>
        </is>
      </c>
      <c r="C134" s="8" t="n">
        <v>460368.26</v>
      </c>
      <c r="D134" s="8" t="n">
        <v>836811.41</v>
      </c>
      <c r="E134" s="9">
        <f>C134-D134</f>
        <v/>
      </c>
    </row>
    <row r="135">
      <c r="A135" s="6" t="inlineStr">
        <is>
          <t>2026-04-08</t>
        </is>
      </c>
      <c r="B135" s="6" t="inlineStr">
        <is>
          <t>FIIG</t>
        </is>
      </c>
      <c r="C135" s="8" t="n">
        <v>548286.26</v>
      </c>
      <c r="D135" s="8" t="n">
        <v>157408.48</v>
      </c>
      <c r="E135" s="9">
        <f>C135-D135</f>
        <v/>
      </c>
    </row>
    <row r="136">
      <c r="A136" s="6" t="inlineStr">
        <is>
          <t>2026-04-09</t>
        </is>
      </c>
      <c r="B136" s="6" t="inlineStr">
        <is>
          <t>FIIG</t>
        </is>
      </c>
      <c r="C136" s="8" t="n">
        <v>1299729.97</v>
      </c>
      <c r="D136" s="8" t="n">
        <v>0</v>
      </c>
      <c r="E136" s="9">
        <f>C136-D136</f>
        <v/>
      </c>
    </row>
    <row r="137">
      <c r="A137" s="6" t="inlineStr">
        <is>
          <t>2026-04-10</t>
        </is>
      </c>
      <c r="B137" s="6" t="inlineStr">
        <is>
          <t>FIIG</t>
        </is>
      </c>
      <c r="C137" s="8" t="n">
        <v>1154635.26</v>
      </c>
      <c r="D137" s="8" t="n">
        <v>0</v>
      </c>
      <c r="E137" s="9">
        <f>C137-D137</f>
        <v/>
      </c>
    </row>
    <row r="138">
      <c r="A138" s="6" t="inlineStr">
        <is>
          <t>2026-04-13</t>
        </is>
      </c>
      <c r="B138" s="6" t="inlineStr">
        <is>
          <t>FIIG</t>
        </is>
      </c>
      <c r="C138" s="8" t="n">
        <v>150797.08</v>
      </c>
      <c r="D138" s="8" t="n">
        <v>1269152.38</v>
      </c>
      <c r="E138" s="9">
        <f>C138-D138</f>
        <v/>
      </c>
    </row>
    <row r="139">
      <c r="A139" s="6" t="inlineStr">
        <is>
          <t>2026-04-14</t>
        </is>
      </c>
      <c r="B139" s="6" t="inlineStr">
        <is>
          <t>FIIG</t>
        </is>
      </c>
      <c r="C139" s="8" t="n">
        <v>1509562.75</v>
      </c>
      <c r="D139" s="8" t="n">
        <v>121421.14</v>
      </c>
      <c r="E139" s="9">
        <f>C139-D139</f>
        <v/>
      </c>
    </row>
    <row r="140">
      <c r="A140" s="6" t="inlineStr">
        <is>
          <t>2026-04-15</t>
        </is>
      </c>
      <c r="B140" s="6" t="inlineStr">
        <is>
          <t>FIIG</t>
        </is>
      </c>
      <c r="C140" s="8" t="n">
        <v>0</v>
      </c>
      <c r="D140" s="8" t="n">
        <v>0</v>
      </c>
      <c r="E140" s="9">
        <f>C140-D140</f>
        <v/>
      </c>
    </row>
    <row r="141">
      <c r="A141" s="6" t="inlineStr">
        <is>
          <t>2026-04-16</t>
        </is>
      </c>
      <c r="B141" s="6" t="inlineStr">
        <is>
          <t>FIIG</t>
        </is>
      </c>
      <c r="C141" s="8" t="n">
        <v>1123840.91</v>
      </c>
      <c r="D141" s="8" t="n">
        <v>304890.63</v>
      </c>
      <c r="E141" s="9">
        <f>C141-D141</f>
        <v/>
      </c>
    </row>
    <row r="142">
      <c r="A142" s="6" t="inlineStr">
        <is>
          <t>2026-04-17</t>
        </is>
      </c>
      <c r="B142" s="6" t="inlineStr">
        <is>
          <t>FIIG</t>
        </is>
      </c>
      <c r="C142" s="8" t="n">
        <v>593861.03</v>
      </c>
      <c r="D142" s="8" t="n">
        <v>724516.05</v>
      </c>
      <c r="E142" s="9">
        <f>C142-D142</f>
        <v/>
      </c>
    </row>
    <row r="143">
      <c r="A143" s="6" t="inlineStr">
        <is>
          <t>2026-04-20</t>
        </is>
      </c>
      <c r="B143" s="6" t="inlineStr">
        <is>
          <t>FIIG</t>
        </is>
      </c>
      <c r="C143" s="8" t="n">
        <v>82204.94</v>
      </c>
      <c r="D143" s="8" t="n">
        <v>102046.59</v>
      </c>
      <c r="E143" s="9">
        <f>C143-D143</f>
        <v/>
      </c>
    </row>
    <row r="144">
      <c r="A144" s="6" t="inlineStr">
        <is>
          <t>2026-04-21</t>
        </is>
      </c>
      <c r="B144" s="6" t="inlineStr">
        <is>
          <t>FIIG</t>
        </is>
      </c>
      <c r="C144" s="8" t="n">
        <v>0</v>
      </c>
      <c r="D144" s="8" t="n">
        <v>712020.84</v>
      </c>
      <c r="E144" s="9">
        <f>C144-D144</f>
        <v/>
      </c>
    </row>
    <row r="145">
      <c r="A145" s="6" t="inlineStr">
        <is>
          <t>2026-04-22</t>
        </is>
      </c>
      <c r="B145" s="6" t="inlineStr">
        <is>
          <t>FIIG</t>
        </is>
      </c>
      <c r="C145" s="8" t="n">
        <v>1488783.37</v>
      </c>
      <c r="D145" s="8" t="n">
        <v>1498751.34</v>
      </c>
      <c r="E145" s="9">
        <f>C145-D145</f>
        <v/>
      </c>
    </row>
    <row r="146">
      <c r="A146" s="6" t="inlineStr">
        <is>
          <t>2026-04-23</t>
        </is>
      </c>
      <c r="B146" s="6" t="inlineStr">
        <is>
          <t>FIIG</t>
        </is>
      </c>
      <c r="C146" s="8" t="n">
        <v>912736.6899999999</v>
      </c>
      <c r="D146" s="8" t="n">
        <v>1626061.5</v>
      </c>
      <c r="E146" s="9">
        <f>C146-D146</f>
        <v/>
      </c>
    </row>
    <row r="147">
      <c r="A147" s="6" t="inlineStr">
        <is>
          <t>2026-04-24</t>
        </is>
      </c>
      <c r="B147" s="6" t="inlineStr">
        <is>
          <t>FIIG</t>
        </is>
      </c>
      <c r="C147" s="8" t="n">
        <v>464533.72</v>
      </c>
      <c r="D147" s="8" t="n">
        <v>1497967.37</v>
      </c>
      <c r="E147" s="9">
        <f>C147-D147</f>
        <v/>
      </c>
    </row>
    <row r="148">
      <c r="A148" s="6" t="inlineStr">
        <is>
          <t>2026-04-27</t>
        </is>
      </c>
      <c r="B148" s="6" t="inlineStr">
        <is>
          <t>FIIG</t>
        </is>
      </c>
      <c r="C148" s="8" t="n">
        <v>2123452.21</v>
      </c>
      <c r="D148" s="8" t="n">
        <v>116663.95</v>
      </c>
      <c r="E148" s="9">
        <f>C148-D148</f>
        <v/>
      </c>
    </row>
    <row r="149">
      <c r="A149" s="6" t="inlineStr">
        <is>
          <t>2026-04-28</t>
        </is>
      </c>
      <c r="B149" s="6" t="inlineStr">
        <is>
          <t>FIIG</t>
        </is>
      </c>
      <c r="C149" s="8" t="n">
        <v>864385.46</v>
      </c>
      <c r="D149" s="8" t="n">
        <v>218580.5</v>
      </c>
      <c r="E149" s="9">
        <f>C149-D149</f>
        <v/>
      </c>
    </row>
    <row r="150">
      <c r="A150" s="6" t="inlineStr">
        <is>
          <t>2026-04-29</t>
        </is>
      </c>
      <c r="B150" s="6" t="inlineStr">
        <is>
          <t>FIIG</t>
        </is>
      </c>
      <c r="C150" s="8" t="n">
        <v>1177205.2</v>
      </c>
      <c r="D150" s="8" t="n">
        <v>1126561.58</v>
      </c>
      <c r="E150" s="9">
        <f>C150-D150</f>
        <v/>
      </c>
    </row>
    <row r="151">
      <c r="A151" s="6" t="inlineStr">
        <is>
          <t>2026-04-30</t>
        </is>
      </c>
      <c r="B151" s="6" t="inlineStr">
        <is>
          <t>FIIG</t>
        </is>
      </c>
      <c r="C151" s="8" t="n">
        <v>1267817.81</v>
      </c>
      <c r="D151" s="8" t="n">
        <v>0</v>
      </c>
      <c r="E151" s="9">
        <f>C151-D151</f>
        <v/>
      </c>
    </row>
    <row r="152">
      <c r="A152" s="6" t="inlineStr">
        <is>
          <t>2026-05-01</t>
        </is>
      </c>
      <c r="B152" s="6" t="inlineStr">
        <is>
          <t>FIIG</t>
        </is>
      </c>
      <c r="C152" s="8" t="n">
        <v>609832.2</v>
      </c>
      <c r="D152" s="8" t="n">
        <v>459583.31</v>
      </c>
      <c r="E152" s="9">
        <f>C152-D152</f>
        <v/>
      </c>
    </row>
    <row r="153">
      <c r="A153" s="6" t="inlineStr">
        <is>
          <t>2026-05-04</t>
        </is>
      </c>
      <c r="B153" s="6" t="inlineStr">
        <is>
          <t>FIIG</t>
        </is>
      </c>
      <c r="C153" s="8" t="n">
        <v>286559.7</v>
      </c>
      <c r="D153" s="8" t="n">
        <v>562175.29</v>
      </c>
      <c r="E153" s="9">
        <f>C153-D153</f>
        <v/>
      </c>
    </row>
    <row r="154">
      <c r="A154" s="6" t="inlineStr">
        <is>
          <t>2026-05-05</t>
        </is>
      </c>
      <c r="B154" s="6" t="inlineStr">
        <is>
          <t>FIIG</t>
        </is>
      </c>
      <c r="C154" s="8" t="n">
        <v>879916.9399999999</v>
      </c>
      <c r="D154" s="8" t="n">
        <v>542845.8199999999</v>
      </c>
      <c r="E154" s="9">
        <f>C154-D154</f>
        <v/>
      </c>
    </row>
    <row r="155">
      <c r="A155" s="6" t="inlineStr">
        <is>
          <t>2026-05-06</t>
        </is>
      </c>
      <c r="B155" s="6" t="inlineStr">
        <is>
          <t>FIIG</t>
        </is>
      </c>
      <c r="C155" s="8" t="n">
        <v>572164.35</v>
      </c>
      <c r="D155" s="8" t="n">
        <v>16128.24</v>
      </c>
      <c r="E155" s="9">
        <f>C155-D155</f>
        <v/>
      </c>
    </row>
    <row r="156">
      <c r="A156" s="6" t="inlineStr">
        <is>
          <t>2026-05-07</t>
        </is>
      </c>
      <c r="B156" s="6" t="inlineStr">
        <is>
          <t>FIIG</t>
        </is>
      </c>
      <c r="C156" s="8" t="n">
        <v>1500459.57</v>
      </c>
      <c r="D156" s="8" t="n">
        <v>392944.34</v>
      </c>
      <c r="E156" s="9">
        <f>C156-D156</f>
        <v/>
      </c>
    </row>
    <row r="157">
      <c r="A157" s="6" t="inlineStr">
        <is>
          <t>2026-05-08</t>
        </is>
      </c>
      <c r="B157" s="6" t="inlineStr">
        <is>
          <t>FIIG</t>
        </is>
      </c>
      <c r="C157" s="8" t="n">
        <v>771129.36</v>
      </c>
      <c r="D157" s="8" t="n">
        <v>133779.79</v>
      </c>
      <c r="E157" s="9">
        <f>C157-D157</f>
        <v/>
      </c>
    </row>
    <row r="158">
      <c r="A158" s="6" t="inlineStr">
        <is>
          <t>2026-05-11</t>
        </is>
      </c>
      <c r="B158" s="6" t="inlineStr">
        <is>
          <t>FIIG</t>
        </is>
      </c>
      <c r="C158" s="8" t="n">
        <v>0</v>
      </c>
      <c r="D158" s="8" t="n">
        <v>950239.65</v>
      </c>
      <c r="E158" s="9">
        <f>C158-D158</f>
        <v/>
      </c>
    </row>
    <row r="159">
      <c r="A159" s="6" t="inlineStr">
        <is>
          <t>2026-05-12</t>
        </is>
      </c>
      <c r="B159" s="6" t="inlineStr">
        <is>
          <t>FIIG</t>
        </is>
      </c>
      <c r="C159" s="8" t="n">
        <v>0</v>
      </c>
      <c r="D159" s="8" t="n">
        <v>21006.61</v>
      </c>
      <c r="E159" s="9">
        <f>C159-D159</f>
        <v/>
      </c>
    </row>
    <row r="160">
      <c r="A160" s="6" t="inlineStr">
        <is>
          <t>2026-05-13</t>
        </is>
      </c>
      <c r="B160" s="6" t="inlineStr">
        <is>
          <t>FIIG</t>
        </is>
      </c>
      <c r="C160" s="8" t="n">
        <v>0</v>
      </c>
      <c r="D160" s="8" t="n">
        <v>1289596.17</v>
      </c>
      <c r="E160" s="9">
        <f>C160-D160</f>
        <v/>
      </c>
    </row>
    <row r="161">
      <c r="A161" s="6" t="inlineStr">
        <is>
          <t>2026-05-14</t>
        </is>
      </c>
      <c r="B161" s="6" t="inlineStr">
        <is>
          <t>FIIG</t>
        </is>
      </c>
      <c r="C161" s="8" t="n">
        <v>855209.2</v>
      </c>
      <c r="D161" s="8" t="n">
        <v>697938.88</v>
      </c>
      <c r="E161" s="9">
        <f>C161-D161</f>
        <v/>
      </c>
    </row>
    <row r="162">
      <c r="A162" s="6" t="inlineStr">
        <is>
          <t>2026-05-15</t>
        </is>
      </c>
      <c r="B162" s="6" t="inlineStr">
        <is>
          <t>FIIG</t>
        </is>
      </c>
      <c r="C162" s="8" t="n">
        <v>427851.27</v>
      </c>
      <c r="D162" s="8" t="n">
        <v>1287429.63</v>
      </c>
      <c r="E162" s="9">
        <f>C162-D162</f>
        <v/>
      </c>
    </row>
    <row r="163">
      <c r="A163" s="6" t="inlineStr">
        <is>
          <t>2026-05-18</t>
        </is>
      </c>
      <c r="B163" s="6" t="inlineStr">
        <is>
          <t>FIIG</t>
        </is>
      </c>
      <c r="C163" s="8" t="n">
        <v>569011.66</v>
      </c>
      <c r="D163" s="8" t="n">
        <v>27455.32</v>
      </c>
      <c r="E163" s="9">
        <f>C163-D163</f>
        <v/>
      </c>
    </row>
    <row r="164">
      <c r="A164" s="6" t="inlineStr">
        <is>
          <t>2026-05-19</t>
        </is>
      </c>
      <c r="B164" s="6" t="inlineStr">
        <is>
          <t>FIIG</t>
        </is>
      </c>
      <c r="C164" s="8" t="n">
        <v>192905.51</v>
      </c>
      <c r="D164" s="8" t="n">
        <v>0</v>
      </c>
      <c r="E164" s="9">
        <f>C164-D164</f>
        <v/>
      </c>
    </row>
    <row r="165">
      <c r="A165" s="6" t="inlineStr">
        <is>
          <t>2026-05-20</t>
        </is>
      </c>
      <c r="B165" s="6" t="inlineStr">
        <is>
          <t>FIIG</t>
        </is>
      </c>
      <c r="C165" s="8" t="n">
        <v>0</v>
      </c>
      <c r="D165" s="8" t="n">
        <v>403659.45</v>
      </c>
      <c r="E165" s="9">
        <f>C165-D165</f>
        <v/>
      </c>
    </row>
    <row r="166">
      <c r="A166" s="6" t="inlineStr">
        <is>
          <t>2026-05-21</t>
        </is>
      </c>
      <c r="B166" s="6" t="inlineStr">
        <is>
          <t>FIIG</t>
        </is>
      </c>
      <c r="C166" s="8" t="n">
        <v>342815.22</v>
      </c>
      <c r="D166" s="8" t="n">
        <v>447970.19</v>
      </c>
      <c r="E166" s="9">
        <f>C166-D166</f>
        <v/>
      </c>
    </row>
    <row r="167">
      <c r="A167" s="6" t="inlineStr">
        <is>
          <t>2026-05-22</t>
        </is>
      </c>
      <c r="B167" s="6" t="inlineStr">
        <is>
          <t>FIIG</t>
        </is>
      </c>
      <c r="C167" s="8" t="n">
        <v>0</v>
      </c>
      <c r="D167" s="8" t="n">
        <v>265026.43</v>
      </c>
      <c r="E167" s="9">
        <f>C167-D167</f>
        <v/>
      </c>
    </row>
    <row r="168">
      <c r="A168" s="6" t="inlineStr">
        <is>
          <t>2026-05-26</t>
        </is>
      </c>
      <c r="B168" s="6" t="inlineStr">
        <is>
          <t>FIIG</t>
        </is>
      </c>
      <c r="C168" s="8" t="n">
        <v>1392782.32</v>
      </c>
      <c r="D168" s="8" t="n">
        <v>981232.41</v>
      </c>
      <c r="E168" s="9">
        <f>C168-D168</f>
        <v/>
      </c>
    </row>
    <row r="169">
      <c r="A169" s="6" t="inlineStr">
        <is>
          <t>2026-05-27</t>
        </is>
      </c>
      <c r="B169" s="6" t="inlineStr">
        <is>
          <t>FIIG</t>
        </is>
      </c>
      <c r="C169" s="8" t="n">
        <v>1066085.21</v>
      </c>
      <c r="D169" s="8" t="n">
        <v>809292.05</v>
      </c>
      <c r="E169" s="9">
        <f>C169-D169</f>
        <v/>
      </c>
    </row>
    <row r="170">
      <c r="A170" s="6" t="inlineStr">
        <is>
          <t>2026-05-28</t>
        </is>
      </c>
      <c r="B170" s="6" t="inlineStr">
        <is>
          <t>FIIG</t>
        </is>
      </c>
      <c r="C170" s="8" t="n">
        <v>1830769.05</v>
      </c>
      <c r="D170" s="8" t="n">
        <v>22622.44</v>
      </c>
      <c r="E170" s="9">
        <f>C170-D170</f>
        <v/>
      </c>
    </row>
    <row r="171">
      <c r="A171" s="6" t="inlineStr">
        <is>
          <t>2026-05-29</t>
        </is>
      </c>
      <c r="B171" s="6" t="inlineStr">
        <is>
          <t>FIIG</t>
        </is>
      </c>
      <c r="C171" s="8" t="n">
        <v>278414.94</v>
      </c>
      <c r="D171" s="8" t="n">
        <v>683954.5699999999</v>
      </c>
      <c r="E171" s="9">
        <f>C171-D171</f>
        <v/>
      </c>
    </row>
    <row r="172">
      <c r="A172" s="6" t="inlineStr">
        <is>
          <t>2026-06-01</t>
        </is>
      </c>
      <c r="B172" s="6" t="inlineStr">
        <is>
          <t>FIIG</t>
        </is>
      </c>
      <c r="C172" s="8" t="n">
        <v>1605447.97</v>
      </c>
      <c r="D172" s="8" t="n">
        <v>691176.26</v>
      </c>
      <c r="E172" s="9">
        <f>C172-D172</f>
        <v/>
      </c>
    </row>
    <row r="173">
      <c r="A173" s="6" t="inlineStr">
        <is>
          <t>2026-06-02</t>
        </is>
      </c>
      <c r="B173" s="6" t="inlineStr">
        <is>
          <t>FIIG</t>
        </is>
      </c>
      <c r="C173" s="8" t="n">
        <v>319220</v>
      </c>
      <c r="D173" s="8" t="n">
        <v>0</v>
      </c>
      <c r="E173" s="9">
        <f>C173-D173</f>
        <v/>
      </c>
    </row>
    <row r="174">
      <c r="A174" s="6" t="inlineStr">
        <is>
          <t>2026-06-03</t>
        </is>
      </c>
      <c r="B174" s="6" t="inlineStr">
        <is>
          <t>FIIG</t>
        </is>
      </c>
      <c r="C174" s="8" t="n">
        <v>0</v>
      </c>
      <c r="D174" s="8" t="n">
        <v>0</v>
      </c>
      <c r="E174" s="9">
        <f>C174-D174</f>
        <v/>
      </c>
    </row>
    <row r="175">
      <c r="A175" s="6" t="inlineStr">
        <is>
          <t>2026-06-04</t>
        </is>
      </c>
      <c r="B175" s="6" t="inlineStr">
        <is>
          <t>FIIG</t>
        </is>
      </c>
      <c r="C175" s="8" t="n">
        <v>1184985.18</v>
      </c>
      <c r="D175" s="8" t="n">
        <v>409125.97</v>
      </c>
      <c r="E175" s="9">
        <f>C175-D175</f>
        <v/>
      </c>
    </row>
    <row r="176">
      <c r="A176" s="6" t="inlineStr">
        <is>
          <t>2026-06-05</t>
        </is>
      </c>
      <c r="B176" s="6" t="inlineStr">
        <is>
          <t>FIIG</t>
        </is>
      </c>
      <c r="C176" s="8" t="n">
        <v>1442798.15</v>
      </c>
      <c r="D176" s="8" t="n">
        <v>1251774.26</v>
      </c>
      <c r="E176" s="9">
        <f>C176-D176</f>
        <v/>
      </c>
    </row>
    <row r="177">
      <c r="A177" s="6" t="inlineStr">
        <is>
          <t>2026-06-08</t>
        </is>
      </c>
      <c r="B177" s="6" t="inlineStr">
        <is>
          <t>FIIG</t>
        </is>
      </c>
      <c r="C177" s="8" t="n">
        <v>129402.26</v>
      </c>
      <c r="D177" s="8" t="n">
        <v>33055.72</v>
      </c>
      <c r="E177" s="9">
        <f>C177-D177</f>
        <v/>
      </c>
    </row>
    <row r="178">
      <c r="A178" s="6" t="inlineStr">
        <is>
          <t>2026-06-09</t>
        </is>
      </c>
      <c r="B178" s="6" t="inlineStr">
        <is>
          <t>FIIG</t>
        </is>
      </c>
      <c r="C178" s="8" t="n">
        <v>986060.76</v>
      </c>
      <c r="D178" s="8" t="n">
        <v>0</v>
      </c>
      <c r="E178" s="9">
        <f>C178-D178</f>
        <v/>
      </c>
    </row>
    <row r="179">
      <c r="A179" s="6" t="inlineStr">
        <is>
          <t>2026-06-10</t>
        </is>
      </c>
      <c r="B179" s="6" t="inlineStr">
        <is>
          <t>FIIG</t>
        </is>
      </c>
      <c r="C179" s="8" t="n">
        <v>0</v>
      </c>
      <c r="D179" s="8" t="n">
        <v>1121531.11</v>
      </c>
      <c r="E179" s="9">
        <f>C179-D179</f>
        <v/>
      </c>
    </row>
    <row r="180">
      <c r="A180" s="6" t="inlineStr">
        <is>
          <t>2026-06-11</t>
        </is>
      </c>
      <c r="B180" s="6" t="inlineStr">
        <is>
          <t>FIIG</t>
        </is>
      </c>
      <c r="C180" s="8" t="n">
        <v>535780.59</v>
      </c>
      <c r="D180" s="8" t="n">
        <v>0</v>
      </c>
      <c r="E180" s="9">
        <f>C180-D180</f>
        <v/>
      </c>
    </row>
    <row r="181">
      <c r="A181" s="6" t="inlineStr">
        <is>
          <t>2026-06-12</t>
        </is>
      </c>
      <c r="B181" s="6" t="inlineStr">
        <is>
          <t>FIIG</t>
        </is>
      </c>
      <c r="C181" s="8" t="n">
        <v>1458492.34</v>
      </c>
      <c r="D181" s="8" t="n">
        <v>937031.71</v>
      </c>
      <c r="E181" s="9">
        <f>C181-D181</f>
        <v/>
      </c>
    </row>
    <row r="182">
      <c r="A182" s="6" t="inlineStr">
        <is>
          <t>2026-06-15</t>
        </is>
      </c>
      <c r="B182" s="6" t="inlineStr">
        <is>
          <t>FIIG</t>
        </is>
      </c>
      <c r="C182" s="8" t="n">
        <v>733494.17</v>
      </c>
      <c r="D182" s="8" t="n">
        <v>687444.74</v>
      </c>
      <c r="E182" s="9">
        <f>C182-D182</f>
        <v/>
      </c>
    </row>
    <row r="183">
      <c r="A183" s="6" t="inlineStr">
        <is>
          <t>2026-06-16</t>
        </is>
      </c>
      <c r="B183" s="6" t="inlineStr">
        <is>
          <t>FIIG</t>
        </is>
      </c>
      <c r="C183" s="8" t="n">
        <v>439602.38</v>
      </c>
      <c r="D183" s="8" t="n">
        <v>409889.99</v>
      </c>
      <c r="E183" s="9">
        <f>C183-D183</f>
        <v/>
      </c>
    </row>
    <row r="184">
      <c r="A184" s="6" t="inlineStr">
        <is>
          <t>2026-06-17</t>
        </is>
      </c>
      <c r="B184" s="6" t="inlineStr">
        <is>
          <t>FIIG</t>
        </is>
      </c>
      <c r="C184" s="8" t="n">
        <v>536955.6</v>
      </c>
      <c r="D184" s="8" t="n">
        <v>0</v>
      </c>
      <c r="E184" s="9">
        <f>C184-D184</f>
        <v/>
      </c>
    </row>
    <row r="185">
      <c r="A185" s="6" t="inlineStr">
        <is>
          <t>2026-06-18</t>
        </is>
      </c>
      <c r="B185" s="6" t="inlineStr">
        <is>
          <t>FIIG</t>
        </is>
      </c>
      <c r="C185" s="8" t="n">
        <v>1839266.81</v>
      </c>
      <c r="D185" s="8" t="n">
        <v>349083.76</v>
      </c>
      <c r="E185" s="9">
        <f>C185-D185</f>
        <v/>
      </c>
    </row>
    <row r="186">
      <c r="A186" s="6" t="inlineStr">
        <is>
          <t>2026-06-19</t>
        </is>
      </c>
      <c r="B186" s="6" t="inlineStr">
        <is>
          <t>FIIG</t>
        </is>
      </c>
      <c r="C186" s="8" t="n">
        <v>81797.71000000001</v>
      </c>
      <c r="D186" s="8" t="n">
        <v>1568934.62</v>
      </c>
      <c r="E186" s="9">
        <f>C186-D186</f>
        <v/>
      </c>
    </row>
    <row r="187">
      <c r="A187" s="6" t="inlineStr">
        <is>
          <t>2026-06-22</t>
        </is>
      </c>
      <c r="B187" s="6" t="inlineStr">
        <is>
          <t>FIIG</t>
        </is>
      </c>
      <c r="C187" s="8" t="n">
        <v>583471.45</v>
      </c>
      <c r="D187" s="8" t="n">
        <v>648786.84</v>
      </c>
      <c r="E187" s="9">
        <f>C187-D187</f>
        <v/>
      </c>
    </row>
    <row r="188">
      <c r="A188" s="6" t="inlineStr">
        <is>
          <t>2026-06-23</t>
        </is>
      </c>
      <c r="B188" s="6" t="inlineStr">
        <is>
          <t>FIIG</t>
        </is>
      </c>
      <c r="C188" s="8" t="n">
        <v>1202380.8</v>
      </c>
      <c r="D188" s="8" t="n">
        <v>1137096</v>
      </c>
      <c r="E188" s="9">
        <f>C188-D188</f>
        <v/>
      </c>
    </row>
    <row r="189">
      <c r="A189" s="6" t="inlineStr">
        <is>
          <t>2026-06-24</t>
        </is>
      </c>
      <c r="B189" s="6" t="inlineStr">
        <is>
          <t>FIIG</t>
        </is>
      </c>
      <c r="C189" s="8" t="n">
        <v>682107.78</v>
      </c>
      <c r="D189" s="8" t="n">
        <v>0</v>
      </c>
      <c r="E189" s="9">
        <f>C189-D189</f>
        <v/>
      </c>
    </row>
    <row r="190">
      <c r="A190" s="6" t="inlineStr">
        <is>
          <t>2026-06-25</t>
        </is>
      </c>
      <c r="B190" s="6" t="inlineStr">
        <is>
          <t>FIIG</t>
        </is>
      </c>
      <c r="C190" s="8" t="n">
        <v>1531684.9</v>
      </c>
      <c r="D190" s="8" t="n">
        <v>701399.38</v>
      </c>
      <c r="E190" s="9">
        <f>C190-D190</f>
        <v/>
      </c>
    </row>
    <row r="191">
      <c r="A191" s="6" t="inlineStr">
        <is>
          <t>2026-06-26</t>
        </is>
      </c>
      <c r="B191" s="6" t="inlineStr">
        <is>
          <t>FIIG</t>
        </is>
      </c>
      <c r="C191" s="8" t="n">
        <v>873115.25</v>
      </c>
      <c r="D191" s="8" t="n">
        <v>848496.61</v>
      </c>
      <c r="E191" s="9">
        <f>C191-D191</f>
        <v/>
      </c>
    </row>
    <row r="192">
      <c r="A192" s="6" t="inlineStr">
        <is>
          <t>2026-06-29</t>
        </is>
      </c>
      <c r="B192" s="6" t="inlineStr">
        <is>
          <t>FIIG</t>
        </is>
      </c>
      <c r="C192" s="8" t="n">
        <v>373849.46</v>
      </c>
      <c r="D192" s="8" t="n">
        <v>441253.95</v>
      </c>
      <c r="E192" s="9">
        <f>C192-D192</f>
        <v/>
      </c>
    </row>
    <row r="193">
      <c r="A193" s="6" t="inlineStr">
        <is>
          <t>2026-06-30</t>
        </is>
      </c>
      <c r="B193" s="6" t="inlineStr">
        <is>
          <t>FIIG</t>
        </is>
      </c>
      <c r="C193" s="8" t="n">
        <v>0</v>
      </c>
      <c r="D193" s="8" t="n">
        <v>0</v>
      </c>
      <c r="E193" s="9">
        <f>C193-D193</f>
        <v/>
      </c>
    </row>
    <row r="194">
      <c r="A194" s="6" t="inlineStr">
        <is>
          <t>2026-04-01</t>
        </is>
      </c>
      <c r="B194" s="6" t="inlineStr">
        <is>
          <t>BALM</t>
        </is>
      </c>
      <c r="C194" s="8" t="n">
        <v>31914.42</v>
      </c>
      <c r="D194" s="8" t="n">
        <v>1409402.14</v>
      </c>
      <c r="E194" s="9">
        <f>C194-D194</f>
        <v/>
      </c>
    </row>
    <row r="195">
      <c r="A195" s="6" t="inlineStr">
        <is>
          <t>2026-04-02</t>
        </is>
      </c>
      <c r="B195" s="6" t="inlineStr">
        <is>
          <t>BALM</t>
        </is>
      </c>
      <c r="C195" s="8" t="n">
        <v>0</v>
      </c>
      <c r="D195" s="8" t="n">
        <v>0</v>
      </c>
      <c r="E195" s="9">
        <f>C195-D195</f>
        <v/>
      </c>
    </row>
    <row r="196">
      <c r="A196" s="6" t="inlineStr">
        <is>
          <t>2026-04-03</t>
        </is>
      </c>
      <c r="B196" s="6" t="inlineStr">
        <is>
          <t>BALM</t>
        </is>
      </c>
      <c r="C196" s="8" t="n">
        <v>693893.24</v>
      </c>
      <c r="D196" s="8" t="n">
        <v>747665.5600000001</v>
      </c>
      <c r="E196" s="9">
        <f>C196-D196</f>
        <v/>
      </c>
    </row>
    <row r="197">
      <c r="A197" s="6" t="inlineStr">
        <is>
          <t>2026-04-06</t>
        </is>
      </c>
      <c r="B197" s="6" t="inlineStr">
        <is>
          <t>BALM</t>
        </is>
      </c>
      <c r="C197" s="8" t="n">
        <v>0</v>
      </c>
      <c r="D197" s="8" t="n">
        <v>211240.69</v>
      </c>
      <c r="E197" s="9">
        <f>C197-D197</f>
        <v/>
      </c>
    </row>
    <row r="198">
      <c r="A198" s="6" t="inlineStr">
        <is>
          <t>2026-04-07</t>
        </is>
      </c>
      <c r="B198" s="6" t="inlineStr">
        <is>
          <t>BALM</t>
        </is>
      </c>
      <c r="C198" s="8" t="n">
        <v>479825.38</v>
      </c>
      <c r="D198" s="8" t="n">
        <v>1002417.08</v>
      </c>
      <c r="E198" s="9">
        <f>C198-D198</f>
        <v/>
      </c>
    </row>
    <row r="199">
      <c r="A199" s="6" t="inlineStr">
        <is>
          <t>2026-04-08</t>
        </is>
      </c>
      <c r="B199" s="6" t="inlineStr">
        <is>
          <t>BALM</t>
        </is>
      </c>
      <c r="C199" s="8" t="n">
        <v>0</v>
      </c>
      <c r="D199" s="8" t="n">
        <v>237748.52</v>
      </c>
      <c r="E199" s="9">
        <f>C199-D199</f>
        <v/>
      </c>
    </row>
    <row r="200">
      <c r="A200" s="6" t="inlineStr">
        <is>
          <t>2026-04-09</t>
        </is>
      </c>
      <c r="B200" s="6" t="inlineStr">
        <is>
          <t>BALM</t>
        </is>
      </c>
      <c r="C200" s="8" t="n">
        <v>76694.3</v>
      </c>
      <c r="D200" s="8" t="n">
        <v>495256.85</v>
      </c>
      <c r="E200" s="9">
        <f>C200-D200</f>
        <v/>
      </c>
    </row>
    <row r="201">
      <c r="A201" s="6" t="inlineStr">
        <is>
          <t>2026-04-10</t>
        </is>
      </c>
      <c r="B201" s="6" t="inlineStr">
        <is>
          <t>BALM</t>
        </is>
      </c>
      <c r="C201" s="8" t="n">
        <v>502539.69</v>
      </c>
      <c r="D201" s="8" t="n">
        <v>989238.42</v>
      </c>
      <c r="E201" s="9">
        <f>C201-D201</f>
        <v/>
      </c>
    </row>
    <row r="202">
      <c r="A202" s="6" t="inlineStr">
        <is>
          <t>2026-04-13</t>
        </is>
      </c>
      <c r="B202" s="6" t="inlineStr">
        <is>
          <t>BALM</t>
        </is>
      </c>
      <c r="C202" s="8" t="n">
        <v>412211.8</v>
      </c>
      <c r="D202" s="8" t="n">
        <v>363199.87</v>
      </c>
      <c r="E202" s="9">
        <f>C202-D202</f>
        <v/>
      </c>
    </row>
    <row r="203">
      <c r="A203" s="6" t="inlineStr">
        <is>
          <t>2026-04-14</t>
        </is>
      </c>
      <c r="B203" s="6" t="inlineStr">
        <is>
          <t>BALM</t>
        </is>
      </c>
      <c r="C203" s="8" t="n">
        <v>0</v>
      </c>
      <c r="D203" s="8" t="n">
        <v>16255.84</v>
      </c>
      <c r="E203" s="9">
        <f>C203-D203</f>
        <v/>
      </c>
    </row>
    <row r="204">
      <c r="A204" s="6" t="inlineStr">
        <is>
          <t>2026-04-15</t>
        </is>
      </c>
      <c r="B204" s="6" t="inlineStr">
        <is>
          <t>BALM</t>
        </is>
      </c>
      <c r="C204" s="8" t="n">
        <v>39478.84</v>
      </c>
      <c r="D204" s="8" t="n">
        <v>475964.24</v>
      </c>
      <c r="E204" s="9">
        <f>C204-D204</f>
        <v/>
      </c>
    </row>
    <row r="205">
      <c r="A205" s="6" t="inlineStr">
        <is>
          <t>2026-04-16</t>
        </is>
      </c>
      <c r="B205" s="6" t="inlineStr">
        <is>
          <t>BALM</t>
        </is>
      </c>
      <c r="C205" s="8" t="n">
        <v>714028.87</v>
      </c>
      <c r="D205" s="8" t="n">
        <v>539726.97</v>
      </c>
      <c r="E205" s="9">
        <f>C205-D205</f>
        <v/>
      </c>
    </row>
    <row r="206">
      <c r="A206" s="6" t="inlineStr">
        <is>
          <t>2026-04-17</t>
        </is>
      </c>
      <c r="B206" s="6" t="inlineStr">
        <is>
          <t>BALM</t>
        </is>
      </c>
      <c r="C206" s="8" t="n">
        <v>884361.62</v>
      </c>
      <c r="D206" s="8" t="n">
        <v>1389577.38</v>
      </c>
      <c r="E206" s="9">
        <f>C206-D206</f>
        <v/>
      </c>
    </row>
    <row r="207">
      <c r="A207" s="6" t="inlineStr">
        <is>
          <t>2026-04-20</t>
        </is>
      </c>
      <c r="B207" s="6" t="inlineStr">
        <is>
          <t>BALM</t>
        </is>
      </c>
      <c r="C207" s="8" t="n">
        <v>0</v>
      </c>
      <c r="D207" s="8" t="n">
        <v>1119302.25</v>
      </c>
      <c r="E207" s="9">
        <f>C207-D207</f>
        <v/>
      </c>
    </row>
    <row r="208">
      <c r="A208" s="6" t="inlineStr">
        <is>
          <t>2026-04-21</t>
        </is>
      </c>
      <c r="B208" s="6" t="inlineStr">
        <is>
          <t>BALM</t>
        </is>
      </c>
      <c r="C208" s="8" t="n">
        <v>191370.09</v>
      </c>
      <c r="D208" s="8" t="n">
        <v>247706.49</v>
      </c>
      <c r="E208" s="9">
        <f>C208-D208</f>
        <v/>
      </c>
    </row>
    <row r="209">
      <c r="A209" s="6" t="inlineStr">
        <is>
          <t>2026-04-22</t>
        </is>
      </c>
      <c r="B209" s="6" t="inlineStr">
        <is>
          <t>BALM</t>
        </is>
      </c>
      <c r="C209" s="8" t="n">
        <v>404587.07</v>
      </c>
      <c r="D209" s="8" t="n">
        <v>36289975.76</v>
      </c>
      <c r="E209" s="9">
        <f>C209-D209</f>
        <v/>
      </c>
    </row>
    <row r="210">
      <c r="A210" s="6" t="inlineStr">
        <is>
          <t>2026-04-23</t>
        </is>
      </c>
      <c r="B210" s="6" t="inlineStr">
        <is>
          <t>BALM</t>
        </is>
      </c>
      <c r="C210" s="8" t="n">
        <v>0</v>
      </c>
      <c r="D210" s="8" t="n">
        <v>520928.76</v>
      </c>
      <c r="E210" s="9">
        <f>C210-D210</f>
        <v/>
      </c>
    </row>
    <row r="211">
      <c r="A211" s="6" t="inlineStr">
        <is>
          <t>2026-04-24</t>
        </is>
      </c>
      <c r="B211" s="6" t="inlineStr">
        <is>
          <t>BALM</t>
        </is>
      </c>
      <c r="C211" s="8" t="n">
        <v>23213.88</v>
      </c>
      <c r="D211" s="8" t="n">
        <v>317621.23</v>
      </c>
      <c r="E211" s="9">
        <f>C211-D211</f>
        <v/>
      </c>
    </row>
    <row r="212">
      <c r="A212" s="6" t="inlineStr">
        <is>
          <t>2026-04-27</t>
        </is>
      </c>
      <c r="B212" s="6" t="inlineStr">
        <is>
          <t>BALM</t>
        </is>
      </c>
      <c r="C212" s="8" t="n">
        <v>474390.19</v>
      </c>
      <c r="D212" s="8" t="n">
        <v>0</v>
      </c>
      <c r="E212" s="9">
        <f>C212-D212</f>
        <v/>
      </c>
    </row>
    <row r="213">
      <c r="A213" s="6" t="inlineStr">
        <is>
          <t>2026-04-28</t>
        </is>
      </c>
      <c r="B213" s="6" t="inlineStr">
        <is>
          <t>BALM</t>
        </is>
      </c>
      <c r="C213" s="8" t="n">
        <v>950116.02</v>
      </c>
      <c r="D213" s="8" t="n">
        <v>632122.33</v>
      </c>
      <c r="E213" s="9">
        <f>C213-D213</f>
        <v/>
      </c>
    </row>
    <row r="214">
      <c r="A214" s="6" t="inlineStr">
        <is>
          <t>2026-04-29</t>
        </is>
      </c>
      <c r="B214" s="6" t="inlineStr">
        <is>
          <t>BALM</t>
        </is>
      </c>
      <c r="C214" s="8" t="n">
        <v>1583774.04</v>
      </c>
      <c r="D214" s="8" t="n">
        <v>530039.34</v>
      </c>
      <c r="E214" s="9">
        <f>C214-D214</f>
        <v/>
      </c>
    </row>
    <row r="215">
      <c r="A215" s="6" t="inlineStr">
        <is>
          <t>2026-04-30</t>
        </is>
      </c>
      <c r="B215" s="6" t="inlineStr">
        <is>
          <t>BALM</t>
        </is>
      </c>
      <c r="C215" s="8" t="n">
        <v>752384.08</v>
      </c>
      <c r="D215" s="8" t="n">
        <v>796520.2</v>
      </c>
      <c r="E215" s="9">
        <f>C215-D215</f>
        <v/>
      </c>
    </row>
    <row r="216">
      <c r="A216" s="6" t="inlineStr">
        <is>
          <t>2026-05-01</t>
        </is>
      </c>
      <c r="B216" s="6" t="inlineStr">
        <is>
          <t>BALM</t>
        </is>
      </c>
      <c r="C216" s="8" t="n">
        <v>0</v>
      </c>
      <c r="D216" s="8" t="n">
        <v>0</v>
      </c>
      <c r="E216" s="9">
        <f>C216-D216</f>
        <v/>
      </c>
    </row>
    <row r="217">
      <c r="A217" s="6" t="inlineStr">
        <is>
          <t>2026-05-04</t>
        </is>
      </c>
      <c r="B217" s="6" t="inlineStr">
        <is>
          <t>BALM</t>
        </is>
      </c>
      <c r="C217" s="8" t="n">
        <v>429223.95</v>
      </c>
      <c r="D217" s="8" t="n">
        <v>297225.19</v>
      </c>
      <c r="E217" s="9">
        <f>C217-D217</f>
        <v/>
      </c>
    </row>
    <row r="218">
      <c r="A218" s="6" t="inlineStr">
        <is>
          <t>2026-05-05</t>
        </is>
      </c>
      <c r="B218" s="6" t="inlineStr">
        <is>
          <t>BALM</t>
        </is>
      </c>
      <c r="C218" s="8" t="n">
        <v>42265.33</v>
      </c>
      <c r="D218" s="8" t="n">
        <v>813236.03</v>
      </c>
      <c r="E218" s="9">
        <f>C218-D218</f>
        <v/>
      </c>
    </row>
    <row r="219">
      <c r="A219" s="6" t="inlineStr">
        <is>
          <t>2026-05-06</t>
        </is>
      </c>
      <c r="B219" s="6" t="inlineStr">
        <is>
          <t>BALM</t>
        </is>
      </c>
      <c r="C219" s="8" t="n">
        <v>401541.48</v>
      </c>
      <c r="D219" s="8" t="n">
        <v>339686.71</v>
      </c>
      <c r="E219" s="9">
        <f>C219-D219</f>
        <v/>
      </c>
    </row>
    <row r="220">
      <c r="A220" s="6" t="inlineStr">
        <is>
          <t>2026-05-07</t>
        </is>
      </c>
      <c r="B220" s="6" t="inlineStr">
        <is>
          <t>BALM</t>
        </is>
      </c>
      <c r="C220" s="8" t="n">
        <v>1104347.1</v>
      </c>
      <c r="D220" s="8" t="n">
        <v>607844.27</v>
      </c>
      <c r="E220" s="9">
        <f>C220-D220</f>
        <v/>
      </c>
    </row>
    <row r="221">
      <c r="A221" s="6" t="inlineStr">
        <is>
          <t>2026-05-08</t>
        </is>
      </c>
      <c r="B221" s="6" t="inlineStr">
        <is>
          <t>BALM</t>
        </is>
      </c>
      <c r="C221" s="8" t="n">
        <v>72491.7</v>
      </c>
      <c r="D221" s="8" t="n">
        <v>255562.57</v>
      </c>
      <c r="E221" s="9">
        <f>C221-D221</f>
        <v/>
      </c>
    </row>
    <row r="222">
      <c r="A222" s="6" t="inlineStr">
        <is>
          <t>2026-05-11</t>
        </is>
      </c>
      <c r="B222" s="6" t="inlineStr">
        <is>
          <t>BALM</t>
        </is>
      </c>
      <c r="C222" s="8" t="n">
        <v>420268.8</v>
      </c>
      <c r="D222" s="8" t="n">
        <v>0</v>
      </c>
      <c r="E222" s="9">
        <f>C222-D222</f>
        <v/>
      </c>
    </row>
    <row r="223">
      <c r="A223" s="6" t="inlineStr">
        <is>
          <t>2026-05-12</t>
        </is>
      </c>
      <c r="B223" s="6" t="inlineStr">
        <is>
          <t>BALM</t>
        </is>
      </c>
      <c r="C223" s="8" t="n">
        <v>1176867.43</v>
      </c>
      <c r="D223" s="8" t="n">
        <v>920474.36</v>
      </c>
      <c r="E223" s="9">
        <f>C223-D223</f>
        <v/>
      </c>
    </row>
    <row r="224">
      <c r="A224" s="6" t="inlineStr">
        <is>
          <t>2026-05-13</t>
        </is>
      </c>
      <c r="B224" s="6" t="inlineStr">
        <is>
          <t>BALM</t>
        </is>
      </c>
      <c r="C224" s="8" t="n">
        <v>70484.23</v>
      </c>
      <c r="D224" s="8" t="n">
        <v>200931.84</v>
      </c>
      <c r="E224" s="9">
        <f>C224-D224</f>
        <v/>
      </c>
    </row>
    <row r="225">
      <c r="A225" s="6" t="inlineStr">
        <is>
          <t>2026-05-14</t>
        </is>
      </c>
      <c r="B225" s="6" t="inlineStr">
        <is>
          <t>BALM</t>
        </is>
      </c>
      <c r="C225" s="8" t="n">
        <v>612460.1</v>
      </c>
      <c r="D225" s="8" t="n">
        <v>907175.6899999999</v>
      </c>
      <c r="E225" s="9">
        <f>C225-D225</f>
        <v/>
      </c>
    </row>
    <row r="226">
      <c r="A226" s="6" t="inlineStr">
        <is>
          <t>2026-05-15</t>
        </is>
      </c>
      <c r="B226" s="6" t="inlineStr">
        <is>
          <t>BALM</t>
        </is>
      </c>
      <c r="C226" s="8" t="n">
        <v>0</v>
      </c>
      <c r="D226" s="8" t="n">
        <v>237685.96</v>
      </c>
      <c r="E226" s="9">
        <f>C226-D226</f>
        <v/>
      </c>
    </row>
    <row r="227">
      <c r="A227" s="6" t="inlineStr">
        <is>
          <t>2026-05-18</t>
        </is>
      </c>
      <c r="B227" s="6" t="inlineStr">
        <is>
          <t>BALM</t>
        </is>
      </c>
      <c r="C227" s="8" t="n">
        <v>89520.63</v>
      </c>
      <c r="D227" s="8" t="n">
        <v>0</v>
      </c>
      <c r="E227" s="9">
        <f>C227-D227</f>
        <v/>
      </c>
    </row>
    <row r="228">
      <c r="A228" s="6" t="inlineStr">
        <is>
          <t>2026-05-19</t>
        </is>
      </c>
      <c r="B228" s="6" t="inlineStr">
        <is>
          <t>BALM</t>
        </is>
      </c>
      <c r="C228" s="8" t="n">
        <v>379100.12</v>
      </c>
      <c r="D228" s="8" t="n">
        <v>618004.88</v>
      </c>
      <c r="E228" s="9">
        <f>C228-D228</f>
        <v/>
      </c>
    </row>
    <row r="229">
      <c r="A229" s="6" t="inlineStr">
        <is>
          <t>2026-05-20</t>
        </is>
      </c>
      <c r="B229" s="6" t="inlineStr">
        <is>
          <t>BALM</t>
        </is>
      </c>
      <c r="C229" s="8" t="n">
        <v>372910.86</v>
      </c>
      <c r="D229" s="8" t="n">
        <v>0</v>
      </c>
      <c r="E229" s="9">
        <f>C229-D229</f>
        <v/>
      </c>
    </row>
    <row r="230">
      <c r="A230" s="6" t="inlineStr">
        <is>
          <t>2026-05-21</t>
        </is>
      </c>
      <c r="B230" s="6" t="inlineStr">
        <is>
          <t>BALM</t>
        </is>
      </c>
      <c r="C230" s="8" t="n">
        <v>0</v>
      </c>
      <c r="D230" s="8" t="n">
        <v>0</v>
      </c>
      <c r="E230" s="9">
        <f>C230-D230</f>
        <v/>
      </c>
    </row>
    <row r="231">
      <c r="A231" s="6" t="inlineStr">
        <is>
          <t>2026-05-22</t>
        </is>
      </c>
      <c r="B231" s="6" t="inlineStr">
        <is>
          <t>BALM</t>
        </is>
      </c>
      <c r="C231" s="8" t="n">
        <v>74502.38</v>
      </c>
      <c r="D231" s="8" t="n">
        <v>1207702.59</v>
      </c>
      <c r="E231" s="9">
        <f>C231-D231</f>
        <v/>
      </c>
    </row>
    <row r="232">
      <c r="A232" s="6" t="inlineStr">
        <is>
          <t>2026-05-26</t>
        </is>
      </c>
      <c r="B232" s="6" t="inlineStr">
        <is>
          <t>BALM</t>
        </is>
      </c>
      <c r="C232" s="8" t="n">
        <v>769921.21</v>
      </c>
      <c r="D232" s="8" t="n">
        <v>485565.39</v>
      </c>
      <c r="E232" s="9">
        <f>C232-D232</f>
        <v/>
      </c>
    </row>
    <row r="233">
      <c r="A233" s="6" t="inlineStr">
        <is>
          <t>2026-05-27</t>
        </is>
      </c>
      <c r="B233" s="6" t="inlineStr">
        <is>
          <t>BALM</t>
        </is>
      </c>
      <c r="C233" s="8" t="n">
        <v>624345.63</v>
      </c>
      <c r="D233" s="8" t="n">
        <v>23440.63</v>
      </c>
      <c r="E233" s="9">
        <f>C233-D233</f>
        <v/>
      </c>
    </row>
    <row r="234">
      <c r="A234" s="6" t="inlineStr">
        <is>
          <t>2026-05-28</t>
        </is>
      </c>
      <c r="B234" s="6" t="inlineStr">
        <is>
          <t>BALM</t>
        </is>
      </c>
      <c r="C234" s="8" t="n">
        <v>0</v>
      </c>
      <c r="D234" s="8" t="n">
        <v>0</v>
      </c>
      <c r="E234" s="9">
        <f>C234-D234</f>
        <v/>
      </c>
    </row>
    <row r="235">
      <c r="A235" s="6" t="inlineStr">
        <is>
          <t>2026-05-29</t>
        </is>
      </c>
      <c r="B235" s="6" t="inlineStr">
        <is>
          <t>BALM</t>
        </is>
      </c>
      <c r="C235" s="8" t="n">
        <v>998823.34</v>
      </c>
      <c r="D235" s="8" t="n">
        <v>684064.92</v>
      </c>
      <c r="E235" s="9">
        <f>C235-D235</f>
        <v/>
      </c>
    </row>
    <row r="236">
      <c r="A236" s="6" t="inlineStr">
        <is>
          <t>2026-06-01</t>
        </is>
      </c>
      <c r="B236" s="6" t="inlineStr">
        <is>
          <t>BALM</t>
        </is>
      </c>
      <c r="C236" s="8" t="n">
        <v>220497.2</v>
      </c>
      <c r="D236" s="8" t="n">
        <v>225355.98</v>
      </c>
      <c r="E236" s="9">
        <f>C236-D236</f>
        <v/>
      </c>
    </row>
    <row r="237">
      <c r="A237" s="6" t="inlineStr">
        <is>
          <t>2026-06-02</t>
        </is>
      </c>
      <c r="B237" s="6" t="inlineStr">
        <is>
          <t>BALM</t>
        </is>
      </c>
      <c r="C237" s="8" t="n">
        <v>54944.59</v>
      </c>
      <c r="D237" s="8" t="n">
        <v>782868.38</v>
      </c>
      <c r="E237" s="9">
        <f>C237-D237</f>
        <v/>
      </c>
    </row>
    <row r="238">
      <c r="A238" s="6" t="inlineStr">
        <is>
          <t>2026-06-03</t>
        </is>
      </c>
      <c r="B238" s="6" t="inlineStr">
        <is>
          <t>BALM</t>
        </is>
      </c>
      <c r="C238" s="8" t="n">
        <v>664760.78</v>
      </c>
      <c r="D238" s="8" t="n">
        <v>851295.97</v>
      </c>
      <c r="E238" s="9">
        <f>C238-D238</f>
        <v/>
      </c>
    </row>
    <row r="239">
      <c r="A239" s="6" t="inlineStr">
        <is>
          <t>2026-06-04</t>
        </is>
      </c>
      <c r="B239" s="6" t="inlineStr">
        <is>
          <t>BALM</t>
        </is>
      </c>
      <c r="C239" s="8" t="n">
        <v>1448002.88</v>
      </c>
      <c r="D239" s="8" t="n">
        <v>0</v>
      </c>
      <c r="E239" s="9">
        <f>C239-D239</f>
        <v/>
      </c>
    </row>
    <row r="240">
      <c r="A240" s="6" t="inlineStr">
        <is>
          <t>2026-06-05</t>
        </is>
      </c>
      <c r="B240" s="6" t="inlineStr">
        <is>
          <t>BALM</t>
        </is>
      </c>
      <c r="C240" s="8" t="n">
        <v>831004.3199999999</v>
      </c>
      <c r="D240" s="8" t="n">
        <v>68204.37</v>
      </c>
      <c r="E240" s="9">
        <f>C240-D240</f>
        <v/>
      </c>
    </row>
    <row r="241">
      <c r="A241" s="6" t="inlineStr">
        <is>
          <t>2026-06-08</t>
        </is>
      </c>
      <c r="B241" s="6" t="inlineStr">
        <is>
          <t>BALM</t>
        </is>
      </c>
      <c r="C241" s="8" t="n">
        <v>640343.08</v>
      </c>
      <c r="D241" s="8" t="n">
        <v>691597.1899999999</v>
      </c>
      <c r="E241" s="9">
        <f>C241-D241</f>
        <v/>
      </c>
    </row>
    <row r="242">
      <c r="A242" s="6" t="inlineStr">
        <is>
          <t>2026-06-09</t>
        </is>
      </c>
      <c r="B242" s="6" t="inlineStr">
        <is>
          <t>BALM</t>
        </is>
      </c>
      <c r="C242" s="8" t="n">
        <v>593238.98</v>
      </c>
      <c r="D242" s="8" t="n">
        <v>35908.19</v>
      </c>
      <c r="E242" s="9">
        <f>C242-D242</f>
        <v/>
      </c>
    </row>
    <row r="243">
      <c r="A243" s="6" t="inlineStr">
        <is>
          <t>2026-06-10</t>
        </is>
      </c>
      <c r="B243" s="6" t="inlineStr">
        <is>
          <t>BALM</t>
        </is>
      </c>
      <c r="C243" s="8" t="n">
        <v>546357.83</v>
      </c>
      <c r="D243" s="8" t="n">
        <v>1149147.67</v>
      </c>
      <c r="E243" s="9">
        <f>C243-D243</f>
        <v/>
      </c>
    </row>
    <row r="244">
      <c r="A244" s="6" t="inlineStr">
        <is>
          <t>2026-06-11</t>
        </is>
      </c>
      <c r="B244" s="6" t="inlineStr">
        <is>
          <t>BALM</t>
        </is>
      </c>
      <c r="C244" s="8" t="n">
        <v>775724.28</v>
      </c>
      <c r="D244" s="8" t="n">
        <v>524287.92</v>
      </c>
      <c r="E244" s="9">
        <f>C244-D244</f>
        <v/>
      </c>
    </row>
    <row r="245">
      <c r="A245" s="6" t="inlineStr">
        <is>
          <t>2026-06-12</t>
        </is>
      </c>
      <c r="B245" s="6" t="inlineStr">
        <is>
          <t>BALM</t>
        </is>
      </c>
      <c r="C245" s="8" t="n">
        <v>279144</v>
      </c>
      <c r="D245" s="8" t="n">
        <v>0</v>
      </c>
      <c r="E245" s="9">
        <f>C245-D245</f>
        <v/>
      </c>
    </row>
    <row r="246">
      <c r="A246" s="6" t="inlineStr">
        <is>
          <t>2026-06-15</t>
        </is>
      </c>
      <c r="B246" s="6" t="inlineStr">
        <is>
          <t>BALM</t>
        </is>
      </c>
      <c r="C246" s="8" t="n">
        <v>0</v>
      </c>
      <c r="D246" s="8" t="n">
        <v>554297.0600000001</v>
      </c>
      <c r="E246" s="9">
        <f>C246-D246</f>
        <v/>
      </c>
    </row>
    <row r="247">
      <c r="A247" s="6" t="inlineStr">
        <is>
          <t>2026-06-16</t>
        </is>
      </c>
      <c r="B247" s="6" t="inlineStr">
        <is>
          <t>BALM</t>
        </is>
      </c>
      <c r="C247" s="8" t="n">
        <v>0</v>
      </c>
      <c r="D247" s="8" t="n">
        <v>650636.65</v>
      </c>
      <c r="E247" s="9">
        <f>C247-D247</f>
        <v/>
      </c>
    </row>
    <row r="248">
      <c r="A248" s="6" t="inlineStr">
        <is>
          <t>2026-06-17</t>
        </is>
      </c>
      <c r="B248" s="6" t="inlineStr">
        <is>
          <t>BALM</t>
        </is>
      </c>
      <c r="C248" s="8" t="n">
        <v>759748.78</v>
      </c>
      <c r="D248" s="8" t="n">
        <v>167649.92</v>
      </c>
      <c r="E248" s="9">
        <f>C248-D248</f>
        <v/>
      </c>
    </row>
    <row r="249">
      <c r="A249" s="6" t="inlineStr">
        <is>
          <t>2026-06-18</t>
        </is>
      </c>
      <c r="B249" s="6" t="inlineStr">
        <is>
          <t>BALM</t>
        </is>
      </c>
      <c r="C249" s="8" t="n">
        <v>0</v>
      </c>
      <c r="D249" s="8" t="n">
        <v>0</v>
      </c>
      <c r="E249" s="9">
        <f>C249-D249</f>
        <v/>
      </c>
    </row>
    <row r="250">
      <c r="A250" s="6" t="inlineStr">
        <is>
          <t>2026-06-19</t>
        </is>
      </c>
      <c r="B250" s="6" t="inlineStr">
        <is>
          <t>BALM</t>
        </is>
      </c>
      <c r="C250" s="8" t="n">
        <v>95848.24000000001</v>
      </c>
      <c r="D250" s="8" t="n">
        <v>431292.77</v>
      </c>
      <c r="E250" s="9">
        <f>C250-D250</f>
        <v/>
      </c>
    </row>
    <row r="251">
      <c r="A251" s="6" t="inlineStr">
        <is>
          <t>2026-06-22</t>
        </is>
      </c>
      <c r="B251" s="6" t="inlineStr">
        <is>
          <t>BALM</t>
        </is>
      </c>
      <c r="C251" s="8" t="n">
        <v>915416.26</v>
      </c>
      <c r="D251" s="8" t="n">
        <v>624265.25</v>
      </c>
      <c r="E251" s="9">
        <f>C251-D251</f>
        <v/>
      </c>
    </row>
    <row r="252">
      <c r="A252" s="6" t="inlineStr">
        <is>
          <t>2026-06-23</t>
        </is>
      </c>
      <c r="B252" s="6" t="inlineStr">
        <is>
          <t>BALM</t>
        </is>
      </c>
      <c r="C252" s="8" t="n">
        <v>299184.73</v>
      </c>
      <c r="D252" s="8" t="n">
        <v>129623.13</v>
      </c>
      <c r="E252" s="9">
        <f>C252-D252</f>
        <v/>
      </c>
    </row>
    <row r="253">
      <c r="A253" s="6" t="inlineStr">
        <is>
          <t>2026-06-24</t>
        </is>
      </c>
      <c r="B253" s="6" t="inlineStr">
        <is>
          <t>BALM</t>
        </is>
      </c>
      <c r="C253" s="8" t="n">
        <v>0</v>
      </c>
      <c r="D253" s="8" t="n">
        <v>252399.08</v>
      </c>
      <c r="E253" s="9">
        <f>C253-D253</f>
        <v/>
      </c>
    </row>
    <row r="254">
      <c r="A254" s="6" t="inlineStr">
        <is>
          <t>2026-06-25</t>
        </is>
      </c>
      <c r="B254" s="6" t="inlineStr">
        <is>
          <t>BALM</t>
        </is>
      </c>
      <c r="C254" s="8" t="n">
        <v>1167940.07</v>
      </c>
      <c r="D254" s="8" t="n">
        <v>642373.9300000001</v>
      </c>
      <c r="E254" s="9">
        <f>C254-D254</f>
        <v/>
      </c>
    </row>
    <row r="255">
      <c r="A255" s="6" t="inlineStr">
        <is>
          <t>2026-06-26</t>
        </is>
      </c>
      <c r="B255" s="6" t="inlineStr">
        <is>
          <t>BALM</t>
        </is>
      </c>
      <c r="C255" s="8" t="n">
        <v>270134.2</v>
      </c>
      <c r="D255" s="8" t="n">
        <v>0</v>
      </c>
      <c r="E255" s="9">
        <f>C255-D255</f>
        <v/>
      </c>
    </row>
    <row r="256">
      <c r="A256" s="6" t="inlineStr">
        <is>
          <t>2026-06-29</t>
        </is>
      </c>
      <c r="B256" s="6" t="inlineStr">
        <is>
          <t>BALM</t>
        </is>
      </c>
      <c r="C256" s="8" t="n">
        <v>134753.7</v>
      </c>
      <c r="D256" s="8" t="n">
        <v>0</v>
      </c>
      <c r="E256" s="9">
        <f>C256-D256</f>
        <v/>
      </c>
    </row>
    <row r="257">
      <c r="A257" s="6" t="inlineStr">
        <is>
          <t>2026-06-30</t>
        </is>
      </c>
      <c r="B257" s="6" t="inlineStr">
        <is>
          <t>BALM</t>
        </is>
      </c>
      <c r="C257" s="8" t="n">
        <v>146525.17</v>
      </c>
      <c r="D257" s="8" t="n">
        <v>0</v>
      </c>
      <c r="E257" s="9">
        <f>C257-D257</f>
        <v/>
      </c>
    </row>
    <row r="258">
      <c r="A258" s="6" t="inlineStr">
        <is>
          <t>2026-04-01</t>
        </is>
      </c>
      <c r="B258" s="6" t="inlineStr">
        <is>
          <t>MMUS</t>
        </is>
      </c>
      <c r="C258" s="8" t="n">
        <v>702255.51</v>
      </c>
      <c r="D258" s="8" t="n">
        <v>2227076.17</v>
      </c>
      <c r="E258" s="9">
        <f>C258-D258</f>
        <v/>
      </c>
    </row>
    <row r="259">
      <c r="A259" s="6" t="inlineStr">
        <is>
          <t>2026-04-02</t>
        </is>
      </c>
      <c r="B259" s="6" t="inlineStr">
        <is>
          <t>MMUS</t>
        </is>
      </c>
      <c r="C259" s="8" t="n">
        <v>0</v>
      </c>
      <c r="D259" s="8" t="n">
        <v>916896.58</v>
      </c>
      <c r="E259" s="9">
        <f>C259-D259</f>
        <v/>
      </c>
    </row>
    <row r="260">
      <c r="A260" s="6" t="inlineStr">
        <is>
          <t>2026-04-03</t>
        </is>
      </c>
      <c r="B260" s="6" t="inlineStr">
        <is>
          <t>MMUS</t>
        </is>
      </c>
      <c r="C260" s="8" t="n">
        <v>0</v>
      </c>
      <c r="D260" s="8" t="n">
        <v>0</v>
      </c>
      <c r="E260" s="9">
        <f>C260-D260</f>
        <v/>
      </c>
    </row>
    <row r="261">
      <c r="A261" s="6" t="inlineStr">
        <is>
          <t>2026-04-06</t>
        </is>
      </c>
      <c r="B261" s="6" t="inlineStr">
        <is>
          <t>MMUS</t>
        </is>
      </c>
      <c r="C261" s="8" t="n">
        <v>2179893.29</v>
      </c>
      <c r="D261" s="8" t="n">
        <v>406428.87</v>
      </c>
      <c r="E261" s="9">
        <f>C261-D261</f>
        <v/>
      </c>
    </row>
    <row r="262">
      <c r="A262" s="6" t="inlineStr">
        <is>
          <t>2026-04-07</t>
        </is>
      </c>
      <c r="B262" s="6" t="inlineStr">
        <is>
          <t>MMUS</t>
        </is>
      </c>
      <c r="C262" s="8" t="n">
        <v>1445212.27</v>
      </c>
      <c r="D262" s="8" t="n">
        <v>397337.15</v>
      </c>
      <c r="E262" s="9">
        <f>C262-D262</f>
        <v/>
      </c>
    </row>
    <row r="263">
      <c r="A263" s="6" t="inlineStr">
        <is>
          <t>2026-04-08</t>
        </is>
      </c>
      <c r="B263" s="6" t="inlineStr">
        <is>
          <t>MMUS</t>
        </is>
      </c>
      <c r="C263" s="8" t="n">
        <v>1501025.27</v>
      </c>
      <c r="D263" s="8" t="n">
        <v>0</v>
      </c>
      <c r="E263" s="9">
        <f>C263-D263</f>
        <v/>
      </c>
    </row>
    <row r="264">
      <c r="A264" s="6" t="inlineStr">
        <is>
          <t>2026-04-09</t>
        </is>
      </c>
      <c r="B264" s="6" t="inlineStr">
        <is>
          <t>MMUS</t>
        </is>
      </c>
      <c r="C264" s="8" t="n">
        <v>0</v>
      </c>
      <c r="D264" s="8" t="n">
        <v>1685782.76</v>
      </c>
      <c r="E264" s="9">
        <f>C264-D264</f>
        <v/>
      </c>
    </row>
    <row r="265">
      <c r="A265" s="6" t="inlineStr">
        <is>
          <t>2026-04-10</t>
        </is>
      </c>
      <c r="B265" s="6" t="inlineStr">
        <is>
          <t>MMUS</t>
        </is>
      </c>
      <c r="C265" s="8" t="n">
        <v>0</v>
      </c>
      <c r="D265" s="8" t="n">
        <v>702956.75</v>
      </c>
      <c r="E265" s="9">
        <f>C265-D265</f>
        <v/>
      </c>
    </row>
    <row r="266">
      <c r="A266" s="6" t="inlineStr">
        <is>
          <t>2026-04-13</t>
        </is>
      </c>
      <c r="B266" s="6" t="inlineStr">
        <is>
          <t>MMUS</t>
        </is>
      </c>
      <c r="C266" s="8" t="n">
        <v>0</v>
      </c>
      <c r="D266" s="8" t="n">
        <v>724754.2</v>
      </c>
      <c r="E266" s="9">
        <f>C266-D266</f>
        <v/>
      </c>
    </row>
    <row r="267">
      <c r="A267" s="6" t="inlineStr">
        <is>
          <t>2026-04-14</t>
        </is>
      </c>
      <c r="B267" s="6" t="inlineStr">
        <is>
          <t>MMUS</t>
        </is>
      </c>
      <c r="C267" s="8" t="n">
        <v>0</v>
      </c>
      <c r="D267" s="8" t="n">
        <v>0</v>
      </c>
      <c r="E267" s="9">
        <f>C267-D267</f>
        <v/>
      </c>
    </row>
    <row r="268">
      <c r="A268" s="6" t="inlineStr">
        <is>
          <t>2026-04-15</t>
        </is>
      </c>
      <c r="B268" s="6" t="inlineStr">
        <is>
          <t>MMUS</t>
        </is>
      </c>
      <c r="C268" s="8" t="n">
        <v>551224.66</v>
      </c>
      <c r="D268" s="8" t="n">
        <v>1873014.89</v>
      </c>
      <c r="E268" s="9">
        <f>C268-D268</f>
        <v/>
      </c>
    </row>
    <row r="269">
      <c r="A269" s="6" t="inlineStr">
        <is>
          <t>2026-04-16</t>
        </is>
      </c>
      <c r="B269" s="6" t="inlineStr">
        <is>
          <t>MMUS</t>
        </is>
      </c>
      <c r="C269" s="8" t="n">
        <v>848235.55</v>
      </c>
      <c r="D269" s="8" t="n">
        <v>2095588.51</v>
      </c>
      <c r="E269" s="9">
        <f>C269-D269</f>
        <v/>
      </c>
    </row>
    <row r="270">
      <c r="A270" s="6" t="inlineStr">
        <is>
          <t>2026-04-17</t>
        </is>
      </c>
      <c r="B270" s="6" t="inlineStr">
        <is>
          <t>MMUS</t>
        </is>
      </c>
      <c r="C270" s="8" t="n">
        <v>1587382.7</v>
      </c>
      <c r="D270" s="8" t="n">
        <v>578647.0600000001</v>
      </c>
      <c r="E270" s="9">
        <f>C270-D270</f>
        <v/>
      </c>
    </row>
    <row r="271">
      <c r="A271" s="6" t="inlineStr">
        <is>
          <t>2026-04-20</t>
        </is>
      </c>
      <c r="B271" s="6" t="inlineStr">
        <is>
          <t>MMUS</t>
        </is>
      </c>
      <c r="C271" s="8" t="n">
        <v>314580.42</v>
      </c>
      <c r="D271" s="8" t="n">
        <v>1671265.13</v>
      </c>
      <c r="E271" s="9">
        <f>C271-D271</f>
        <v/>
      </c>
    </row>
    <row r="272">
      <c r="A272" s="6" t="inlineStr">
        <is>
          <t>2026-04-21</t>
        </is>
      </c>
      <c r="B272" s="6" t="inlineStr">
        <is>
          <t>MMUS</t>
        </is>
      </c>
      <c r="C272" s="8" t="n">
        <v>2549845.44</v>
      </c>
      <c r="D272" s="8" t="n">
        <v>1610322.83</v>
      </c>
      <c r="E272" s="9">
        <f>C272-D272</f>
        <v/>
      </c>
    </row>
    <row r="273">
      <c r="A273" s="6" t="inlineStr">
        <is>
          <t>2026-04-22</t>
        </is>
      </c>
      <c r="B273" s="6" t="inlineStr">
        <is>
          <t>MMUS</t>
        </is>
      </c>
      <c r="C273" s="8" t="n">
        <v>1200160.3</v>
      </c>
      <c r="D273" s="8" t="n">
        <v>0</v>
      </c>
      <c r="E273" s="9">
        <f>C273-D273</f>
        <v/>
      </c>
    </row>
    <row r="274">
      <c r="A274" s="6" t="inlineStr">
        <is>
          <t>2026-04-23</t>
        </is>
      </c>
      <c r="B274" s="6" t="inlineStr">
        <is>
          <t>MMUS</t>
        </is>
      </c>
      <c r="C274" s="8" t="n">
        <v>0</v>
      </c>
      <c r="D274" s="8" t="n">
        <v>1025426.77</v>
      </c>
      <c r="E274" s="9">
        <f>C274-D274</f>
        <v/>
      </c>
    </row>
    <row r="275">
      <c r="A275" s="6" t="inlineStr">
        <is>
          <t>2026-04-24</t>
        </is>
      </c>
      <c r="B275" s="6" t="inlineStr">
        <is>
          <t>MMUS</t>
        </is>
      </c>
      <c r="C275" s="8" t="n">
        <v>651588.5699999999</v>
      </c>
      <c r="D275" s="8" t="n">
        <v>1051063.27</v>
      </c>
      <c r="E275" s="9">
        <f>C275-D275</f>
        <v/>
      </c>
    </row>
    <row r="276">
      <c r="A276" s="6" t="inlineStr">
        <is>
          <t>2026-04-27</t>
        </is>
      </c>
      <c r="B276" s="6" t="inlineStr">
        <is>
          <t>MMUS</t>
        </is>
      </c>
      <c r="C276" s="8" t="n">
        <v>1883139.24</v>
      </c>
      <c r="D276" s="8" t="n">
        <v>2955301.21</v>
      </c>
      <c r="E276" s="9">
        <f>C276-D276</f>
        <v/>
      </c>
    </row>
    <row r="277">
      <c r="A277" s="6" t="inlineStr">
        <is>
          <t>2026-04-28</t>
        </is>
      </c>
      <c r="B277" s="6" t="inlineStr">
        <is>
          <t>MMUS</t>
        </is>
      </c>
      <c r="C277" s="8" t="n">
        <v>1058006.3</v>
      </c>
      <c r="D277" s="8" t="n">
        <v>384797.34</v>
      </c>
      <c r="E277" s="9">
        <f>C277-D277</f>
        <v/>
      </c>
    </row>
    <row r="278">
      <c r="A278" s="6" t="inlineStr">
        <is>
          <t>2026-04-29</t>
        </is>
      </c>
      <c r="B278" s="6" t="inlineStr">
        <is>
          <t>MMUS</t>
        </is>
      </c>
      <c r="C278" s="8" t="n">
        <v>2009235.85</v>
      </c>
      <c r="D278" s="8" t="n">
        <v>542800.9399999999</v>
      </c>
      <c r="E278" s="9">
        <f>C278-D278</f>
        <v/>
      </c>
    </row>
    <row r="279">
      <c r="A279" s="6" t="inlineStr">
        <is>
          <t>2026-04-30</t>
        </is>
      </c>
      <c r="B279" s="6" t="inlineStr">
        <is>
          <t>MMUS</t>
        </is>
      </c>
      <c r="C279" s="8" t="n">
        <v>0</v>
      </c>
      <c r="D279" s="8" t="n">
        <v>198245.55</v>
      </c>
      <c r="E279" s="9">
        <f>C279-D279</f>
        <v/>
      </c>
    </row>
    <row r="280">
      <c r="A280" s="6" t="inlineStr">
        <is>
          <t>2026-05-01</t>
        </is>
      </c>
      <c r="B280" s="6" t="inlineStr">
        <is>
          <t>MMUS</t>
        </is>
      </c>
      <c r="C280" s="8" t="n">
        <v>348211.08</v>
      </c>
      <c r="D280" s="8" t="n">
        <v>0</v>
      </c>
      <c r="E280" s="9">
        <f>C280-D280</f>
        <v/>
      </c>
    </row>
    <row r="281">
      <c r="A281" s="6" t="inlineStr">
        <is>
          <t>2026-05-04</t>
        </is>
      </c>
      <c r="B281" s="6" t="inlineStr">
        <is>
          <t>MMUS</t>
        </is>
      </c>
      <c r="C281" s="8" t="n">
        <v>1699358.19</v>
      </c>
      <c r="D281" s="8" t="n">
        <v>263426.3</v>
      </c>
      <c r="E281" s="9">
        <f>C281-D281</f>
        <v/>
      </c>
    </row>
    <row r="282">
      <c r="A282" s="6" t="inlineStr">
        <is>
          <t>2026-05-05</t>
        </is>
      </c>
      <c r="B282" s="6" t="inlineStr">
        <is>
          <t>MMUS</t>
        </is>
      </c>
      <c r="C282" s="8" t="n">
        <v>0</v>
      </c>
      <c r="D282" s="8" t="n">
        <v>1706222.34</v>
      </c>
      <c r="E282" s="9">
        <f>C282-D282</f>
        <v/>
      </c>
    </row>
    <row r="283">
      <c r="A283" s="6" t="inlineStr">
        <is>
          <t>2026-05-06</t>
        </is>
      </c>
      <c r="B283" s="6" t="inlineStr">
        <is>
          <t>MMUS</t>
        </is>
      </c>
      <c r="C283" s="8" t="n">
        <v>1299266.38</v>
      </c>
      <c r="D283" s="8" t="n">
        <v>224860.84</v>
      </c>
      <c r="E283" s="9">
        <f>C283-D283</f>
        <v/>
      </c>
    </row>
    <row r="284">
      <c r="A284" s="6" t="inlineStr">
        <is>
          <t>2026-05-07</t>
        </is>
      </c>
      <c r="B284" s="6" t="inlineStr">
        <is>
          <t>MMUS</t>
        </is>
      </c>
      <c r="C284" s="8" t="n">
        <v>0</v>
      </c>
      <c r="D284" s="8" t="n">
        <v>44129.23</v>
      </c>
      <c r="E284" s="9">
        <f>C284-D284</f>
        <v/>
      </c>
    </row>
    <row r="285">
      <c r="A285" s="6" t="inlineStr">
        <is>
          <t>2026-05-08</t>
        </is>
      </c>
      <c r="B285" s="6" t="inlineStr">
        <is>
          <t>MMUS</t>
        </is>
      </c>
      <c r="C285" s="8" t="n">
        <v>1345949.27</v>
      </c>
      <c r="D285" s="8" t="n">
        <v>1636742.56</v>
      </c>
      <c r="E285" s="9">
        <f>C285-D285</f>
        <v/>
      </c>
    </row>
    <row r="286">
      <c r="A286" s="6" t="inlineStr">
        <is>
          <t>2026-05-11</t>
        </is>
      </c>
      <c r="B286" s="6" t="inlineStr">
        <is>
          <t>MMUS</t>
        </is>
      </c>
      <c r="C286" s="8" t="n">
        <v>600080</v>
      </c>
      <c r="D286" s="8" t="n">
        <v>0</v>
      </c>
      <c r="E286" s="9">
        <f>C286-D286</f>
        <v/>
      </c>
    </row>
    <row r="287">
      <c r="A287" s="6" t="inlineStr">
        <is>
          <t>2026-05-12</t>
        </is>
      </c>
      <c r="B287" s="6" t="inlineStr">
        <is>
          <t>MMUS</t>
        </is>
      </c>
      <c r="C287" s="8" t="n">
        <v>208661</v>
      </c>
      <c r="D287" s="8" t="n">
        <v>567334.85</v>
      </c>
      <c r="E287" s="9">
        <f>C287-D287</f>
        <v/>
      </c>
    </row>
    <row r="288">
      <c r="A288" s="6" t="inlineStr">
        <is>
          <t>2026-05-13</t>
        </is>
      </c>
      <c r="B288" s="6" t="inlineStr">
        <is>
          <t>MMUS</t>
        </is>
      </c>
      <c r="C288" s="8" t="n">
        <v>1227738.84</v>
      </c>
      <c r="D288" s="8" t="n">
        <v>416743.91</v>
      </c>
      <c r="E288" s="9">
        <f>C288-D288</f>
        <v/>
      </c>
    </row>
    <row r="289">
      <c r="A289" s="6" t="inlineStr">
        <is>
          <t>2026-05-14</t>
        </is>
      </c>
      <c r="B289" s="6" t="inlineStr">
        <is>
          <t>MMUS</t>
        </is>
      </c>
      <c r="C289" s="8" t="n">
        <v>208043.53</v>
      </c>
      <c r="D289" s="8" t="n">
        <v>1367979.5</v>
      </c>
      <c r="E289" s="9">
        <f>C289-D289</f>
        <v/>
      </c>
    </row>
    <row r="290">
      <c r="A290" s="6" t="inlineStr">
        <is>
          <t>2026-05-15</t>
        </is>
      </c>
      <c r="B290" s="6" t="inlineStr">
        <is>
          <t>MMUS</t>
        </is>
      </c>
      <c r="C290" s="8" t="n">
        <v>710124.14</v>
      </c>
      <c r="D290" s="8" t="n">
        <v>377866.81</v>
      </c>
      <c r="E290" s="9">
        <f>C290-D290</f>
        <v/>
      </c>
    </row>
    <row r="291">
      <c r="A291" s="6" t="inlineStr">
        <is>
          <t>2026-05-18</t>
        </is>
      </c>
      <c r="B291" s="6" t="inlineStr">
        <is>
          <t>MMUS</t>
        </is>
      </c>
      <c r="C291" s="8" t="n">
        <v>1652698.98</v>
      </c>
      <c r="D291" s="8" t="n">
        <v>2172156.51</v>
      </c>
      <c r="E291" s="9">
        <f>C291-D291</f>
        <v/>
      </c>
    </row>
    <row r="292">
      <c r="A292" s="6" t="inlineStr">
        <is>
          <t>2026-05-19</t>
        </is>
      </c>
      <c r="B292" s="6" t="inlineStr">
        <is>
          <t>MMUS</t>
        </is>
      </c>
      <c r="C292" s="8" t="n">
        <v>0</v>
      </c>
      <c r="D292" s="8" t="n">
        <v>860386.76</v>
      </c>
      <c r="E292" s="9">
        <f>C292-D292</f>
        <v/>
      </c>
    </row>
    <row r="293">
      <c r="A293" s="6" t="inlineStr">
        <is>
          <t>2026-05-20</t>
        </is>
      </c>
      <c r="B293" s="6" t="inlineStr">
        <is>
          <t>MMUS</t>
        </is>
      </c>
      <c r="C293" s="8" t="n">
        <v>0</v>
      </c>
      <c r="D293" s="8" t="n">
        <v>1251986.91</v>
      </c>
      <c r="E293" s="9">
        <f>C293-D293</f>
        <v/>
      </c>
    </row>
    <row r="294">
      <c r="A294" s="6" t="inlineStr">
        <is>
          <t>2026-05-21</t>
        </is>
      </c>
      <c r="B294" s="6" t="inlineStr">
        <is>
          <t>MMUS</t>
        </is>
      </c>
      <c r="C294" s="8" t="n">
        <v>595400.04</v>
      </c>
      <c r="D294" s="8" t="n">
        <v>1497011.22</v>
      </c>
      <c r="E294" s="9">
        <f>C294-D294</f>
        <v/>
      </c>
    </row>
    <row r="295">
      <c r="A295" s="6" t="inlineStr">
        <is>
          <t>2026-05-22</t>
        </is>
      </c>
      <c r="B295" s="6" t="inlineStr">
        <is>
          <t>MMUS</t>
        </is>
      </c>
      <c r="C295" s="8" t="n">
        <v>802321.5</v>
      </c>
      <c r="D295" s="8" t="n">
        <v>0</v>
      </c>
      <c r="E295" s="9">
        <f>C295-D295</f>
        <v/>
      </c>
    </row>
    <row r="296">
      <c r="A296" s="6" t="inlineStr">
        <is>
          <t>2026-05-26</t>
        </is>
      </c>
      <c r="B296" s="6" t="inlineStr">
        <is>
          <t>MMUS</t>
        </is>
      </c>
      <c r="C296" s="8" t="n">
        <v>848755.0699999999</v>
      </c>
      <c r="D296" s="8" t="n">
        <v>1139373.47</v>
      </c>
      <c r="E296" s="9">
        <f>C296-D296</f>
        <v/>
      </c>
    </row>
    <row r="297">
      <c r="A297" s="6" t="inlineStr">
        <is>
          <t>2026-05-27</t>
        </is>
      </c>
      <c r="B297" s="6" t="inlineStr">
        <is>
          <t>MMUS</t>
        </is>
      </c>
      <c r="C297" s="8" t="n">
        <v>7318.59</v>
      </c>
      <c r="D297" s="8" t="n">
        <v>0</v>
      </c>
      <c r="E297" s="9">
        <f>C297-D297</f>
        <v/>
      </c>
    </row>
    <row r="298">
      <c r="A298" s="6" t="inlineStr">
        <is>
          <t>2026-05-28</t>
        </is>
      </c>
      <c r="B298" s="6" t="inlineStr">
        <is>
          <t>MMUS</t>
        </is>
      </c>
      <c r="C298" s="8" t="n">
        <v>0</v>
      </c>
      <c r="D298" s="8" t="n">
        <v>573952.9300000001</v>
      </c>
      <c r="E298" s="9">
        <f>C298-D298</f>
        <v/>
      </c>
    </row>
    <row r="299">
      <c r="A299" s="6" t="inlineStr">
        <is>
          <t>2026-05-29</t>
        </is>
      </c>
      <c r="B299" s="6" t="inlineStr">
        <is>
          <t>MMUS</t>
        </is>
      </c>
      <c r="C299" s="8" t="n">
        <v>428448.78</v>
      </c>
      <c r="D299" s="8" t="n">
        <v>0</v>
      </c>
      <c r="E299" s="9">
        <f>C299-D299</f>
        <v/>
      </c>
    </row>
    <row r="300">
      <c r="A300" s="6" t="inlineStr">
        <is>
          <t>2026-06-01</t>
        </is>
      </c>
      <c r="B300" s="6" t="inlineStr">
        <is>
          <t>MMUS</t>
        </is>
      </c>
      <c r="C300" s="8" t="n">
        <v>573350.92</v>
      </c>
      <c r="D300" s="8" t="n">
        <v>1246164.01</v>
      </c>
      <c r="E300" s="9">
        <f>C300-D300</f>
        <v/>
      </c>
    </row>
    <row r="301">
      <c r="A301" s="6" t="inlineStr">
        <is>
          <t>2026-06-02</t>
        </is>
      </c>
      <c r="B301" s="6" t="inlineStr">
        <is>
          <t>MMUS</t>
        </is>
      </c>
      <c r="C301" s="8" t="n">
        <v>1774878.94</v>
      </c>
      <c r="D301" s="8" t="n">
        <v>666988.6800000001</v>
      </c>
      <c r="E301" s="9">
        <f>C301-D301</f>
        <v/>
      </c>
    </row>
    <row r="302">
      <c r="A302" s="6" t="inlineStr">
        <is>
          <t>2026-06-03</t>
        </is>
      </c>
      <c r="B302" s="6" t="inlineStr">
        <is>
          <t>MMUS</t>
        </is>
      </c>
      <c r="C302" s="8" t="n">
        <v>0</v>
      </c>
      <c r="D302" s="8" t="n">
        <v>0</v>
      </c>
      <c r="E302" s="9">
        <f>C302-D302</f>
        <v/>
      </c>
    </row>
    <row r="303">
      <c r="A303" s="6" t="inlineStr">
        <is>
          <t>2026-06-04</t>
        </is>
      </c>
      <c r="B303" s="6" t="inlineStr">
        <is>
          <t>MMUS</t>
        </is>
      </c>
      <c r="C303" s="8" t="n">
        <v>259464.66</v>
      </c>
      <c r="D303" s="8" t="n">
        <v>778792.5699999999</v>
      </c>
      <c r="E303" s="9">
        <f>C303-D303</f>
        <v/>
      </c>
    </row>
    <row r="304">
      <c r="A304" s="6" t="inlineStr">
        <is>
          <t>2026-06-05</t>
        </is>
      </c>
      <c r="B304" s="6" t="inlineStr">
        <is>
          <t>MMUS</t>
        </is>
      </c>
      <c r="C304" s="8" t="n">
        <v>0</v>
      </c>
      <c r="D304" s="8" t="n">
        <v>7234.39</v>
      </c>
      <c r="E304" s="9">
        <f>C304-D304</f>
        <v/>
      </c>
    </row>
    <row r="305">
      <c r="A305" s="6" t="inlineStr">
        <is>
          <t>2026-06-08</t>
        </is>
      </c>
      <c r="B305" s="6" t="inlineStr">
        <is>
          <t>MMUS</t>
        </is>
      </c>
      <c r="C305" s="8" t="n">
        <v>510439.99</v>
      </c>
      <c r="D305" s="8" t="n">
        <v>68847.7</v>
      </c>
      <c r="E305" s="9">
        <f>C305-D305</f>
        <v/>
      </c>
    </row>
    <row r="306">
      <c r="A306" s="6" t="inlineStr">
        <is>
          <t>2026-06-09</t>
        </is>
      </c>
      <c r="B306" s="6" t="inlineStr">
        <is>
          <t>MMUS</t>
        </is>
      </c>
      <c r="C306" s="8" t="n">
        <v>633172.34</v>
      </c>
      <c r="D306" s="8" t="n">
        <v>664795.01</v>
      </c>
      <c r="E306" s="9">
        <f>C306-D306</f>
        <v/>
      </c>
    </row>
    <row r="307">
      <c r="A307" s="6" t="inlineStr">
        <is>
          <t>2026-06-10</t>
        </is>
      </c>
      <c r="B307" s="6" t="inlineStr">
        <is>
          <t>MMUS</t>
        </is>
      </c>
      <c r="C307" s="8" t="n">
        <v>133710.87</v>
      </c>
      <c r="D307" s="8" t="n">
        <v>970099.64</v>
      </c>
      <c r="E307" s="9">
        <f>C307-D307</f>
        <v/>
      </c>
    </row>
    <row r="308">
      <c r="A308" s="6" t="inlineStr">
        <is>
          <t>2026-06-11</t>
        </is>
      </c>
      <c r="B308" s="6" t="inlineStr">
        <is>
          <t>MMUS</t>
        </is>
      </c>
      <c r="C308" s="8" t="n">
        <v>604061.54</v>
      </c>
      <c r="D308" s="8" t="n">
        <v>0</v>
      </c>
      <c r="E308" s="9">
        <f>C308-D308</f>
        <v/>
      </c>
    </row>
    <row r="309">
      <c r="A309" s="6" t="inlineStr">
        <is>
          <t>2026-06-12</t>
        </is>
      </c>
      <c r="B309" s="6" t="inlineStr">
        <is>
          <t>MMUS</t>
        </is>
      </c>
      <c r="C309" s="8" t="n">
        <v>1959268.02</v>
      </c>
      <c r="D309" s="8" t="n">
        <v>0</v>
      </c>
      <c r="E309" s="9">
        <f>C309-D309</f>
        <v/>
      </c>
    </row>
    <row r="310">
      <c r="A310" s="6" t="inlineStr">
        <is>
          <t>2026-06-15</t>
        </is>
      </c>
      <c r="B310" s="6" t="inlineStr">
        <is>
          <t>MMUS</t>
        </is>
      </c>
      <c r="C310" s="8" t="n">
        <v>0</v>
      </c>
      <c r="D310" s="8" t="n">
        <v>1466966.37</v>
      </c>
      <c r="E310" s="9">
        <f>C310-D310</f>
        <v/>
      </c>
    </row>
    <row r="311">
      <c r="A311" s="6" t="inlineStr">
        <is>
          <t>2026-06-16</t>
        </is>
      </c>
      <c r="B311" s="6" t="inlineStr">
        <is>
          <t>MMUS</t>
        </is>
      </c>
      <c r="C311" s="8" t="n">
        <v>1009610.21</v>
      </c>
      <c r="D311" s="8" t="n">
        <v>879946.76</v>
      </c>
      <c r="E311" s="9">
        <f>C311-D311</f>
        <v/>
      </c>
    </row>
    <row r="312">
      <c r="A312" s="6" t="inlineStr">
        <is>
          <t>2026-06-17</t>
        </is>
      </c>
      <c r="B312" s="6" t="inlineStr">
        <is>
          <t>MMUS</t>
        </is>
      </c>
      <c r="C312" s="8" t="n">
        <v>1996818.72</v>
      </c>
      <c r="D312" s="8" t="n">
        <v>0</v>
      </c>
      <c r="E312" s="9">
        <f>C312-D312</f>
        <v/>
      </c>
    </row>
    <row r="313">
      <c r="A313" s="6" t="inlineStr">
        <is>
          <t>2026-06-18</t>
        </is>
      </c>
      <c r="B313" s="6" t="inlineStr">
        <is>
          <t>MMUS</t>
        </is>
      </c>
      <c r="C313" s="8" t="n">
        <v>0</v>
      </c>
      <c r="D313" s="8" t="n">
        <v>456505.36</v>
      </c>
      <c r="E313" s="9">
        <f>C313-D313</f>
        <v/>
      </c>
    </row>
    <row r="314">
      <c r="A314" s="6" t="inlineStr">
        <is>
          <t>2026-06-19</t>
        </is>
      </c>
      <c r="B314" s="6" t="inlineStr">
        <is>
          <t>MMUS</t>
        </is>
      </c>
      <c r="C314" s="8" t="n">
        <v>182572.68</v>
      </c>
      <c r="D314" s="8" t="n">
        <v>461583.31</v>
      </c>
      <c r="E314" s="9">
        <f>C314-D314</f>
        <v/>
      </c>
    </row>
    <row r="315">
      <c r="A315" s="6" t="inlineStr">
        <is>
          <t>2026-06-22</t>
        </is>
      </c>
      <c r="B315" s="6" t="inlineStr">
        <is>
          <t>MMUS</t>
        </is>
      </c>
      <c r="C315" s="8" t="n">
        <v>0</v>
      </c>
      <c r="D315" s="8" t="n">
        <v>120114.35</v>
      </c>
      <c r="E315" s="9">
        <f>C315-D315</f>
        <v/>
      </c>
    </row>
    <row r="316">
      <c r="A316" s="6" t="inlineStr">
        <is>
          <t>2026-06-23</t>
        </is>
      </c>
      <c r="B316" s="6" t="inlineStr">
        <is>
          <t>MMUS</t>
        </is>
      </c>
      <c r="C316" s="8" t="n">
        <v>268428.15</v>
      </c>
      <c r="D316" s="8" t="n">
        <v>635123.03</v>
      </c>
      <c r="E316" s="9">
        <f>C316-D316</f>
        <v/>
      </c>
    </row>
    <row r="317">
      <c r="A317" s="6" t="inlineStr">
        <is>
          <t>2026-06-24</t>
        </is>
      </c>
      <c r="B317" s="6" t="inlineStr">
        <is>
          <t>MMUS</t>
        </is>
      </c>
      <c r="C317" s="8" t="n">
        <v>643111.2</v>
      </c>
      <c r="D317" s="8" t="n">
        <v>318320.17</v>
      </c>
      <c r="E317" s="9">
        <f>C317-D317</f>
        <v/>
      </c>
    </row>
    <row r="318">
      <c r="A318" s="6" t="inlineStr">
        <is>
          <t>2026-06-25</t>
        </is>
      </c>
      <c r="B318" s="6" t="inlineStr">
        <is>
          <t>MMUS</t>
        </is>
      </c>
      <c r="C318" s="8" t="n">
        <v>1406439.68</v>
      </c>
      <c r="D318" s="8" t="n">
        <v>350566.83</v>
      </c>
      <c r="E318" s="9">
        <f>C318-D318</f>
        <v/>
      </c>
    </row>
    <row r="319">
      <c r="A319" s="6" t="inlineStr">
        <is>
          <t>2026-06-26</t>
        </is>
      </c>
      <c r="B319" s="6" t="inlineStr">
        <is>
          <t>MMUS</t>
        </is>
      </c>
      <c r="C319" s="8" t="n">
        <v>0</v>
      </c>
      <c r="D319" s="8" t="n">
        <v>0</v>
      </c>
      <c r="E319" s="9">
        <f>C319-D319</f>
        <v/>
      </c>
    </row>
    <row r="320">
      <c r="A320" s="6" t="inlineStr">
        <is>
          <t>2026-06-29</t>
        </is>
      </c>
      <c r="B320" s="6" t="inlineStr">
        <is>
          <t>MMUS</t>
        </is>
      </c>
      <c r="C320" s="8" t="n">
        <v>1349185.67</v>
      </c>
      <c r="D320" s="8" t="n">
        <v>1094252.43</v>
      </c>
      <c r="E320" s="9">
        <f>C320-D320</f>
        <v/>
      </c>
    </row>
    <row r="321">
      <c r="A321" s="6" t="inlineStr">
        <is>
          <t>2026-06-30</t>
        </is>
      </c>
      <c r="B321" s="6" t="inlineStr">
        <is>
          <t>MMUS</t>
        </is>
      </c>
      <c r="C321" s="8" t="n">
        <v>565564.21</v>
      </c>
      <c r="D321" s="8" t="n">
        <v>227367.3</v>
      </c>
      <c r="E321" s="9">
        <f>C321-D321</f>
        <v/>
      </c>
    </row>
    <row r="322">
      <c r="A322" s="6" t="inlineStr">
        <is>
          <t>2026-04-01</t>
        </is>
      </c>
      <c r="B322" s="6" t="inlineStr">
        <is>
          <t>FDIV</t>
        </is>
      </c>
      <c r="C322" s="8" t="n">
        <v>931947.28</v>
      </c>
      <c r="D322" s="8" t="n">
        <v>0</v>
      </c>
      <c r="E322" s="9">
        <f>C322-D322</f>
        <v/>
      </c>
    </row>
    <row r="323">
      <c r="A323" s="6" t="inlineStr">
        <is>
          <t>2026-04-02</t>
        </is>
      </c>
      <c r="B323" s="6" t="inlineStr">
        <is>
          <t>FDIV</t>
        </is>
      </c>
      <c r="C323" s="8" t="n">
        <v>0</v>
      </c>
      <c r="D323" s="8" t="n">
        <v>370251.52</v>
      </c>
      <c r="E323" s="9">
        <f>C323-D323</f>
        <v/>
      </c>
    </row>
    <row r="324">
      <c r="A324" s="6" t="inlineStr">
        <is>
          <t>2026-04-03</t>
        </is>
      </c>
      <c r="B324" s="6" t="inlineStr">
        <is>
          <t>FDIV</t>
        </is>
      </c>
      <c r="C324" s="8" t="n">
        <v>331234.09</v>
      </c>
      <c r="D324" s="8" t="n">
        <v>361477.18</v>
      </c>
      <c r="E324" s="9">
        <f>C324-D324</f>
        <v/>
      </c>
    </row>
    <row r="325">
      <c r="A325" s="6" t="inlineStr">
        <is>
          <t>2026-04-06</t>
        </is>
      </c>
      <c r="B325" s="6" t="inlineStr">
        <is>
          <t>FDIV</t>
        </is>
      </c>
      <c r="C325" s="8" t="n">
        <v>336311.89</v>
      </c>
      <c r="D325" s="8" t="n">
        <v>116184.34</v>
      </c>
      <c r="E325" s="9">
        <f>C325-D325</f>
        <v/>
      </c>
    </row>
    <row r="326">
      <c r="A326" s="6" t="inlineStr">
        <is>
          <t>2026-04-07</t>
        </is>
      </c>
      <c r="B326" s="6" t="inlineStr">
        <is>
          <t>FDIV</t>
        </is>
      </c>
      <c r="C326" s="8" t="n">
        <v>619096.58</v>
      </c>
      <c r="D326" s="8" t="n">
        <v>204453.4</v>
      </c>
      <c r="E326" s="9">
        <f>C326-D326</f>
        <v/>
      </c>
    </row>
    <row r="327">
      <c r="A327" s="6" t="inlineStr">
        <is>
          <t>2026-04-08</t>
        </is>
      </c>
      <c r="B327" s="6" t="inlineStr">
        <is>
          <t>FDIV</t>
        </is>
      </c>
      <c r="C327" s="8" t="n">
        <v>50931.77</v>
      </c>
      <c r="D327" s="8" t="n">
        <v>635767.52</v>
      </c>
      <c r="E327" s="9">
        <f>C327-D327</f>
        <v/>
      </c>
    </row>
    <row r="328">
      <c r="A328" s="6" t="inlineStr">
        <is>
          <t>2026-04-09</t>
        </is>
      </c>
      <c r="B328" s="6" t="inlineStr">
        <is>
          <t>FDIV</t>
        </is>
      </c>
      <c r="C328" s="8" t="n">
        <v>229384.98</v>
      </c>
      <c r="D328" s="8" t="n">
        <v>306380.11</v>
      </c>
      <c r="E328" s="9">
        <f>C328-D328</f>
        <v/>
      </c>
    </row>
    <row r="329">
      <c r="A329" s="6" t="inlineStr">
        <is>
          <t>2026-04-10</t>
        </is>
      </c>
      <c r="B329" s="6" t="inlineStr">
        <is>
          <t>FDIV</t>
        </is>
      </c>
      <c r="C329" s="8" t="n">
        <v>182378.32</v>
      </c>
      <c r="D329" s="8" t="n">
        <v>174239.83</v>
      </c>
      <c r="E329" s="9">
        <f>C329-D329</f>
        <v/>
      </c>
    </row>
    <row r="330">
      <c r="A330" s="6" t="inlineStr">
        <is>
          <t>2026-04-13</t>
        </is>
      </c>
      <c r="B330" s="6" t="inlineStr">
        <is>
          <t>FDIV</t>
        </is>
      </c>
      <c r="C330" s="8" t="n">
        <v>463947.26</v>
      </c>
      <c r="D330" s="8" t="n">
        <v>278907.7</v>
      </c>
      <c r="E330" s="9">
        <f>C330-D330</f>
        <v/>
      </c>
    </row>
    <row r="331">
      <c r="A331" s="6" t="inlineStr">
        <is>
          <t>2026-04-14</t>
        </is>
      </c>
      <c r="B331" s="6" t="inlineStr">
        <is>
          <t>FDIV</t>
        </is>
      </c>
      <c r="C331" s="8" t="n">
        <v>0</v>
      </c>
      <c r="D331" s="8" t="n">
        <v>343133.32</v>
      </c>
      <c r="E331" s="9">
        <f>C331-D331</f>
        <v/>
      </c>
    </row>
    <row r="332">
      <c r="A332" s="6" t="inlineStr">
        <is>
          <t>2026-04-15</t>
        </is>
      </c>
      <c r="B332" s="6" t="inlineStr">
        <is>
          <t>FDIV</t>
        </is>
      </c>
      <c r="C332" s="8" t="n">
        <v>562031.26</v>
      </c>
      <c r="D332" s="8" t="n">
        <v>375208.34</v>
      </c>
      <c r="E332" s="9">
        <f>C332-D332</f>
        <v/>
      </c>
    </row>
    <row r="333">
      <c r="A333" s="6" t="inlineStr">
        <is>
          <t>2026-04-16</t>
        </is>
      </c>
      <c r="B333" s="6" t="inlineStr">
        <is>
          <t>FDIV</t>
        </is>
      </c>
      <c r="C333" s="8" t="n">
        <v>511635.14</v>
      </c>
      <c r="D333" s="8" t="n">
        <v>448173.13</v>
      </c>
      <c r="E333" s="9">
        <f>C333-D333</f>
        <v/>
      </c>
    </row>
    <row r="334">
      <c r="A334" s="6" t="inlineStr">
        <is>
          <t>2026-04-17</t>
        </is>
      </c>
      <c r="B334" s="6" t="inlineStr">
        <is>
          <t>FDIV</t>
        </is>
      </c>
      <c r="C334" s="8" t="n">
        <v>238747.98</v>
      </c>
      <c r="D334" s="8" t="n">
        <v>0</v>
      </c>
      <c r="E334" s="9">
        <f>C334-D334</f>
        <v/>
      </c>
    </row>
    <row r="335">
      <c r="A335" s="6" t="inlineStr">
        <is>
          <t>2026-04-20</t>
        </is>
      </c>
      <c r="B335" s="6" t="inlineStr">
        <is>
          <t>FDIV</t>
        </is>
      </c>
      <c r="C335" s="8" t="n">
        <v>0</v>
      </c>
      <c r="D335" s="8" t="n">
        <v>126841.64</v>
      </c>
      <c r="E335" s="9">
        <f>C335-D335</f>
        <v/>
      </c>
    </row>
    <row r="336">
      <c r="A336" s="6" t="inlineStr">
        <is>
          <t>2026-04-21</t>
        </is>
      </c>
      <c r="B336" s="6" t="inlineStr">
        <is>
          <t>FDIV</t>
        </is>
      </c>
      <c r="C336" s="8" t="n">
        <v>465051.07</v>
      </c>
      <c r="D336" s="8" t="n">
        <v>503614.97</v>
      </c>
      <c r="E336" s="9">
        <f>C336-D336</f>
        <v/>
      </c>
    </row>
    <row r="337">
      <c r="A337" s="6" t="inlineStr">
        <is>
          <t>2026-04-22</t>
        </is>
      </c>
      <c r="B337" s="6" t="inlineStr">
        <is>
          <t>FDIV</t>
        </is>
      </c>
      <c r="C337" s="8" t="n">
        <v>521226.7</v>
      </c>
      <c r="D337" s="8" t="n">
        <v>161367.59</v>
      </c>
      <c r="E337" s="9">
        <f>C337-D337</f>
        <v/>
      </c>
    </row>
    <row r="338">
      <c r="A338" s="6" t="inlineStr">
        <is>
          <t>2026-04-23</t>
        </is>
      </c>
      <c r="B338" s="6" t="inlineStr">
        <is>
          <t>FDIV</t>
        </is>
      </c>
      <c r="C338" s="8" t="n">
        <v>267277.77</v>
      </c>
      <c r="D338" s="8" t="n">
        <v>303906.52</v>
      </c>
      <c r="E338" s="9">
        <f>C338-D338</f>
        <v/>
      </c>
    </row>
    <row r="339">
      <c r="A339" s="6" t="inlineStr">
        <is>
          <t>2026-04-24</t>
        </is>
      </c>
      <c r="B339" s="6" t="inlineStr">
        <is>
          <t>FDIV</t>
        </is>
      </c>
      <c r="C339" s="8" t="n">
        <v>841668.6899999999</v>
      </c>
      <c r="D339" s="8" t="n">
        <v>594781.27</v>
      </c>
      <c r="E339" s="9">
        <f>C339-D339</f>
        <v/>
      </c>
    </row>
    <row r="340">
      <c r="A340" s="6" t="inlineStr">
        <is>
          <t>2026-04-27</t>
        </is>
      </c>
      <c r="B340" s="6" t="inlineStr">
        <is>
          <t>FDIV</t>
        </is>
      </c>
      <c r="C340" s="8" t="n">
        <v>404698.06</v>
      </c>
      <c r="D340" s="8" t="n">
        <v>372904.72</v>
      </c>
      <c r="E340" s="9">
        <f>C340-D340</f>
        <v/>
      </c>
    </row>
    <row r="341">
      <c r="A341" s="6" t="inlineStr">
        <is>
          <t>2026-04-28</t>
        </is>
      </c>
      <c r="B341" s="6" t="inlineStr">
        <is>
          <t>FDIV</t>
        </is>
      </c>
      <c r="C341" s="8" t="n">
        <v>239060.48</v>
      </c>
      <c r="D341" s="8" t="n">
        <v>0</v>
      </c>
      <c r="E341" s="9">
        <f>C341-D341</f>
        <v/>
      </c>
    </row>
    <row r="342">
      <c r="A342" s="6" t="inlineStr">
        <is>
          <t>2026-04-29</t>
        </is>
      </c>
      <c r="B342" s="6" t="inlineStr">
        <is>
          <t>FDIV</t>
        </is>
      </c>
      <c r="C342" s="8" t="n">
        <v>0</v>
      </c>
      <c r="D342" s="8" t="n">
        <v>559111.78</v>
      </c>
      <c r="E342" s="9">
        <f>C342-D342</f>
        <v/>
      </c>
    </row>
    <row r="343">
      <c r="A343" s="6" t="inlineStr">
        <is>
          <t>2026-04-30</t>
        </is>
      </c>
      <c r="B343" s="6" t="inlineStr">
        <is>
          <t>FDIV</t>
        </is>
      </c>
      <c r="C343" s="8" t="n">
        <v>519782.43</v>
      </c>
      <c r="D343" s="8" t="n">
        <v>0</v>
      </c>
      <c r="E343" s="9">
        <f>C343-D343</f>
        <v/>
      </c>
    </row>
    <row r="344">
      <c r="A344" s="6" t="inlineStr">
        <is>
          <t>2026-05-01</t>
        </is>
      </c>
      <c r="B344" s="6" t="inlineStr">
        <is>
          <t>FDIV</t>
        </is>
      </c>
      <c r="C344" s="8" t="n">
        <v>90347.11</v>
      </c>
      <c r="D344" s="8" t="n">
        <v>484502.73</v>
      </c>
      <c r="E344" s="9">
        <f>C344-D344</f>
        <v/>
      </c>
    </row>
    <row r="345">
      <c r="A345" s="6" t="inlineStr">
        <is>
          <t>2026-05-04</t>
        </is>
      </c>
      <c r="B345" s="6" t="inlineStr">
        <is>
          <t>FDIV</t>
        </is>
      </c>
      <c r="C345" s="8" t="n">
        <v>376353.4</v>
      </c>
      <c r="D345" s="8" t="n">
        <v>188775.42</v>
      </c>
      <c r="E345" s="9">
        <f>C345-D345</f>
        <v/>
      </c>
    </row>
    <row r="346">
      <c r="A346" s="6" t="inlineStr">
        <is>
          <t>2026-05-05</t>
        </is>
      </c>
      <c r="B346" s="6" t="inlineStr">
        <is>
          <t>FDIV</t>
        </is>
      </c>
      <c r="C346" s="8" t="n">
        <v>717006.88</v>
      </c>
      <c r="D346" s="8" t="n">
        <v>500180.16</v>
      </c>
      <c r="E346" s="9">
        <f>C346-D346</f>
        <v/>
      </c>
    </row>
    <row r="347">
      <c r="A347" s="6" t="inlineStr">
        <is>
          <t>2026-05-06</t>
        </is>
      </c>
      <c r="B347" s="6" t="inlineStr">
        <is>
          <t>FDIV</t>
        </is>
      </c>
      <c r="C347" s="8" t="n">
        <v>43674.87</v>
      </c>
      <c r="D347" s="8" t="n">
        <v>124387.96</v>
      </c>
      <c r="E347" s="9">
        <f>C347-D347</f>
        <v/>
      </c>
    </row>
    <row r="348">
      <c r="A348" s="6" t="inlineStr">
        <is>
          <t>2026-05-07</t>
        </is>
      </c>
      <c r="B348" s="6" t="inlineStr">
        <is>
          <t>FDIV</t>
        </is>
      </c>
      <c r="C348" s="8" t="n">
        <v>247674.23</v>
      </c>
      <c r="D348" s="8" t="n">
        <v>401865.04</v>
      </c>
      <c r="E348" s="9">
        <f>C348-D348</f>
        <v/>
      </c>
    </row>
    <row r="349">
      <c r="A349" s="6" t="inlineStr">
        <is>
          <t>2026-05-08</t>
        </is>
      </c>
      <c r="B349" s="6" t="inlineStr">
        <is>
          <t>FDIV</t>
        </is>
      </c>
      <c r="C349" s="8" t="n">
        <v>79813.73</v>
      </c>
      <c r="D349" s="8" t="n">
        <v>175296.45</v>
      </c>
      <c r="E349" s="9">
        <f>C349-D349</f>
        <v/>
      </c>
    </row>
    <row r="350">
      <c r="A350" s="6" t="inlineStr">
        <is>
          <t>2026-05-11</t>
        </is>
      </c>
      <c r="B350" s="6" t="inlineStr">
        <is>
          <t>FDIV</t>
        </is>
      </c>
      <c r="C350" s="8" t="n">
        <v>452828.36</v>
      </c>
      <c r="D350" s="8" t="n">
        <v>0</v>
      </c>
      <c r="E350" s="9">
        <f>C350-D350</f>
        <v/>
      </c>
    </row>
    <row r="351">
      <c r="A351" s="6" t="inlineStr">
        <is>
          <t>2026-05-12</t>
        </is>
      </c>
      <c r="B351" s="6" t="inlineStr">
        <is>
          <t>FDIV</t>
        </is>
      </c>
      <c r="C351" s="8" t="n">
        <v>0</v>
      </c>
      <c r="D351" s="8" t="n">
        <v>467411.62</v>
      </c>
      <c r="E351" s="9">
        <f>C351-D351</f>
        <v/>
      </c>
    </row>
    <row r="352">
      <c r="A352" s="6" t="inlineStr">
        <is>
          <t>2026-05-13</t>
        </is>
      </c>
      <c r="B352" s="6" t="inlineStr">
        <is>
          <t>FDIV</t>
        </is>
      </c>
      <c r="C352" s="8" t="n">
        <v>0</v>
      </c>
      <c r="D352" s="8" t="n">
        <v>716908.5699999999</v>
      </c>
      <c r="E352" s="9">
        <f>C352-D352</f>
        <v/>
      </c>
    </row>
    <row r="353">
      <c r="A353" s="6" t="inlineStr">
        <is>
          <t>2026-05-14</t>
        </is>
      </c>
      <c r="B353" s="6" t="inlineStr">
        <is>
          <t>FDIV</t>
        </is>
      </c>
      <c r="C353" s="8" t="n">
        <v>67942.38</v>
      </c>
      <c r="D353" s="8" t="n">
        <v>170755.15</v>
      </c>
      <c r="E353" s="9">
        <f>C353-D353</f>
        <v/>
      </c>
    </row>
    <row r="354">
      <c r="A354" s="6" t="inlineStr">
        <is>
          <t>2026-05-15</t>
        </is>
      </c>
      <c r="B354" s="6" t="inlineStr">
        <is>
          <t>FDIV</t>
        </is>
      </c>
      <c r="C354" s="8" t="n">
        <v>172062.03</v>
      </c>
      <c r="D354" s="8" t="n">
        <v>0</v>
      </c>
      <c r="E354" s="9">
        <f>C354-D354</f>
        <v/>
      </c>
    </row>
    <row r="355">
      <c r="A355" s="6" t="inlineStr">
        <is>
          <t>2026-05-18</t>
        </is>
      </c>
      <c r="B355" s="6" t="inlineStr">
        <is>
          <t>FDIV</t>
        </is>
      </c>
      <c r="C355" s="8" t="n">
        <v>241144.07</v>
      </c>
      <c r="D355" s="8" t="n">
        <v>140475.52</v>
      </c>
      <c r="E355" s="9">
        <f>C355-D355</f>
        <v/>
      </c>
    </row>
    <row r="356">
      <c r="A356" s="6" t="inlineStr">
        <is>
          <t>2026-05-19</t>
        </is>
      </c>
      <c r="B356" s="6" t="inlineStr">
        <is>
          <t>FDIV</t>
        </is>
      </c>
      <c r="C356" s="8" t="n">
        <v>483575.83</v>
      </c>
      <c r="D356" s="8" t="n">
        <v>437251.18</v>
      </c>
      <c r="E356" s="9">
        <f>C356-D356</f>
        <v/>
      </c>
    </row>
    <row r="357">
      <c r="A357" s="6" t="inlineStr">
        <is>
          <t>2026-05-20</t>
        </is>
      </c>
      <c r="B357" s="6" t="inlineStr">
        <is>
          <t>FDIV</t>
        </is>
      </c>
      <c r="C357" s="8" t="n">
        <v>130666.57</v>
      </c>
      <c r="D357" s="8" t="n">
        <v>46485.46</v>
      </c>
      <c r="E357" s="9">
        <f>C357-D357</f>
        <v/>
      </c>
    </row>
    <row r="358">
      <c r="A358" s="6" t="inlineStr">
        <is>
          <t>2026-05-21</t>
        </is>
      </c>
      <c r="B358" s="6" t="inlineStr">
        <is>
          <t>FDIV</t>
        </is>
      </c>
      <c r="C358" s="8" t="n">
        <v>301871.08</v>
      </c>
      <c r="D358" s="8" t="n">
        <v>235393.53</v>
      </c>
      <c r="E358" s="9">
        <f>C358-D358</f>
        <v/>
      </c>
    </row>
    <row r="359">
      <c r="A359" s="6" t="inlineStr">
        <is>
          <t>2026-05-22</t>
        </is>
      </c>
      <c r="B359" s="6" t="inlineStr">
        <is>
          <t>FDIV</t>
        </is>
      </c>
      <c r="C359" s="8" t="n">
        <v>0</v>
      </c>
      <c r="D359" s="8" t="n">
        <v>0</v>
      </c>
      <c r="E359" s="9">
        <f>C359-D359</f>
        <v/>
      </c>
    </row>
    <row r="360">
      <c r="A360" s="6" t="inlineStr">
        <is>
          <t>2026-05-26</t>
        </is>
      </c>
      <c r="B360" s="6" t="inlineStr">
        <is>
          <t>FDIV</t>
        </is>
      </c>
      <c r="C360" s="8" t="n">
        <v>254392.54</v>
      </c>
      <c r="D360" s="8" t="n">
        <v>289787.02</v>
      </c>
      <c r="E360" s="9">
        <f>C360-D360</f>
        <v/>
      </c>
    </row>
    <row r="361">
      <c r="A361" s="6" t="inlineStr">
        <is>
          <t>2026-05-27</t>
        </is>
      </c>
      <c r="B361" s="6" t="inlineStr">
        <is>
          <t>FDIV</t>
        </is>
      </c>
      <c r="C361" s="8" t="n">
        <v>670442.45</v>
      </c>
      <c r="D361" s="8" t="n">
        <v>388701.55</v>
      </c>
      <c r="E361" s="9">
        <f>C361-D361</f>
        <v/>
      </c>
    </row>
    <row r="362">
      <c r="A362" s="6" t="inlineStr">
        <is>
          <t>2026-05-28</t>
        </is>
      </c>
      <c r="B362" s="6" t="inlineStr">
        <is>
          <t>FDIV</t>
        </is>
      </c>
      <c r="C362" s="8" t="n">
        <v>769078.4300000001</v>
      </c>
      <c r="D362" s="8" t="n">
        <v>0</v>
      </c>
      <c r="E362" s="9">
        <f>C362-D362</f>
        <v/>
      </c>
    </row>
    <row r="363">
      <c r="A363" s="6" t="inlineStr">
        <is>
          <t>2026-05-29</t>
        </is>
      </c>
      <c r="B363" s="6" t="inlineStr">
        <is>
          <t>FDIV</t>
        </is>
      </c>
      <c r="C363" s="8" t="n">
        <v>573320.39</v>
      </c>
      <c r="D363" s="8" t="n">
        <v>197024.82</v>
      </c>
      <c r="E363" s="9">
        <f>C363-D363</f>
        <v/>
      </c>
    </row>
    <row r="364">
      <c r="A364" s="6" t="inlineStr">
        <is>
          <t>2026-06-01</t>
        </is>
      </c>
      <c r="B364" s="6" t="inlineStr">
        <is>
          <t>FDIV</t>
        </is>
      </c>
      <c r="C364" s="8" t="n">
        <v>0</v>
      </c>
      <c r="D364" s="8" t="n">
        <v>275884.03</v>
      </c>
      <c r="E364" s="9">
        <f>C364-D364</f>
        <v/>
      </c>
    </row>
    <row r="365">
      <c r="A365" s="6" t="inlineStr">
        <is>
          <t>2026-06-02</t>
        </is>
      </c>
      <c r="B365" s="6" t="inlineStr">
        <is>
          <t>FDIV</t>
        </is>
      </c>
      <c r="C365" s="8" t="n">
        <v>187970.75</v>
      </c>
      <c r="D365" s="8" t="n">
        <v>635286.66</v>
      </c>
      <c r="E365" s="9">
        <f>C365-D365</f>
        <v/>
      </c>
    </row>
    <row r="366">
      <c r="A366" s="6" t="inlineStr">
        <is>
          <t>2026-06-03</t>
        </is>
      </c>
      <c r="B366" s="6" t="inlineStr">
        <is>
          <t>FDIV</t>
        </is>
      </c>
      <c r="C366" s="8" t="n">
        <v>105849.34</v>
      </c>
      <c r="D366" s="8" t="n">
        <v>398037.36</v>
      </c>
      <c r="E366" s="9">
        <f>C366-D366</f>
        <v/>
      </c>
    </row>
    <row r="367">
      <c r="A367" s="6" t="inlineStr">
        <is>
          <t>2026-06-04</t>
        </is>
      </c>
      <c r="B367" s="6" t="inlineStr">
        <is>
          <t>FDIV</t>
        </is>
      </c>
      <c r="C367" s="8" t="n">
        <v>310103.04</v>
      </c>
      <c r="D367" s="8" t="n">
        <v>19750.39</v>
      </c>
      <c r="E367" s="9">
        <f>C367-D367</f>
        <v/>
      </c>
    </row>
    <row r="368">
      <c r="A368" s="6" t="inlineStr">
        <is>
          <t>2026-06-05</t>
        </is>
      </c>
      <c r="B368" s="6" t="inlineStr">
        <is>
          <t>FDIV</t>
        </is>
      </c>
      <c r="C368" s="8" t="n">
        <v>842934.88</v>
      </c>
      <c r="D368" s="8" t="n">
        <v>162251.6</v>
      </c>
      <c r="E368" s="9">
        <f>C368-D368</f>
        <v/>
      </c>
    </row>
    <row r="369">
      <c r="A369" s="6" t="inlineStr">
        <is>
          <t>2026-06-08</t>
        </is>
      </c>
      <c r="B369" s="6" t="inlineStr">
        <is>
          <t>FDIV</t>
        </is>
      </c>
      <c r="C369" s="8" t="n">
        <v>737258.29</v>
      </c>
      <c r="D369" s="8" t="n">
        <v>327573.04</v>
      </c>
      <c r="E369" s="9">
        <f>C369-D369</f>
        <v/>
      </c>
    </row>
    <row r="370">
      <c r="A370" s="6" t="inlineStr">
        <is>
          <t>2026-06-09</t>
        </is>
      </c>
      <c r="B370" s="6" t="inlineStr">
        <is>
          <t>FDIV</t>
        </is>
      </c>
      <c r="C370" s="8" t="n">
        <v>538669.91</v>
      </c>
      <c r="D370" s="8" t="n">
        <v>83242.67</v>
      </c>
      <c r="E370" s="9">
        <f>C370-D370</f>
        <v/>
      </c>
    </row>
    <row r="371">
      <c r="A371" s="6" t="inlineStr">
        <is>
          <t>2026-06-10</t>
        </is>
      </c>
      <c r="B371" s="6" t="inlineStr">
        <is>
          <t>FDIV</t>
        </is>
      </c>
      <c r="C371" s="8" t="n">
        <v>940408.1899999999</v>
      </c>
      <c r="D371" s="8" t="n">
        <v>145274.73</v>
      </c>
      <c r="E371" s="9">
        <f>C371-D371</f>
        <v/>
      </c>
    </row>
    <row r="372">
      <c r="A372" s="6" t="inlineStr">
        <is>
          <t>2026-06-11</t>
        </is>
      </c>
      <c r="B372" s="6" t="inlineStr">
        <is>
          <t>FDIV</t>
        </is>
      </c>
      <c r="C372" s="8" t="n">
        <v>33206.9</v>
      </c>
      <c r="D372" s="8" t="n">
        <v>619694.47</v>
      </c>
      <c r="E372" s="9">
        <f>C372-D372</f>
        <v/>
      </c>
    </row>
    <row r="373">
      <c r="A373" s="6" t="inlineStr">
        <is>
          <t>2026-06-12</t>
        </is>
      </c>
      <c r="B373" s="6" t="inlineStr">
        <is>
          <t>FDIV</t>
        </is>
      </c>
      <c r="C373" s="8" t="n">
        <v>21572.16</v>
      </c>
      <c r="D373" s="8" t="n">
        <v>459164.24</v>
      </c>
      <c r="E373" s="9">
        <f>C373-D373</f>
        <v/>
      </c>
    </row>
    <row r="374">
      <c r="A374" s="6" t="inlineStr">
        <is>
          <t>2026-06-15</t>
        </is>
      </c>
      <c r="B374" s="6" t="inlineStr">
        <is>
          <t>FDIV</t>
        </is>
      </c>
      <c r="C374" s="8" t="n">
        <v>252210.11</v>
      </c>
      <c r="D374" s="8" t="n">
        <v>0</v>
      </c>
      <c r="E374" s="9">
        <f>C374-D374</f>
        <v/>
      </c>
    </row>
    <row r="375">
      <c r="A375" s="6" t="inlineStr">
        <is>
          <t>2026-06-16</t>
        </is>
      </c>
      <c r="B375" s="6" t="inlineStr">
        <is>
          <t>FDIV</t>
        </is>
      </c>
      <c r="C375" s="8" t="n">
        <v>899725.39</v>
      </c>
      <c r="D375" s="8" t="n">
        <v>0</v>
      </c>
      <c r="E375" s="9">
        <f>C375-D375</f>
        <v/>
      </c>
    </row>
    <row r="376">
      <c r="A376" s="6" t="inlineStr">
        <is>
          <t>2026-06-17</t>
        </is>
      </c>
      <c r="B376" s="6" t="inlineStr">
        <is>
          <t>FDIV</t>
        </is>
      </c>
      <c r="C376" s="8" t="n">
        <v>185090.27</v>
      </c>
      <c r="D376" s="8" t="n">
        <v>498799.16</v>
      </c>
      <c r="E376" s="9">
        <f>C376-D376</f>
        <v/>
      </c>
    </row>
    <row r="377">
      <c r="A377" s="6" t="inlineStr">
        <is>
          <t>2026-06-18</t>
        </is>
      </c>
      <c r="B377" s="6" t="inlineStr">
        <is>
          <t>FDIV</t>
        </is>
      </c>
      <c r="C377" s="8" t="n">
        <v>0</v>
      </c>
      <c r="D377" s="8" t="n">
        <v>329998.64</v>
      </c>
      <c r="E377" s="9">
        <f>C377-D377</f>
        <v/>
      </c>
    </row>
    <row r="378">
      <c r="A378" s="6" t="inlineStr">
        <is>
          <t>2026-06-19</t>
        </is>
      </c>
      <c r="B378" s="6" t="inlineStr">
        <is>
          <t>FDIV</t>
        </is>
      </c>
      <c r="C378" s="8" t="n">
        <v>391623.72</v>
      </c>
      <c r="D378" s="8" t="n">
        <v>342299.16</v>
      </c>
      <c r="E378" s="9">
        <f>C378-D378</f>
        <v/>
      </c>
    </row>
    <row r="379">
      <c r="A379" s="6" t="inlineStr">
        <is>
          <t>2026-06-22</t>
        </is>
      </c>
      <c r="B379" s="6" t="inlineStr">
        <is>
          <t>FDIV</t>
        </is>
      </c>
      <c r="C379" s="8" t="n">
        <v>0</v>
      </c>
      <c r="D379" s="8" t="n">
        <v>316694.68</v>
      </c>
      <c r="E379" s="9">
        <f>C379-D379</f>
        <v/>
      </c>
    </row>
    <row r="380">
      <c r="A380" s="6" t="inlineStr">
        <is>
          <t>2026-06-23</t>
        </is>
      </c>
      <c r="B380" s="6" t="inlineStr">
        <is>
          <t>FDIV</t>
        </is>
      </c>
      <c r="C380" s="8" t="n">
        <v>24516.33</v>
      </c>
      <c r="D380" s="8" t="n">
        <v>230331.11</v>
      </c>
      <c r="E380" s="9">
        <f>C380-D380</f>
        <v/>
      </c>
    </row>
    <row r="381">
      <c r="A381" s="6" t="inlineStr">
        <is>
          <t>2026-06-24</t>
        </is>
      </c>
      <c r="B381" s="6" t="inlineStr">
        <is>
          <t>FDIV</t>
        </is>
      </c>
      <c r="C381" s="8" t="n">
        <v>467383.13</v>
      </c>
      <c r="D381" s="8" t="n">
        <v>359933.87</v>
      </c>
      <c r="E381" s="9">
        <f>C381-D381</f>
        <v/>
      </c>
    </row>
    <row r="382">
      <c r="A382" s="6" t="inlineStr">
        <is>
          <t>2026-06-25</t>
        </is>
      </c>
      <c r="B382" s="6" t="inlineStr">
        <is>
          <t>FDIV</t>
        </is>
      </c>
      <c r="C382" s="8" t="n">
        <v>94246.59</v>
      </c>
      <c r="D382" s="8" t="n">
        <v>359773.42</v>
      </c>
      <c r="E382" s="9">
        <f>C382-D382</f>
        <v/>
      </c>
    </row>
    <row r="383">
      <c r="A383" s="6" t="inlineStr">
        <is>
          <t>2026-06-26</t>
        </is>
      </c>
      <c r="B383" s="6" t="inlineStr">
        <is>
          <t>FDIV</t>
        </is>
      </c>
      <c r="C383" s="8" t="n">
        <v>821336.89</v>
      </c>
      <c r="D383" s="8" t="n">
        <v>516104.56</v>
      </c>
      <c r="E383" s="9">
        <f>C383-D383</f>
        <v/>
      </c>
    </row>
    <row r="384">
      <c r="A384" s="6" t="inlineStr">
        <is>
          <t>2026-06-29</t>
        </is>
      </c>
      <c r="B384" s="6" t="inlineStr">
        <is>
          <t>FDIV</t>
        </is>
      </c>
      <c r="C384" s="8" t="n">
        <v>385571.41</v>
      </c>
      <c r="D384" s="8" t="n">
        <v>643983.5699999999</v>
      </c>
      <c r="E384" s="9">
        <f>C384-D384</f>
        <v/>
      </c>
    </row>
    <row r="385">
      <c r="A385" s="6" t="inlineStr">
        <is>
          <t>2026-06-30</t>
        </is>
      </c>
      <c r="B385" s="6" t="inlineStr">
        <is>
          <t>FDIV</t>
        </is>
      </c>
      <c r="C385" s="8" t="n">
        <v>120789.48</v>
      </c>
      <c r="D385" s="8" t="n">
        <v>295685.56</v>
      </c>
      <c r="E385" s="9">
        <f>C385-D385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4" customWidth="1" min="14" max="14"/>
    <col width="14" customWidth="1" min="15" max="15"/>
    <col width="13" customWidth="1" min="16" max="16"/>
    <col width="12" customWidth="1" min="17" max="17"/>
    <col width="15" customWidth="1" min="18" max="18"/>
    <col width="17" customWidth="1" min="19" max="19"/>
    <col width="15" customWidth="1" min="20" max="20"/>
    <col width="15" customWidth="1" min="21" max="21"/>
    <col width="14" customWidth="1" min="22" max="22"/>
    <col width="13" customWidth="1" min="23" max="23"/>
    <col width="18" customWidth="1" min="24" max="24"/>
  </cols>
  <sheetData>
    <row r="1">
      <c r="A1" s="5" t="inlineStr">
        <is>
          <t>Date</t>
        </is>
      </c>
      <c r="B1" s="5" t="inlineStr">
        <is>
          <t>FundCode</t>
        </is>
      </c>
      <c r="C1" s="5" t="inlineStr">
        <is>
          <t>FundName</t>
        </is>
      </c>
      <c r="D1" s="5" t="inlineStr">
        <is>
          <t>Strategy</t>
        </is>
      </c>
      <c r="E1" s="5" t="inlineStr">
        <is>
          <t>InvestmentsMV</t>
        </is>
      </c>
      <c r="F1" s="5" t="inlineStr">
        <is>
          <t>Cash</t>
        </is>
      </c>
      <c r="G1" s="5" t="inlineStr">
        <is>
          <t>Receivables</t>
        </is>
      </c>
      <c r="H1" s="5" t="inlineStr">
        <is>
          <t>Payables</t>
        </is>
      </c>
      <c r="I1" s="5" t="inlineStr">
        <is>
          <t>AccruedMgmtFee</t>
        </is>
      </c>
      <c r="J1" s="5" t="inlineStr">
        <is>
          <t>SharesOutstanding</t>
        </is>
      </c>
      <c r="K1" s="5" t="inlineStr">
        <is>
          <t>TotalAssets</t>
        </is>
      </c>
      <c r="L1" s="5" t="inlineStr">
        <is>
          <t>TotalLiabilities</t>
        </is>
      </c>
      <c r="M1" s="5" t="inlineStr">
        <is>
          <t>NetAssets</t>
        </is>
      </c>
      <c r="N1" s="5" t="inlineStr">
        <is>
          <t>NAVPerShare</t>
        </is>
      </c>
      <c r="O1" s="5" t="inlineStr">
        <is>
          <t>PriorNAV</t>
        </is>
      </c>
      <c r="P1" s="5" t="inlineStr">
        <is>
          <t>NAVChangePct</t>
        </is>
      </c>
      <c r="Q1" s="5" t="inlineStr">
        <is>
          <t>ToleranceBps</t>
        </is>
      </c>
      <c r="R1" s="5" t="inlineStr">
        <is>
          <t>NetFlow</t>
        </is>
      </c>
      <c r="S1" s="5" t="inlineStr">
        <is>
          <t>BreachFlag</t>
        </is>
      </c>
      <c r="T1" s="5" t="inlineStr">
        <is>
          <t>StalePriceFlag</t>
        </is>
      </c>
      <c r="U1" s="5" t="inlineStr">
        <is>
          <t>NegCashFlag</t>
        </is>
      </c>
      <c r="V1" s="5" t="inlineStr">
        <is>
          <t>LargeFlowFlag</t>
        </is>
      </c>
      <c r="W1" s="5" t="inlineStr">
        <is>
          <t>FlagCount</t>
        </is>
      </c>
      <c r="X1" s="5" t="inlineStr">
        <is>
          <t>PrimaryException</t>
        </is>
      </c>
    </row>
    <row r="2">
      <c r="A2" s="6" t="inlineStr">
        <is>
          <t>2026-04-01</t>
        </is>
      </c>
      <c r="B2" s="6" t="inlineStr">
        <is>
          <t>BALM</t>
        </is>
      </c>
      <c r="C2" s="6">
        <f>INDEX('Fund Master'!$B$2:$B$7,MATCH(B2,'Fund Master'!$A$2:$A$7,0))</f>
        <v/>
      </c>
      <c r="D2" s="6">
        <f>INDEX('Fund Master'!$C$2:$C$7,MATCH(B2,'Fund Master'!$A$2:$A$7,0))</f>
        <v/>
      </c>
      <c r="E2" s="8" t="n">
        <v>428217675.85</v>
      </c>
      <c r="F2" s="8" t="n">
        <v>12506588.01</v>
      </c>
      <c r="G2" s="8" t="n">
        <v>2738059.63</v>
      </c>
      <c r="H2" s="8" t="n">
        <v>2244869.55</v>
      </c>
      <c r="I2" s="8" t="n">
        <v>10195.66</v>
      </c>
      <c r="J2" s="10" t="n">
        <v>23369565.2174</v>
      </c>
      <c r="K2" s="9">
        <f>E2+F2+G2</f>
        <v/>
      </c>
      <c r="L2" s="9">
        <f>H2+I2</f>
        <v/>
      </c>
      <c r="M2" s="9">
        <f>K2-L2</f>
        <v/>
      </c>
      <c r="N2" s="11">
        <f>IFERROR(M2/J2,0)</f>
        <v/>
      </c>
      <c r="O2" s="11">
        <f>IF((B2=B1),N1,"")</f>
        <v/>
      </c>
      <c r="P2" s="12">
        <f>IF(O2="","",IFERROR((N2-O2)/O2,""))</f>
        <v/>
      </c>
      <c r="Q2" s="13">
        <f>INDEX('Fund Master'!$F$2:$F$7,MATCH(B2,'Fund Master'!$A$2:$A$7,0))</f>
        <v/>
      </c>
      <c r="R2" s="9">
        <f>SUMIFS('Capital Activity'!$E$2:$E$385,'Capital Activity'!$A$2:$A$385,A2,'Capital Activity'!$B$2:$B$385,B2)</f>
        <v/>
      </c>
      <c r="S2" s="6">
        <f>IF(O2="","",IF(ABS(P2)*10000&gt;Q2,"NAV MOVE BREACH",""))</f>
        <v/>
      </c>
      <c r="T2" s="6">
        <f>IF(AND((B2=B1),D2&lt;&gt;"Money Market",E2=E1),"STALE PRICE","")</f>
        <v/>
      </c>
      <c r="U2" s="6">
        <f>IF(F2&lt;0,"NEGATIVE CASH","")</f>
        <v/>
      </c>
      <c r="V2" s="6">
        <f>IF(ABS(R2)&gt;0.05*M2,"LARGE FLOW","")</f>
        <v/>
      </c>
      <c r="W2" s="6">
        <f>(S2&lt;&gt;"")*1+(T2&lt;&gt;"")*1+(U2&lt;&gt;"")*1+(V2&lt;&gt;"")*1</f>
        <v/>
      </c>
      <c r="X2" s="6">
        <f>IF(S2&lt;&gt;"",S2,IF(T2&lt;&gt;"",T2,IF(U2&lt;&gt;"",U2,IF(V2&lt;&gt;"",V2,""))))</f>
        <v/>
      </c>
    </row>
    <row r="3">
      <c r="A3" s="6" t="inlineStr">
        <is>
          <t>2026-04-02</t>
        </is>
      </c>
      <c r="B3" s="6" t="inlineStr">
        <is>
          <t>BALM</t>
        </is>
      </c>
      <c r="C3" s="6">
        <f>INDEX('Fund Master'!$B$2:$B$7,MATCH(B3,'Fund Master'!$A$2:$A$7,0))</f>
        <v/>
      </c>
      <c r="D3" s="6">
        <f>INDEX('Fund Master'!$C$2:$C$7,MATCH(B3,'Fund Master'!$A$2:$A$7,0))</f>
        <v/>
      </c>
      <c r="E3" s="8" t="n">
        <v>431162102.86</v>
      </c>
      <c r="F3" s="8" t="n">
        <v>12508550.39</v>
      </c>
      <c r="G3" s="8" t="n">
        <v>2498250.78</v>
      </c>
      <c r="H3" s="8" t="n">
        <v>2497369.51</v>
      </c>
      <c r="I3" s="8" t="n">
        <v>20461.42</v>
      </c>
      <c r="J3" s="10" t="n">
        <v>23369565.2174</v>
      </c>
      <c r="K3" s="9">
        <f>E3+F3+G3</f>
        <v/>
      </c>
      <c r="L3" s="9">
        <f>H3+I3</f>
        <v/>
      </c>
      <c r="M3" s="9">
        <f>K3-L3</f>
        <v/>
      </c>
      <c r="N3" s="11">
        <f>IFERROR(M3/J3,0)</f>
        <v/>
      </c>
      <c r="O3" s="11">
        <f>IF((B3=B2),N2,"")</f>
        <v/>
      </c>
      <c r="P3" s="12">
        <f>IF(O3="","",IFERROR((N3-O3)/O3,""))</f>
        <v/>
      </c>
      <c r="Q3" s="13">
        <f>INDEX('Fund Master'!$F$2:$F$7,MATCH(B3,'Fund Master'!$A$2:$A$7,0))</f>
        <v/>
      </c>
      <c r="R3" s="9">
        <f>SUMIFS('Capital Activity'!$E$2:$E$385,'Capital Activity'!$A$2:$A$385,A3,'Capital Activity'!$B$2:$B$385,B3)</f>
        <v/>
      </c>
      <c r="S3" s="6">
        <f>IF(O3="","",IF(ABS(P3)*10000&gt;Q3,"NAV MOVE BREACH",""))</f>
        <v/>
      </c>
      <c r="T3" s="6">
        <f>IF(AND((B3=B2),D3&lt;&gt;"Money Market",E3=E2),"STALE PRICE","")</f>
        <v/>
      </c>
      <c r="U3" s="6">
        <f>IF(F3&lt;0,"NEGATIVE CASH","")</f>
        <v/>
      </c>
      <c r="V3" s="6">
        <f>IF(ABS(R3)&gt;0.05*M3,"LARGE FLOW","")</f>
        <v/>
      </c>
      <c r="W3" s="6">
        <f>(S3&lt;&gt;"")*1+(T3&lt;&gt;"")*1+(U3&lt;&gt;"")*1+(V3&lt;&gt;"")*1</f>
        <v/>
      </c>
      <c r="X3" s="6">
        <f>IF(S3&lt;&gt;"",S3,IF(T3&lt;&gt;"",T3,IF(U3&lt;&gt;"",U3,IF(V3&lt;&gt;"",V3,""))))</f>
        <v/>
      </c>
    </row>
    <row r="4">
      <c r="A4" s="6" t="inlineStr">
        <is>
          <t>2026-04-03</t>
        </is>
      </c>
      <c r="B4" s="6" t="inlineStr">
        <is>
          <t>BALM</t>
        </is>
      </c>
      <c r="C4" s="6">
        <f>INDEX('Fund Master'!$B$2:$B$7,MATCH(B4,'Fund Master'!$A$2:$A$7,0))</f>
        <v/>
      </c>
      <c r="D4" s="6">
        <f>INDEX('Fund Master'!$C$2:$C$7,MATCH(B4,'Fund Master'!$A$2:$A$7,0))</f>
        <v/>
      </c>
      <c r="E4" s="8" t="n">
        <v>434246411.88</v>
      </c>
      <c r="F4" s="8" t="n">
        <v>13233702.28</v>
      </c>
      <c r="G4" s="8" t="n">
        <v>2660389.69</v>
      </c>
      <c r="H4" s="8" t="n">
        <v>2574004.51</v>
      </c>
      <c r="I4" s="8" t="n">
        <v>30800.62</v>
      </c>
      <c r="J4" s="10" t="n">
        <v>23369565.2174</v>
      </c>
      <c r="K4" s="9">
        <f>E4+F4+G4</f>
        <v/>
      </c>
      <c r="L4" s="9">
        <f>H4+I4</f>
        <v/>
      </c>
      <c r="M4" s="9">
        <f>K4-L4</f>
        <v/>
      </c>
      <c r="N4" s="11">
        <f>IFERROR(M4/J4,0)</f>
        <v/>
      </c>
      <c r="O4" s="11">
        <f>IF((B4=B3),N3,"")</f>
        <v/>
      </c>
      <c r="P4" s="12">
        <f>IF(O4="","",IFERROR((N4-O4)/O4,""))</f>
        <v/>
      </c>
      <c r="Q4" s="13">
        <f>INDEX('Fund Master'!$F$2:$F$7,MATCH(B4,'Fund Master'!$A$2:$A$7,0))</f>
        <v/>
      </c>
      <c r="R4" s="9">
        <f>SUMIFS('Capital Activity'!$E$2:$E$385,'Capital Activity'!$A$2:$A$385,A4,'Capital Activity'!$B$2:$B$385,B4)</f>
        <v/>
      </c>
      <c r="S4" s="6">
        <f>IF(O4="","",IF(ABS(P4)*10000&gt;Q4,"NAV MOVE BREACH",""))</f>
        <v/>
      </c>
      <c r="T4" s="6">
        <f>IF(AND((B4=B3),D4&lt;&gt;"Money Market",E4=E3),"STALE PRICE","")</f>
        <v/>
      </c>
      <c r="U4" s="6">
        <f>IF(F4&lt;0,"NEGATIVE CASH","")</f>
        <v/>
      </c>
      <c r="V4" s="6">
        <f>IF(ABS(R4)&gt;0.05*M4,"LARGE FLOW","")</f>
        <v/>
      </c>
      <c r="W4" s="6">
        <f>(S4&lt;&gt;"")*1+(T4&lt;&gt;"")*1+(U4&lt;&gt;"")*1+(V4&lt;&gt;"")*1</f>
        <v/>
      </c>
      <c r="X4" s="6">
        <f>IF(S4&lt;&gt;"",S4,IF(T4&lt;&gt;"",T4,IF(U4&lt;&gt;"",U4,IF(V4&lt;&gt;"",V4,""))))</f>
        <v/>
      </c>
    </row>
    <row r="5">
      <c r="A5" s="6" t="inlineStr">
        <is>
          <t>2026-04-06</t>
        </is>
      </c>
      <c r="B5" s="6" t="inlineStr">
        <is>
          <t>BALM</t>
        </is>
      </c>
      <c r="C5" s="6">
        <f>INDEX('Fund Master'!$B$2:$B$7,MATCH(B5,'Fund Master'!$A$2:$A$7,0))</f>
        <v/>
      </c>
      <c r="D5" s="6">
        <f>INDEX('Fund Master'!$C$2:$C$7,MATCH(B5,'Fund Master'!$A$2:$A$7,0))</f>
        <v/>
      </c>
      <c r="E5" s="8" t="n">
        <v>436574282.88</v>
      </c>
      <c r="F5" s="8" t="n">
        <v>13378300.94</v>
      </c>
      <c r="G5" s="8" t="n">
        <v>2685569.24</v>
      </c>
      <c r="H5" s="8" t="n">
        <v>2581244.64</v>
      </c>
      <c r="I5" s="8" t="n">
        <v>41195.25</v>
      </c>
      <c r="J5" s="10" t="n">
        <v>23369565.2174</v>
      </c>
      <c r="K5" s="9">
        <f>E5+F5+G5</f>
        <v/>
      </c>
      <c r="L5" s="9">
        <f>H5+I5</f>
        <v/>
      </c>
      <c r="M5" s="9">
        <f>K5-L5</f>
        <v/>
      </c>
      <c r="N5" s="11">
        <f>IFERROR(M5/J5,0)</f>
        <v/>
      </c>
      <c r="O5" s="11">
        <f>IF((B5=B4),N4,"")</f>
        <v/>
      </c>
      <c r="P5" s="12">
        <f>IF(O5="","",IFERROR((N5-O5)/O5,""))</f>
        <v/>
      </c>
      <c r="Q5" s="13">
        <f>INDEX('Fund Master'!$F$2:$F$7,MATCH(B5,'Fund Master'!$A$2:$A$7,0))</f>
        <v/>
      </c>
      <c r="R5" s="9">
        <f>SUMIFS('Capital Activity'!$E$2:$E$385,'Capital Activity'!$A$2:$A$385,A5,'Capital Activity'!$B$2:$B$385,B5)</f>
        <v/>
      </c>
      <c r="S5" s="6">
        <f>IF(O5="","",IF(ABS(P5)*10000&gt;Q5,"NAV MOVE BREACH",""))</f>
        <v/>
      </c>
      <c r="T5" s="6">
        <f>IF(AND((B5=B4),D5&lt;&gt;"Money Market",E5=E4),"STALE PRICE","")</f>
        <v/>
      </c>
      <c r="U5" s="6">
        <f>IF(F5&lt;0,"NEGATIVE CASH","")</f>
        <v/>
      </c>
      <c r="V5" s="6">
        <f>IF(ABS(R5)&gt;0.05*M5,"LARGE FLOW","")</f>
        <v/>
      </c>
      <c r="W5" s="6">
        <f>(S5&lt;&gt;"")*1+(T5&lt;&gt;"")*1+(U5&lt;&gt;"")*1+(V5&lt;&gt;"")*1</f>
        <v/>
      </c>
      <c r="X5" s="6">
        <f>IF(S5&lt;&gt;"",S5,IF(T5&lt;&gt;"",T5,IF(U5&lt;&gt;"",U5,IF(V5&lt;&gt;"",V5,""))))</f>
        <v/>
      </c>
    </row>
    <row r="6">
      <c r="A6" s="6" t="inlineStr">
        <is>
          <t>2026-04-07</t>
        </is>
      </c>
      <c r="B6" s="6" t="inlineStr">
        <is>
          <t>BALM</t>
        </is>
      </c>
      <c r="C6" s="6">
        <f>INDEX('Fund Master'!$B$2:$B$7,MATCH(B6,'Fund Master'!$A$2:$A$7,0))</f>
        <v/>
      </c>
      <c r="D6" s="6">
        <f>INDEX('Fund Master'!$C$2:$C$7,MATCH(B6,'Fund Master'!$A$2:$A$7,0))</f>
        <v/>
      </c>
      <c r="E6" s="8" t="n">
        <v>431635708.17</v>
      </c>
      <c r="F6" s="8" t="n">
        <v>13201496.04</v>
      </c>
      <c r="G6" s="8" t="n">
        <v>2552779.1</v>
      </c>
      <c r="H6" s="8" t="n">
        <v>2437721.68</v>
      </c>
      <c r="I6" s="8" t="n">
        <v>51472.29</v>
      </c>
      <c r="J6" s="10" t="n">
        <v>23369565.2174</v>
      </c>
      <c r="K6" s="9">
        <f>E6+F6+G6</f>
        <v/>
      </c>
      <c r="L6" s="9">
        <f>H6+I6</f>
        <v/>
      </c>
      <c r="M6" s="9">
        <f>K6-L6</f>
        <v/>
      </c>
      <c r="N6" s="11">
        <f>IFERROR(M6/J6,0)</f>
        <v/>
      </c>
      <c r="O6" s="11">
        <f>IF((B6=B5),N5,"")</f>
        <v/>
      </c>
      <c r="P6" s="12">
        <f>IF(O6="","",IFERROR((N6-O6)/O6,""))</f>
        <v/>
      </c>
      <c r="Q6" s="13">
        <f>INDEX('Fund Master'!$F$2:$F$7,MATCH(B6,'Fund Master'!$A$2:$A$7,0))</f>
        <v/>
      </c>
      <c r="R6" s="9">
        <f>SUMIFS('Capital Activity'!$E$2:$E$385,'Capital Activity'!$A$2:$A$385,A6,'Capital Activity'!$B$2:$B$385,B6)</f>
        <v/>
      </c>
      <c r="S6" s="6">
        <f>IF(O6="","",IF(ABS(P6)*10000&gt;Q6,"NAV MOVE BREACH",""))</f>
        <v/>
      </c>
      <c r="T6" s="6">
        <f>IF(AND((B6=B5),D6&lt;&gt;"Money Market",E6=E5),"STALE PRICE","")</f>
        <v/>
      </c>
      <c r="U6" s="6">
        <f>IF(F6&lt;0,"NEGATIVE CASH","")</f>
        <v/>
      </c>
      <c r="V6" s="6">
        <f>IF(ABS(R6)&gt;0.05*M6,"LARGE FLOW","")</f>
        <v/>
      </c>
      <c r="W6" s="6">
        <f>(S6&lt;&gt;"")*1+(T6&lt;&gt;"")*1+(U6&lt;&gt;"")*1+(V6&lt;&gt;"")*1</f>
        <v/>
      </c>
      <c r="X6" s="6">
        <f>IF(S6&lt;&gt;"",S6,IF(T6&lt;&gt;"",T6,IF(U6&lt;&gt;"",U6,IF(V6&lt;&gt;"",V6,""))))</f>
        <v/>
      </c>
    </row>
    <row r="7">
      <c r="A7" s="6" t="inlineStr">
        <is>
          <t>2026-04-08</t>
        </is>
      </c>
      <c r="B7" s="6" t="inlineStr">
        <is>
          <t>BALM</t>
        </is>
      </c>
      <c r="C7" s="6">
        <f>INDEX('Fund Master'!$B$2:$B$7,MATCH(B7,'Fund Master'!$A$2:$A$7,0))</f>
        <v/>
      </c>
      <c r="D7" s="6">
        <f>INDEX('Fund Master'!$C$2:$C$7,MATCH(B7,'Fund Master'!$A$2:$A$7,0))</f>
        <v/>
      </c>
      <c r="E7" s="8" t="n">
        <v>434417407.33</v>
      </c>
      <c r="F7" s="8" t="n">
        <v>12877222.1</v>
      </c>
      <c r="G7" s="8" t="n">
        <v>2466051.82</v>
      </c>
      <c r="H7" s="8" t="n">
        <v>2551516.67</v>
      </c>
      <c r="I7" s="8" t="n">
        <v>61815.56</v>
      </c>
      <c r="J7" s="10" t="n">
        <v>23369565.2174</v>
      </c>
      <c r="K7" s="9">
        <f>E7+F7+G7</f>
        <v/>
      </c>
      <c r="L7" s="9">
        <f>H7+I7</f>
        <v/>
      </c>
      <c r="M7" s="9">
        <f>K7-L7</f>
        <v/>
      </c>
      <c r="N7" s="11">
        <f>IFERROR(M7/J7,0)</f>
        <v/>
      </c>
      <c r="O7" s="11">
        <f>IF((B7=B6),N6,"")</f>
        <v/>
      </c>
      <c r="P7" s="12">
        <f>IF(O7="","",IFERROR((N7-O7)/O7,""))</f>
        <v/>
      </c>
      <c r="Q7" s="13">
        <f>INDEX('Fund Master'!$F$2:$F$7,MATCH(B7,'Fund Master'!$A$2:$A$7,0))</f>
        <v/>
      </c>
      <c r="R7" s="9">
        <f>SUMIFS('Capital Activity'!$E$2:$E$385,'Capital Activity'!$A$2:$A$385,A7,'Capital Activity'!$B$2:$B$385,B7)</f>
        <v/>
      </c>
      <c r="S7" s="6">
        <f>IF(O7="","",IF(ABS(P7)*10000&gt;Q7,"NAV MOVE BREACH",""))</f>
        <v/>
      </c>
      <c r="T7" s="6">
        <f>IF(AND((B7=B6),D7&lt;&gt;"Money Market",E7=E6),"STALE PRICE","")</f>
        <v/>
      </c>
      <c r="U7" s="6">
        <f>IF(F7&lt;0,"NEGATIVE CASH","")</f>
        <v/>
      </c>
      <c r="V7" s="6">
        <f>IF(ABS(R7)&gt;0.05*M7,"LARGE FLOW","")</f>
        <v/>
      </c>
      <c r="W7" s="6">
        <f>(S7&lt;&gt;"")*1+(T7&lt;&gt;"")*1+(U7&lt;&gt;"")*1+(V7&lt;&gt;"")*1</f>
        <v/>
      </c>
      <c r="X7" s="6">
        <f>IF(S7&lt;&gt;"",S7,IF(T7&lt;&gt;"",T7,IF(U7&lt;&gt;"",U7,IF(V7&lt;&gt;"",V7,""))))</f>
        <v/>
      </c>
    </row>
    <row r="8">
      <c r="A8" s="6" t="inlineStr">
        <is>
          <t>2026-04-09</t>
        </is>
      </c>
      <c r="B8" s="6" t="inlineStr">
        <is>
          <t>BALM</t>
        </is>
      </c>
      <c r="C8" s="6">
        <f>INDEX('Fund Master'!$B$2:$B$7,MATCH(B8,'Fund Master'!$A$2:$A$7,0))</f>
        <v/>
      </c>
      <c r="D8" s="6">
        <f>INDEX('Fund Master'!$C$2:$C$7,MATCH(B8,'Fund Master'!$A$2:$A$7,0))</f>
        <v/>
      </c>
      <c r="E8" s="8" t="n">
        <v>436129165.82</v>
      </c>
      <c r="F8" s="8" t="n">
        <v>12674568.97</v>
      </c>
      <c r="G8" s="8" t="n">
        <v>2486798.7</v>
      </c>
      <c r="H8" s="8" t="n">
        <v>2421936.77</v>
      </c>
      <c r="I8" s="8" t="n">
        <v>72199.59</v>
      </c>
      <c r="J8" s="10" t="n">
        <v>23369565.2174</v>
      </c>
      <c r="K8" s="9">
        <f>E8+F8+G8</f>
        <v/>
      </c>
      <c r="L8" s="9">
        <f>H8+I8</f>
        <v/>
      </c>
      <c r="M8" s="9">
        <f>K8-L8</f>
        <v/>
      </c>
      <c r="N8" s="11">
        <f>IFERROR(M8/J8,0)</f>
        <v/>
      </c>
      <c r="O8" s="11">
        <f>IF((B8=B7),N7,"")</f>
        <v/>
      </c>
      <c r="P8" s="12">
        <f>IF(O8="","",IFERROR((N8-O8)/O8,""))</f>
        <v/>
      </c>
      <c r="Q8" s="13">
        <f>INDEX('Fund Master'!$F$2:$F$7,MATCH(B8,'Fund Master'!$A$2:$A$7,0))</f>
        <v/>
      </c>
      <c r="R8" s="9">
        <f>SUMIFS('Capital Activity'!$E$2:$E$385,'Capital Activity'!$A$2:$A$385,A8,'Capital Activity'!$B$2:$B$385,B8)</f>
        <v/>
      </c>
      <c r="S8" s="6">
        <f>IF(O8="","",IF(ABS(P8)*10000&gt;Q8,"NAV MOVE BREACH",""))</f>
        <v/>
      </c>
      <c r="T8" s="6">
        <f>IF(AND((B8=B7),D8&lt;&gt;"Money Market",E8=E7),"STALE PRICE","")</f>
        <v/>
      </c>
      <c r="U8" s="6">
        <f>IF(F8&lt;0,"NEGATIVE CASH","")</f>
        <v/>
      </c>
      <c r="V8" s="6">
        <f>IF(ABS(R8)&gt;0.05*M8,"LARGE FLOW","")</f>
        <v/>
      </c>
      <c r="W8" s="6">
        <f>(S8&lt;&gt;"")*1+(T8&lt;&gt;"")*1+(U8&lt;&gt;"")*1+(V8&lt;&gt;"")*1</f>
        <v/>
      </c>
      <c r="X8" s="6">
        <f>IF(S8&lt;&gt;"",S8,IF(T8&lt;&gt;"",T8,IF(U8&lt;&gt;"",U8,IF(V8&lt;&gt;"",V8,""))))</f>
        <v/>
      </c>
    </row>
    <row r="9">
      <c r="A9" s="6" t="inlineStr">
        <is>
          <t>2026-04-10</t>
        </is>
      </c>
      <c r="B9" s="6" t="inlineStr">
        <is>
          <t>BALM</t>
        </is>
      </c>
      <c r="C9" s="6">
        <f>INDEX('Fund Master'!$B$2:$B$7,MATCH(B9,'Fund Master'!$A$2:$A$7,0))</f>
        <v/>
      </c>
      <c r="D9" s="6">
        <f>INDEX('Fund Master'!$C$2:$C$7,MATCH(B9,'Fund Master'!$A$2:$A$7,0))</f>
        <v/>
      </c>
      <c r="E9" s="8" t="n">
        <v>431492084.66</v>
      </c>
      <c r="F9" s="8" t="n">
        <v>12653845.24</v>
      </c>
      <c r="G9" s="8" t="n">
        <v>2458324.51</v>
      </c>
      <c r="H9" s="8" t="n">
        <v>2453400.68</v>
      </c>
      <c r="I9" s="8" t="n">
        <v>82473.21000000001</v>
      </c>
      <c r="J9" s="10" t="n">
        <v>23369565.2174</v>
      </c>
      <c r="K9" s="9">
        <f>E9+F9+G9</f>
        <v/>
      </c>
      <c r="L9" s="9">
        <f>H9+I9</f>
        <v/>
      </c>
      <c r="M9" s="9">
        <f>K9-L9</f>
        <v/>
      </c>
      <c r="N9" s="11">
        <f>IFERROR(M9/J9,0)</f>
        <v/>
      </c>
      <c r="O9" s="11">
        <f>IF((B9=B8),N8,"")</f>
        <v/>
      </c>
      <c r="P9" s="12">
        <f>IF(O9="","",IFERROR((N9-O9)/O9,""))</f>
        <v/>
      </c>
      <c r="Q9" s="13">
        <f>INDEX('Fund Master'!$F$2:$F$7,MATCH(B9,'Fund Master'!$A$2:$A$7,0))</f>
        <v/>
      </c>
      <c r="R9" s="9">
        <f>SUMIFS('Capital Activity'!$E$2:$E$385,'Capital Activity'!$A$2:$A$385,A9,'Capital Activity'!$B$2:$B$385,B9)</f>
        <v/>
      </c>
      <c r="S9" s="6">
        <f>IF(O9="","",IF(ABS(P9)*10000&gt;Q9,"NAV MOVE BREACH",""))</f>
        <v/>
      </c>
      <c r="T9" s="6">
        <f>IF(AND((B9=B8),D9&lt;&gt;"Money Market",E9=E8),"STALE PRICE","")</f>
        <v/>
      </c>
      <c r="U9" s="6">
        <f>IF(F9&lt;0,"NEGATIVE CASH","")</f>
        <v/>
      </c>
      <c r="V9" s="6">
        <f>IF(ABS(R9)&gt;0.05*M9,"LARGE FLOW","")</f>
        <v/>
      </c>
      <c r="W9" s="6">
        <f>(S9&lt;&gt;"")*1+(T9&lt;&gt;"")*1+(U9&lt;&gt;"")*1+(V9&lt;&gt;"")*1</f>
        <v/>
      </c>
      <c r="X9" s="6">
        <f>IF(S9&lt;&gt;"",S9,IF(T9&lt;&gt;"",T9,IF(U9&lt;&gt;"",U9,IF(V9&lt;&gt;"",V9,""))))</f>
        <v/>
      </c>
    </row>
    <row r="10">
      <c r="A10" s="6" t="inlineStr">
        <is>
          <t>2026-04-13</t>
        </is>
      </c>
      <c r="B10" s="6" t="inlineStr">
        <is>
          <t>BALM</t>
        </is>
      </c>
      <c r="C10" s="6">
        <f>INDEX('Fund Master'!$B$2:$B$7,MATCH(B10,'Fund Master'!$A$2:$A$7,0))</f>
        <v/>
      </c>
      <c r="D10" s="6">
        <f>INDEX('Fund Master'!$C$2:$C$7,MATCH(B10,'Fund Master'!$A$2:$A$7,0))</f>
        <v/>
      </c>
      <c r="E10" s="8" t="n">
        <v>431945810.08</v>
      </c>
      <c r="F10" s="8" t="n">
        <v>12555863.14</v>
      </c>
      <c r="G10" s="8" t="n">
        <v>2473587.72</v>
      </c>
      <c r="H10" s="8" t="n">
        <v>2512302.57</v>
      </c>
      <c r="I10" s="8" t="n">
        <v>92757.63</v>
      </c>
      <c r="J10" s="10" t="n">
        <v>23369565.2174</v>
      </c>
      <c r="K10" s="9">
        <f>E10+F10+G10</f>
        <v/>
      </c>
      <c r="L10" s="9">
        <f>H10+I10</f>
        <v/>
      </c>
      <c r="M10" s="9">
        <f>K10-L10</f>
        <v/>
      </c>
      <c r="N10" s="11">
        <f>IFERROR(M10/J10,0)</f>
        <v/>
      </c>
      <c r="O10" s="11">
        <f>IF((B10=B9),N9,"")</f>
        <v/>
      </c>
      <c r="P10" s="12">
        <f>IF(O10="","",IFERROR((N10-O10)/O10,""))</f>
        <v/>
      </c>
      <c r="Q10" s="13">
        <f>INDEX('Fund Master'!$F$2:$F$7,MATCH(B10,'Fund Master'!$A$2:$A$7,0))</f>
        <v/>
      </c>
      <c r="R10" s="9">
        <f>SUMIFS('Capital Activity'!$E$2:$E$385,'Capital Activity'!$A$2:$A$385,A10,'Capital Activity'!$B$2:$B$385,B10)</f>
        <v/>
      </c>
      <c r="S10" s="6">
        <f>IF(O10="","",IF(ABS(P10)*10000&gt;Q10,"NAV MOVE BREACH",""))</f>
        <v/>
      </c>
      <c r="T10" s="6">
        <f>IF(AND((B10=B9),D10&lt;&gt;"Money Market",E10=E9),"STALE PRICE","")</f>
        <v/>
      </c>
      <c r="U10" s="6">
        <f>IF(F10&lt;0,"NEGATIVE CASH","")</f>
        <v/>
      </c>
      <c r="V10" s="6">
        <f>IF(ABS(R10)&gt;0.05*M10,"LARGE FLOW","")</f>
        <v/>
      </c>
      <c r="W10" s="6">
        <f>(S10&lt;&gt;"")*1+(T10&lt;&gt;"")*1+(U10&lt;&gt;"")*1+(V10&lt;&gt;"")*1</f>
        <v/>
      </c>
      <c r="X10" s="6">
        <f>IF(S10&lt;&gt;"",S10,IF(T10&lt;&gt;"",T10,IF(U10&lt;&gt;"",U10,IF(V10&lt;&gt;"",V10,""))))</f>
        <v/>
      </c>
    </row>
    <row r="11">
      <c r="A11" s="6" t="inlineStr">
        <is>
          <t>2026-04-14</t>
        </is>
      </c>
      <c r="B11" s="6" t="inlineStr">
        <is>
          <t>BALM</t>
        </is>
      </c>
      <c r="C11" s="6">
        <f>INDEX('Fund Master'!$B$2:$B$7,MATCH(B11,'Fund Master'!$A$2:$A$7,0))</f>
        <v/>
      </c>
      <c r="D11" s="6">
        <f>INDEX('Fund Master'!$C$2:$C$7,MATCH(B11,'Fund Master'!$A$2:$A$7,0))</f>
        <v/>
      </c>
      <c r="E11" s="8" t="n">
        <v>429970287.13</v>
      </c>
      <c r="F11" s="8" t="n">
        <v>12327421.73</v>
      </c>
      <c r="G11" s="8" t="n">
        <v>2317535.8</v>
      </c>
      <c r="H11" s="8" t="n">
        <v>2681356.29</v>
      </c>
      <c r="I11" s="8" t="n">
        <v>102995.02</v>
      </c>
      <c r="J11" s="10" t="n">
        <v>23369565.2174</v>
      </c>
      <c r="K11" s="9">
        <f>E11+F11+G11</f>
        <v/>
      </c>
      <c r="L11" s="9">
        <f>H11+I11</f>
        <v/>
      </c>
      <c r="M11" s="9">
        <f>K11-L11</f>
        <v/>
      </c>
      <c r="N11" s="11">
        <f>IFERROR(M11/J11,0)</f>
        <v/>
      </c>
      <c r="O11" s="11">
        <f>IF((B11=B10),N10,"")</f>
        <v/>
      </c>
      <c r="P11" s="12">
        <f>IF(O11="","",IFERROR((N11-O11)/O11,""))</f>
        <v/>
      </c>
      <c r="Q11" s="13">
        <f>INDEX('Fund Master'!$F$2:$F$7,MATCH(B11,'Fund Master'!$A$2:$A$7,0))</f>
        <v/>
      </c>
      <c r="R11" s="9">
        <f>SUMIFS('Capital Activity'!$E$2:$E$385,'Capital Activity'!$A$2:$A$385,A11,'Capital Activity'!$B$2:$B$385,B11)</f>
        <v/>
      </c>
      <c r="S11" s="6">
        <f>IF(O11="","",IF(ABS(P11)*10000&gt;Q11,"NAV MOVE BREACH",""))</f>
        <v/>
      </c>
      <c r="T11" s="6">
        <f>IF(AND((B11=B10),D11&lt;&gt;"Money Market",E11=E10),"STALE PRICE","")</f>
        <v/>
      </c>
      <c r="U11" s="6">
        <f>IF(F11&lt;0,"NEGATIVE CASH","")</f>
        <v/>
      </c>
      <c r="V11" s="6">
        <f>IF(ABS(R11)&gt;0.05*M11,"LARGE FLOW","")</f>
        <v/>
      </c>
      <c r="W11" s="6">
        <f>(S11&lt;&gt;"")*1+(T11&lt;&gt;"")*1+(U11&lt;&gt;"")*1+(V11&lt;&gt;"")*1</f>
        <v/>
      </c>
      <c r="X11" s="6">
        <f>IF(S11&lt;&gt;"",S11,IF(T11&lt;&gt;"",T11,IF(U11&lt;&gt;"",U11,IF(V11&lt;&gt;"",V11,""))))</f>
        <v/>
      </c>
    </row>
    <row r="12">
      <c r="A12" s="6" t="inlineStr">
        <is>
          <t>2026-04-15</t>
        </is>
      </c>
      <c r="B12" s="6" t="inlineStr">
        <is>
          <t>BALM</t>
        </is>
      </c>
      <c r="C12" s="6">
        <f>INDEX('Fund Master'!$B$2:$B$7,MATCH(B12,'Fund Master'!$A$2:$A$7,0))</f>
        <v/>
      </c>
      <c r="D12" s="6">
        <f>INDEX('Fund Master'!$C$2:$C$7,MATCH(B12,'Fund Master'!$A$2:$A$7,0))</f>
        <v/>
      </c>
      <c r="E12" s="8" t="n">
        <v>427955803.5</v>
      </c>
      <c r="F12" s="8" t="n">
        <v>12499458.52</v>
      </c>
      <c r="G12" s="8" t="n">
        <v>2276383.64</v>
      </c>
      <c r="H12" s="8" t="n">
        <v>2796948.51</v>
      </c>
      <c r="I12" s="8" t="n">
        <v>113184.45</v>
      </c>
      <c r="J12" s="10" t="n">
        <v>23369565.2174</v>
      </c>
      <c r="K12" s="9">
        <f>E12+F12+G12</f>
        <v/>
      </c>
      <c r="L12" s="9">
        <f>H12+I12</f>
        <v/>
      </c>
      <c r="M12" s="9">
        <f>K12-L12</f>
        <v/>
      </c>
      <c r="N12" s="11">
        <f>IFERROR(M12/J12,0)</f>
        <v/>
      </c>
      <c r="O12" s="11">
        <f>IF((B12=B11),N11,"")</f>
        <v/>
      </c>
      <c r="P12" s="12">
        <f>IF(O12="","",IFERROR((N12-O12)/O12,""))</f>
        <v/>
      </c>
      <c r="Q12" s="13">
        <f>INDEX('Fund Master'!$F$2:$F$7,MATCH(B12,'Fund Master'!$A$2:$A$7,0))</f>
        <v/>
      </c>
      <c r="R12" s="9">
        <f>SUMIFS('Capital Activity'!$E$2:$E$385,'Capital Activity'!$A$2:$A$385,A12,'Capital Activity'!$B$2:$B$385,B12)</f>
        <v/>
      </c>
      <c r="S12" s="6">
        <f>IF(O12="","",IF(ABS(P12)*10000&gt;Q12,"NAV MOVE BREACH",""))</f>
        <v/>
      </c>
      <c r="T12" s="6">
        <f>IF(AND((B12=B11),D12&lt;&gt;"Money Market",E12=E11),"STALE PRICE","")</f>
        <v/>
      </c>
      <c r="U12" s="6">
        <f>IF(F12&lt;0,"NEGATIVE CASH","")</f>
        <v/>
      </c>
      <c r="V12" s="6">
        <f>IF(ABS(R12)&gt;0.05*M12,"LARGE FLOW","")</f>
        <v/>
      </c>
      <c r="W12" s="6">
        <f>(S12&lt;&gt;"")*1+(T12&lt;&gt;"")*1+(U12&lt;&gt;"")*1+(V12&lt;&gt;"")*1</f>
        <v/>
      </c>
      <c r="X12" s="6">
        <f>IF(S12&lt;&gt;"",S12,IF(T12&lt;&gt;"",T12,IF(U12&lt;&gt;"",U12,IF(V12&lt;&gt;"",V12,""))))</f>
        <v/>
      </c>
    </row>
    <row r="13">
      <c r="A13" s="6" t="inlineStr">
        <is>
          <t>2026-04-16</t>
        </is>
      </c>
      <c r="B13" s="6" t="inlineStr">
        <is>
          <t>BALM</t>
        </is>
      </c>
      <c r="C13" s="6">
        <f>INDEX('Fund Master'!$B$2:$B$7,MATCH(B13,'Fund Master'!$A$2:$A$7,0))</f>
        <v/>
      </c>
      <c r="D13" s="6">
        <f>INDEX('Fund Master'!$C$2:$C$7,MATCH(B13,'Fund Master'!$A$2:$A$7,0))</f>
        <v/>
      </c>
      <c r="E13" s="8" t="n">
        <v>425610451.65</v>
      </c>
      <c r="F13" s="8" t="n">
        <v>12978755.72</v>
      </c>
      <c r="G13" s="8" t="n">
        <v>2142599.21</v>
      </c>
      <c r="H13" s="8" t="n">
        <v>2813267.33</v>
      </c>
      <c r="I13" s="8" t="n">
        <v>123318.03</v>
      </c>
      <c r="J13" s="10" t="n">
        <v>23369565.2174</v>
      </c>
      <c r="K13" s="9">
        <f>E13+F13+G13</f>
        <v/>
      </c>
      <c r="L13" s="9">
        <f>H13+I13</f>
        <v/>
      </c>
      <c r="M13" s="9">
        <f>K13-L13</f>
        <v/>
      </c>
      <c r="N13" s="11">
        <f>IFERROR(M13/J13,0)</f>
        <v/>
      </c>
      <c r="O13" s="11">
        <f>IF((B13=B12),N12,"")</f>
        <v/>
      </c>
      <c r="P13" s="12">
        <f>IF(O13="","",IFERROR((N13-O13)/O13,""))</f>
        <v/>
      </c>
      <c r="Q13" s="13">
        <f>INDEX('Fund Master'!$F$2:$F$7,MATCH(B13,'Fund Master'!$A$2:$A$7,0))</f>
        <v/>
      </c>
      <c r="R13" s="9">
        <f>SUMIFS('Capital Activity'!$E$2:$E$385,'Capital Activity'!$A$2:$A$385,A13,'Capital Activity'!$B$2:$B$385,B13)</f>
        <v/>
      </c>
      <c r="S13" s="6">
        <f>IF(O13="","",IF(ABS(P13)*10000&gt;Q13,"NAV MOVE BREACH",""))</f>
        <v/>
      </c>
      <c r="T13" s="6">
        <f>IF(AND((B13=B12),D13&lt;&gt;"Money Market",E13=E12),"STALE PRICE","")</f>
        <v/>
      </c>
      <c r="U13" s="6">
        <f>IF(F13&lt;0,"NEGATIVE CASH","")</f>
        <v/>
      </c>
      <c r="V13" s="6">
        <f>IF(ABS(R13)&gt;0.05*M13,"LARGE FLOW","")</f>
        <v/>
      </c>
      <c r="W13" s="6">
        <f>(S13&lt;&gt;"")*1+(T13&lt;&gt;"")*1+(U13&lt;&gt;"")*1+(V13&lt;&gt;"")*1</f>
        <v/>
      </c>
      <c r="X13" s="6">
        <f>IF(S13&lt;&gt;"",S13,IF(T13&lt;&gt;"",T13,IF(U13&lt;&gt;"",U13,IF(V13&lt;&gt;"",V13,""))))</f>
        <v/>
      </c>
    </row>
    <row r="14">
      <c r="A14" s="6" t="inlineStr">
        <is>
          <t>2026-04-17</t>
        </is>
      </c>
      <c r="B14" s="6" t="inlineStr">
        <is>
          <t>BALM</t>
        </is>
      </c>
      <c r="C14" s="6">
        <f>INDEX('Fund Master'!$B$2:$B$7,MATCH(B14,'Fund Master'!$A$2:$A$7,0))</f>
        <v/>
      </c>
      <c r="D14" s="6">
        <f>INDEX('Fund Master'!$C$2:$C$7,MATCH(B14,'Fund Master'!$A$2:$A$7,0))</f>
        <v/>
      </c>
      <c r="E14" s="8" t="n">
        <v>425159323.26</v>
      </c>
      <c r="F14" s="8" t="n">
        <v>12931882.12</v>
      </c>
      <c r="G14" s="8" t="n">
        <v>2144798.6</v>
      </c>
      <c r="H14" s="8" t="n">
        <v>2795285.57</v>
      </c>
      <c r="I14" s="8" t="n">
        <v>133440.87</v>
      </c>
      <c r="J14" s="10" t="n">
        <v>23369565.2174</v>
      </c>
      <c r="K14" s="9">
        <f>E14+F14+G14</f>
        <v/>
      </c>
      <c r="L14" s="9">
        <f>H14+I14</f>
        <v/>
      </c>
      <c r="M14" s="9">
        <f>K14-L14</f>
        <v/>
      </c>
      <c r="N14" s="11">
        <f>IFERROR(M14/J14,0)</f>
        <v/>
      </c>
      <c r="O14" s="11">
        <f>IF((B14=B13),N13,"")</f>
        <v/>
      </c>
      <c r="P14" s="12">
        <f>IF(O14="","",IFERROR((N14-O14)/O14,""))</f>
        <v/>
      </c>
      <c r="Q14" s="13">
        <f>INDEX('Fund Master'!$F$2:$F$7,MATCH(B14,'Fund Master'!$A$2:$A$7,0))</f>
        <v/>
      </c>
      <c r="R14" s="9">
        <f>SUMIFS('Capital Activity'!$E$2:$E$385,'Capital Activity'!$A$2:$A$385,A14,'Capital Activity'!$B$2:$B$385,B14)</f>
        <v/>
      </c>
      <c r="S14" s="6">
        <f>IF(O14="","",IF(ABS(P14)*10000&gt;Q14,"NAV MOVE BREACH",""))</f>
        <v/>
      </c>
      <c r="T14" s="6">
        <f>IF(AND((B14=B13),D14&lt;&gt;"Money Market",E14=E13),"STALE PRICE","")</f>
        <v/>
      </c>
      <c r="U14" s="6">
        <f>IF(F14&lt;0,"NEGATIVE CASH","")</f>
        <v/>
      </c>
      <c r="V14" s="6">
        <f>IF(ABS(R14)&gt;0.05*M14,"LARGE FLOW","")</f>
        <v/>
      </c>
      <c r="W14" s="6">
        <f>(S14&lt;&gt;"")*1+(T14&lt;&gt;"")*1+(U14&lt;&gt;"")*1+(V14&lt;&gt;"")*1</f>
        <v/>
      </c>
      <c r="X14" s="6">
        <f>IF(S14&lt;&gt;"",S14,IF(T14&lt;&gt;"",T14,IF(U14&lt;&gt;"",U14,IF(V14&lt;&gt;"",V14,""))))</f>
        <v/>
      </c>
    </row>
    <row r="15">
      <c r="A15" s="6" t="inlineStr">
        <is>
          <t>2026-04-20</t>
        </is>
      </c>
      <c r="B15" s="6" t="inlineStr">
        <is>
          <t>BALM</t>
        </is>
      </c>
      <c r="C15" s="6">
        <f>INDEX('Fund Master'!$B$2:$B$7,MATCH(B15,'Fund Master'!$A$2:$A$7,0))</f>
        <v/>
      </c>
      <c r="D15" s="6">
        <f>INDEX('Fund Master'!$C$2:$C$7,MATCH(B15,'Fund Master'!$A$2:$A$7,0))</f>
        <v/>
      </c>
      <c r="E15" s="8" t="n">
        <v>423632599.88</v>
      </c>
      <c r="F15" s="8" t="n">
        <v>12537268.54</v>
      </c>
      <c r="G15" s="8" t="n">
        <v>2128120.95</v>
      </c>
      <c r="H15" s="8" t="n">
        <v>3047531.61</v>
      </c>
      <c r="I15" s="8" t="n">
        <v>143527.36</v>
      </c>
      <c r="J15" s="10" t="n">
        <v>23369565.2174</v>
      </c>
      <c r="K15" s="9">
        <f>E15+F15+G15</f>
        <v/>
      </c>
      <c r="L15" s="9">
        <f>H15+I15</f>
        <v/>
      </c>
      <c r="M15" s="9">
        <f>K15-L15</f>
        <v/>
      </c>
      <c r="N15" s="11">
        <f>IFERROR(M15/J15,0)</f>
        <v/>
      </c>
      <c r="O15" s="11">
        <f>IF((B15=B14),N14,"")</f>
        <v/>
      </c>
      <c r="P15" s="12">
        <f>IF(O15="","",IFERROR((N15-O15)/O15,""))</f>
        <v/>
      </c>
      <c r="Q15" s="13">
        <f>INDEX('Fund Master'!$F$2:$F$7,MATCH(B15,'Fund Master'!$A$2:$A$7,0))</f>
        <v/>
      </c>
      <c r="R15" s="9">
        <f>SUMIFS('Capital Activity'!$E$2:$E$385,'Capital Activity'!$A$2:$A$385,A15,'Capital Activity'!$B$2:$B$385,B15)</f>
        <v/>
      </c>
      <c r="S15" s="6">
        <f>IF(O15="","",IF(ABS(P15)*10000&gt;Q15,"NAV MOVE BREACH",""))</f>
        <v/>
      </c>
      <c r="T15" s="6">
        <f>IF(AND((B15=B14),D15&lt;&gt;"Money Market",E15=E14),"STALE PRICE","")</f>
        <v/>
      </c>
      <c r="U15" s="6">
        <f>IF(F15&lt;0,"NEGATIVE CASH","")</f>
        <v/>
      </c>
      <c r="V15" s="6">
        <f>IF(ABS(R15)&gt;0.05*M15,"LARGE FLOW","")</f>
        <v/>
      </c>
      <c r="W15" s="6">
        <f>(S15&lt;&gt;"")*1+(T15&lt;&gt;"")*1+(U15&lt;&gt;"")*1+(V15&lt;&gt;"")*1</f>
        <v/>
      </c>
      <c r="X15" s="6">
        <f>IF(S15&lt;&gt;"",S15,IF(T15&lt;&gt;"",T15,IF(U15&lt;&gt;"",U15,IF(V15&lt;&gt;"",V15,""))))</f>
        <v/>
      </c>
    </row>
    <row r="16">
      <c r="A16" s="6" t="inlineStr">
        <is>
          <t>2026-04-21</t>
        </is>
      </c>
      <c r="B16" s="6" t="inlineStr">
        <is>
          <t>BALM</t>
        </is>
      </c>
      <c r="C16" s="6">
        <f>INDEX('Fund Master'!$B$2:$B$7,MATCH(B16,'Fund Master'!$A$2:$A$7,0))</f>
        <v/>
      </c>
      <c r="D16" s="6">
        <f>INDEX('Fund Master'!$C$2:$C$7,MATCH(B16,'Fund Master'!$A$2:$A$7,0))</f>
        <v/>
      </c>
      <c r="E16" s="8" t="n">
        <v>428550281.96</v>
      </c>
      <c r="F16" s="8" t="n">
        <v>12540461.5</v>
      </c>
      <c r="G16" s="8" t="n">
        <v>2211346.04</v>
      </c>
      <c r="H16" s="8" t="n">
        <v>3250392.43</v>
      </c>
      <c r="I16" s="8" t="n">
        <v>153730.94</v>
      </c>
      <c r="J16" s="10" t="n">
        <v>23369565.2174</v>
      </c>
      <c r="K16" s="9">
        <f>E16+F16+G16</f>
        <v/>
      </c>
      <c r="L16" s="9">
        <f>H16+I16</f>
        <v/>
      </c>
      <c r="M16" s="9">
        <f>K16-L16</f>
        <v/>
      </c>
      <c r="N16" s="11">
        <f>IFERROR(M16/J16,0)</f>
        <v/>
      </c>
      <c r="O16" s="11">
        <f>IF((B16=B15),N15,"")</f>
        <v/>
      </c>
      <c r="P16" s="12">
        <f>IF(O16="","",IFERROR((N16-O16)/O16,""))</f>
        <v/>
      </c>
      <c r="Q16" s="13">
        <f>INDEX('Fund Master'!$F$2:$F$7,MATCH(B16,'Fund Master'!$A$2:$A$7,0))</f>
        <v/>
      </c>
      <c r="R16" s="9">
        <f>SUMIFS('Capital Activity'!$E$2:$E$385,'Capital Activity'!$A$2:$A$385,A16,'Capital Activity'!$B$2:$B$385,B16)</f>
        <v/>
      </c>
      <c r="S16" s="6">
        <f>IF(O16="","",IF(ABS(P16)*10000&gt;Q16,"NAV MOVE BREACH",""))</f>
        <v/>
      </c>
      <c r="T16" s="6">
        <f>IF(AND((B16=B15),D16&lt;&gt;"Money Market",E16=E15),"STALE PRICE","")</f>
        <v/>
      </c>
      <c r="U16" s="6">
        <f>IF(F16&lt;0,"NEGATIVE CASH","")</f>
        <v/>
      </c>
      <c r="V16" s="6">
        <f>IF(ABS(R16)&gt;0.05*M16,"LARGE FLOW","")</f>
        <v/>
      </c>
      <c r="W16" s="6">
        <f>(S16&lt;&gt;"")*1+(T16&lt;&gt;"")*1+(U16&lt;&gt;"")*1+(V16&lt;&gt;"")*1</f>
        <v/>
      </c>
      <c r="X16" s="6">
        <f>IF(S16&lt;&gt;"",S16,IF(T16&lt;&gt;"",T16,IF(U16&lt;&gt;"",U16,IF(V16&lt;&gt;"",V16,""))))</f>
        <v/>
      </c>
    </row>
    <row r="17">
      <c r="A17" s="6" t="inlineStr">
        <is>
          <t>2026-04-22</t>
        </is>
      </c>
      <c r="B17" s="6" t="inlineStr">
        <is>
          <t>BALM</t>
        </is>
      </c>
      <c r="C17" s="6">
        <f>INDEX('Fund Master'!$B$2:$B$7,MATCH(B17,'Fund Master'!$A$2:$A$7,0))</f>
        <v/>
      </c>
      <c r="D17" s="6">
        <f>INDEX('Fund Master'!$C$2:$C$7,MATCH(B17,'Fund Master'!$A$2:$A$7,0))</f>
        <v/>
      </c>
      <c r="E17" s="8" t="n">
        <v>426940891.28</v>
      </c>
      <c r="F17" s="8" t="n">
        <v>12233421.98</v>
      </c>
      <c r="G17" s="8" t="n">
        <v>2136512.73</v>
      </c>
      <c r="H17" s="8" t="n">
        <v>3112773.77</v>
      </c>
      <c r="I17" s="8" t="n">
        <v>163896.2</v>
      </c>
      <c r="J17" s="10" t="n">
        <v>23369565.2174</v>
      </c>
      <c r="K17" s="9">
        <f>E17+F17+G17</f>
        <v/>
      </c>
      <c r="L17" s="9">
        <f>H17+I17</f>
        <v/>
      </c>
      <c r="M17" s="9">
        <f>K17-L17</f>
        <v/>
      </c>
      <c r="N17" s="11">
        <f>IFERROR(M17/J17,0)</f>
        <v/>
      </c>
      <c r="O17" s="11">
        <f>IF((B17=B16),N16,"")</f>
        <v/>
      </c>
      <c r="P17" s="12">
        <f>IF(O17="","",IFERROR((N17-O17)/O17,""))</f>
        <v/>
      </c>
      <c r="Q17" s="13">
        <f>INDEX('Fund Master'!$F$2:$F$7,MATCH(B17,'Fund Master'!$A$2:$A$7,0))</f>
        <v/>
      </c>
      <c r="R17" s="9">
        <f>SUMIFS('Capital Activity'!$E$2:$E$385,'Capital Activity'!$A$2:$A$385,A17,'Capital Activity'!$B$2:$B$385,B17)</f>
        <v/>
      </c>
      <c r="S17" s="6">
        <f>IF(O17="","",IF(ABS(P17)*10000&gt;Q17,"NAV MOVE BREACH",""))</f>
        <v/>
      </c>
      <c r="T17" s="6">
        <f>IF(AND((B17=B16),D17&lt;&gt;"Money Market",E17=E16),"STALE PRICE","")</f>
        <v/>
      </c>
      <c r="U17" s="6">
        <f>IF(F17&lt;0,"NEGATIVE CASH","")</f>
        <v/>
      </c>
      <c r="V17" s="6">
        <f>IF(ABS(R17)&gt;0.05*M17,"LARGE FLOW","")</f>
        <v/>
      </c>
      <c r="W17" s="6">
        <f>(S17&lt;&gt;"")*1+(T17&lt;&gt;"")*1+(U17&lt;&gt;"")*1+(V17&lt;&gt;"")*1</f>
        <v/>
      </c>
      <c r="X17" s="6">
        <f>IF(S17&lt;&gt;"",S17,IF(T17&lt;&gt;"",T17,IF(U17&lt;&gt;"",U17,IF(V17&lt;&gt;"",V17,""))))</f>
        <v/>
      </c>
    </row>
    <row r="18">
      <c r="A18" s="6" t="inlineStr">
        <is>
          <t>2026-04-23</t>
        </is>
      </c>
      <c r="B18" s="6" t="inlineStr">
        <is>
          <t>BALM</t>
        </is>
      </c>
      <c r="C18" s="6">
        <f>INDEX('Fund Master'!$B$2:$B$7,MATCH(B18,'Fund Master'!$A$2:$A$7,0))</f>
        <v/>
      </c>
      <c r="D18" s="6">
        <f>INDEX('Fund Master'!$C$2:$C$7,MATCH(B18,'Fund Master'!$A$2:$A$7,0))</f>
        <v/>
      </c>
      <c r="E18" s="8" t="n">
        <v>427705006.26</v>
      </c>
      <c r="F18" s="8" t="n">
        <v>11856038.06</v>
      </c>
      <c r="G18" s="8" t="n">
        <v>2174301.13</v>
      </c>
      <c r="H18" s="8" t="n">
        <v>3203905.92</v>
      </c>
      <c r="I18" s="8" t="n">
        <v>174079.65</v>
      </c>
      <c r="J18" s="10" t="n">
        <v>23369565.2174</v>
      </c>
      <c r="K18" s="9">
        <f>E18+F18+G18</f>
        <v/>
      </c>
      <c r="L18" s="9">
        <f>H18+I18</f>
        <v/>
      </c>
      <c r="M18" s="9">
        <f>K18-L18</f>
        <v/>
      </c>
      <c r="N18" s="11">
        <f>IFERROR(M18/J18,0)</f>
        <v/>
      </c>
      <c r="O18" s="11">
        <f>IF((B18=B17),N17,"")</f>
        <v/>
      </c>
      <c r="P18" s="12">
        <f>IF(O18="","",IFERROR((N18-O18)/O18,""))</f>
        <v/>
      </c>
      <c r="Q18" s="13">
        <f>INDEX('Fund Master'!$F$2:$F$7,MATCH(B18,'Fund Master'!$A$2:$A$7,0))</f>
        <v/>
      </c>
      <c r="R18" s="9">
        <f>SUMIFS('Capital Activity'!$E$2:$E$385,'Capital Activity'!$A$2:$A$385,A18,'Capital Activity'!$B$2:$B$385,B18)</f>
        <v/>
      </c>
      <c r="S18" s="6">
        <f>IF(O18="","",IF(ABS(P18)*10000&gt;Q18,"NAV MOVE BREACH",""))</f>
        <v/>
      </c>
      <c r="T18" s="6">
        <f>IF(AND((B18=B17),D18&lt;&gt;"Money Market",E18=E17),"STALE PRICE","")</f>
        <v/>
      </c>
      <c r="U18" s="6">
        <f>IF(F18&lt;0,"NEGATIVE CASH","")</f>
        <v/>
      </c>
      <c r="V18" s="6">
        <f>IF(ABS(R18)&gt;0.05*M18,"LARGE FLOW","")</f>
        <v/>
      </c>
      <c r="W18" s="6">
        <f>(S18&lt;&gt;"")*1+(T18&lt;&gt;"")*1+(U18&lt;&gt;"")*1+(V18&lt;&gt;"")*1</f>
        <v/>
      </c>
      <c r="X18" s="6">
        <f>IF(S18&lt;&gt;"",S18,IF(T18&lt;&gt;"",T18,IF(U18&lt;&gt;"",U18,IF(V18&lt;&gt;"",V18,""))))</f>
        <v/>
      </c>
    </row>
    <row r="19">
      <c r="A19" s="6" t="inlineStr">
        <is>
          <t>2026-04-24</t>
        </is>
      </c>
      <c r="B19" s="6" t="inlineStr">
        <is>
          <t>BALM</t>
        </is>
      </c>
      <c r="C19" s="6">
        <f>INDEX('Fund Master'!$B$2:$B$7,MATCH(B19,'Fund Master'!$A$2:$A$7,0))</f>
        <v/>
      </c>
      <c r="D19" s="6">
        <f>INDEX('Fund Master'!$C$2:$C$7,MATCH(B19,'Fund Master'!$A$2:$A$7,0))</f>
        <v/>
      </c>
      <c r="E19" s="8" t="n">
        <v>431361092.45</v>
      </c>
      <c r="F19" s="8" t="n">
        <v>11644310</v>
      </c>
      <c r="G19" s="8" t="n">
        <v>2366043.22</v>
      </c>
      <c r="H19" s="8" t="n">
        <v>3274673.03</v>
      </c>
      <c r="I19" s="8" t="n">
        <v>184350.15</v>
      </c>
      <c r="J19" s="10" t="n">
        <v>23369565.2174</v>
      </c>
      <c r="K19" s="9">
        <f>E19+F19+G19</f>
        <v/>
      </c>
      <c r="L19" s="9">
        <f>H19+I19</f>
        <v/>
      </c>
      <c r="M19" s="9">
        <f>K19-L19</f>
        <v/>
      </c>
      <c r="N19" s="11">
        <f>IFERROR(M19/J19,0)</f>
        <v/>
      </c>
      <c r="O19" s="11">
        <f>IF((B19=B18),N18,"")</f>
        <v/>
      </c>
      <c r="P19" s="12">
        <f>IF(O19="","",IFERROR((N19-O19)/O19,""))</f>
        <v/>
      </c>
      <c r="Q19" s="13">
        <f>INDEX('Fund Master'!$F$2:$F$7,MATCH(B19,'Fund Master'!$A$2:$A$7,0))</f>
        <v/>
      </c>
      <c r="R19" s="9">
        <f>SUMIFS('Capital Activity'!$E$2:$E$385,'Capital Activity'!$A$2:$A$385,A19,'Capital Activity'!$B$2:$B$385,B19)</f>
        <v/>
      </c>
      <c r="S19" s="6">
        <f>IF(O19="","",IF(ABS(P19)*10000&gt;Q19,"NAV MOVE BREACH",""))</f>
        <v/>
      </c>
      <c r="T19" s="6">
        <f>IF(AND((B19=B18),D19&lt;&gt;"Money Market",E19=E18),"STALE PRICE","")</f>
        <v/>
      </c>
      <c r="U19" s="6">
        <f>IF(F19&lt;0,"NEGATIVE CASH","")</f>
        <v/>
      </c>
      <c r="V19" s="6">
        <f>IF(ABS(R19)&gt;0.05*M19,"LARGE FLOW","")</f>
        <v/>
      </c>
      <c r="W19" s="6">
        <f>(S19&lt;&gt;"")*1+(T19&lt;&gt;"")*1+(U19&lt;&gt;"")*1+(V19&lt;&gt;"")*1</f>
        <v/>
      </c>
      <c r="X19" s="6">
        <f>IF(S19&lt;&gt;"",S19,IF(T19&lt;&gt;"",T19,IF(U19&lt;&gt;"",U19,IF(V19&lt;&gt;"",V19,""))))</f>
        <v/>
      </c>
    </row>
    <row r="20">
      <c r="A20" s="6" t="inlineStr">
        <is>
          <t>2026-04-27</t>
        </is>
      </c>
      <c r="B20" s="6" t="inlineStr">
        <is>
          <t>BALM</t>
        </is>
      </c>
      <c r="C20" s="6">
        <f>INDEX('Fund Master'!$B$2:$B$7,MATCH(B20,'Fund Master'!$A$2:$A$7,0))</f>
        <v/>
      </c>
      <c r="D20" s="6">
        <f>INDEX('Fund Master'!$C$2:$C$7,MATCH(B20,'Fund Master'!$A$2:$A$7,0))</f>
        <v/>
      </c>
      <c r="E20" s="8" t="n">
        <v>433085080.11</v>
      </c>
      <c r="F20" s="8" t="n">
        <v>11710598</v>
      </c>
      <c r="G20" s="8" t="n">
        <v>2431497.93</v>
      </c>
      <c r="H20" s="8" t="n">
        <v>3192065.46</v>
      </c>
      <c r="I20" s="8" t="n">
        <v>194661.7</v>
      </c>
      <c r="J20" s="10" t="n">
        <v>23369565.2174</v>
      </c>
      <c r="K20" s="9">
        <f>E20+F20+G20</f>
        <v/>
      </c>
      <c r="L20" s="9">
        <f>H20+I20</f>
        <v/>
      </c>
      <c r="M20" s="9">
        <f>K20-L20</f>
        <v/>
      </c>
      <c r="N20" s="11">
        <f>IFERROR(M20/J20,0)</f>
        <v/>
      </c>
      <c r="O20" s="11">
        <f>IF((B20=B19),N19,"")</f>
        <v/>
      </c>
      <c r="P20" s="12">
        <f>IF(O20="","",IFERROR((N20-O20)/O20,""))</f>
        <v/>
      </c>
      <c r="Q20" s="13">
        <f>INDEX('Fund Master'!$F$2:$F$7,MATCH(B20,'Fund Master'!$A$2:$A$7,0))</f>
        <v/>
      </c>
      <c r="R20" s="9">
        <f>SUMIFS('Capital Activity'!$E$2:$E$385,'Capital Activity'!$A$2:$A$385,A20,'Capital Activity'!$B$2:$B$385,B20)</f>
        <v/>
      </c>
      <c r="S20" s="6">
        <f>IF(O20="","",IF(ABS(P20)*10000&gt;Q20,"NAV MOVE BREACH",""))</f>
        <v/>
      </c>
      <c r="T20" s="6">
        <f>IF(AND((B20=B19),D20&lt;&gt;"Money Market",E20=E19),"STALE PRICE","")</f>
        <v/>
      </c>
      <c r="U20" s="6">
        <f>IF(F20&lt;0,"NEGATIVE CASH","")</f>
        <v/>
      </c>
      <c r="V20" s="6">
        <f>IF(ABS(R20)&gt;0.05*M20,"LARGE FLOW","")</f>
        <v/>
      </c>
      <c r="W20" s="6">
        <f>(S20&lt;&gt;"")*1+(T20&lt;&gt;"")*1+(U20&lt;&gt;"")*1+(V20&lt;&gt;"")*1</f>
        <v/>
      </c>
      <c r="X20" s="6">
        <f>IF(S20&lt;&gt;"",S20,IF(T20&lt;&gt;"",T20,IF(U20&lt;&gt;"",U20,IF(V20&lt;&gt;"",V20,""))))</f>
        <v/>
      </c>
    </row>
    <row r="21">
      <c r="A21" s="6" t="inlineStr">
        <is>
          <t>2026-04-28</t>
        </is>
      </c>
      <c r="B21" s="6" t="inlineStr">
        <is>
          <t>BALM</t>
        </is>
      </c>
      <c r="C21" s="6">
        <f>INDEX('Fund Master'!$B$2:$B$7,MATCH(B21,'Fund Master'!$A$2:$A$7,0))</f>
        <v/>
      </c>
      <c r="D21" s="6">
        <f>INDEX('Fund Master'!$C$2:$C$7,MATCH(B21,'Fund Master'!$A$2:$A$7,0))</f>
        <v/>
      </c>
      <c r="E21" s="8" t="n">
        <v>432844138.76</v>
      </c>
      <c r="F21" s="8" t="n">
        <v>11469332.28</v>
      </c>
      <c r="G21" s="8" t="n">
        <v>2353736.44</v>
      </c>
      <c r="H21" s="8" t="n">
        <v>3318698.16</v>
      </c>
      <c r="I21" s="8" t="n">
        <v>204967.51</v>
      </c>
      <c r="J21" s="10" t="n">
        <v>23369565.2174</v>
      </c>
      <c r="K21" s="9">
        <f>E21+F21+G21</f>
        <v/>
      </c>
      <c r="L21" s="9">
        <f>H21+I21</f>
        <v/>
      </c>
      <c r="M21" s="9">
        <f>K21-L21</f>
        <v/>
      </c>
      <c r="N21" s="11">
        <f>IFERROR(M21/J21,0)</f>
        <v/>
      </c>
      <c r="O21" s="11">
        <f>IF((B21=B20),N20,"")</f>
        <v/>
      </c>
      <c r="P21" s="12">
        <f>IF(O21="","",IFERROR((N21-O21)/O21,""))</f>
        <v/>
      </c>
      <c r="Q21" s="13">
        <f>INDEX('Fund Master'!$F$2:$F$7,MATCH(B21,'Fund Master'!$A$2:$A$7,0))</f>
        <v/>
      </c>
      <c r="R21" s="9">
        <f>SUMIFS('Capital Activity'!$E$2:$E$385,'Capital Activity'!$A$2:$A$385,A21,'Capital Activity'!$B$2:$B$385,B21)</f>
        <v/>
      </c>
      <c r="S21" s="6">
        <f>IF(O21="","",IF(ABS(P21)*10000&gt;Q21,"NAV MOVE BREACH",""))</f>
        <v/>
      </c>
      <c r="T21" s="6">
        <f>IF(AND((B21=B20),D21&lt;&gt;"Money Market",E21=E20),"STALE PRICE","")</f>
        <v/>
      </c>
      <c r="U21" s="6">
        <f>IF(F21&lt;0,"NEGATIVE CASH","")</f>
        <v/>
      </c>
      <c r="V21" s="6">
        <f>IF(ABS(R21)&gt;0.05*M21,"LARGE FLOW","")</f>
        <v/>
      </c>
      <c r="W21" s="6">
        <f>(S21&lt;&gt;"")*1+(T21&lt;&gt;"")*1+(U21&lt;&gt;"")*1+(V21&lt;&gt;"")*1</f>
        <v/>
      </c>
      <c r="X21" s="6">
        <f>IF(S21&lt;&gt;"",S21,IF(T21&lt;&gt;"",T21,IF(U21&lt;&gt;"",U21,IF(V21&lt;&gt;"",V21,""))))</f>
        <v/>
      </c>
    </row>
    <row r="22">
      <c r="A22" s="6" t="inlineStr">
        <is>
          <t>2026-04-29</t>
        </is>
      </c>
      <c r="B22" s="6" t="inlineStr">
        <is>
          <t>BALM</t>
        </is>
      </c>
      <c r="C22" s="6">
        <f>INDEX('Fund Master'!$B$2:$B$7,MATCH(B22,'Fund Master'!$A$2:$A$7,0))</f>
        <v/>
      </c>
      <c r="D22" s="6">
        <f>INDEX('Fund Master'!$C$2:$C$7,MATCH(B22,'Fund Master'!$A$2:$A$7,0))</f>
        <v/>
      </c>
      <c r="E22" s="8" t="n">
        <v>429715659.58</v>
      </c>
      <c r="F22" s="8" t="n">
        <v>11304855.68</v>
      </c>
      <c r="G22" s="8" t="n">
        <v>2461833.17</v>
      </c>
      <c r="H22" s="8" t="n">
        <v>3309327.03</v>
      </c>
      <c r="I22" s="8" t="n">
        <v>215198.84</v>
      </c>
      <c r="J22" s="10" t="n">
        <v>23369565.2174</v>
      </c>
      <c r="K22" s="9">
        <f>E22+F22+G22</f>
        <v/>
      </c>
      <c r="L22" s="9">
        <f>H22+I22</f>
        <v/>
      </c>
      <c r="M22" s="9">
        <f>K22-L22</f>
        <v/>
      </c>
      <c r="N22" s="11">
        <f>IFERROR(M22/J22,0)</f>
        <v/>
      </c>
      <c r="O22" s="11">
        <f>IF((B22=B21),N21,"")</f>
        <v/>
      </c>
      <c r="P22" s="12">
        <f>IF(O22="","",IFERROR((N22-O22)/O22,""))</f>
        <v/>
      </c>
      <c r="Q22" s="13">
        <f>INDEX('Fund Master'!$F$2:$F$7,MATCH(B22,'Fund Master'!$A$2:$A$7,0))</f>
        <v/>
      </c>
      <c r="R22" s="9">
        <f>SUMIFS('Capital Activity'!$E$2:$E$385,'Capital Activity'!$A$2:$A$385,A22,'Capital Activity'!$B$2:$B$385,B22)</f>
        <v/>
      </c>
      <c r="S22" s="6">
        <f>IF(O22="","",IF(ABS(P22)*10000&gt;Q22,"NAV MOVE BREACH",""))</f>
        <v/>
      </c>
      <c r="T22" s="6">
        <f>IF(AND((B22=B21),D22&lt;&gt;"Money Market",E22=E21),"STALE PRICE","")</f>
        <v/>
      </c>
      <c r="U22" s="6">
        <f>IF(F22&lt;0,"NEGATIVE CASH","")</f>
        <v/>
      </c>
      <c r="V22" s="6">
        <f>IF(ABS(R22)&gt;0.05*M22,"LARGE FLOW","")</f>
        <v/>
      </c>
      <c r="W22" s="6">
        <f>(S22&lt;&gt;"")*1+(T22&lt;&gt;"")*1+(U22&lt;&gt;"")*1+(V22&lt;&gt;"")*1</f>
        <v/>
      </c>
      <c r="X22" s="6">
        <f>IF(S22&lt;&gt;"",S22,IF(T22&lt;&gt;"",T22,IF(U22&lt;&gt;"",U22,IF(V22&lt;&gt;"",V22,""))))</f>
        <v/>
      </c>
    </row>
    <row r="23">
      <c r="A23" s="6" t="inlineStr">
        <is>
          <t>2026-04-30</t>
        </is>
      </c>
      <c r="B23" s="6" t="inlineStr">
        <is>
          <t>BALM</t>
        </is>
      </c>
      <c r="C23" s="6">
        <f>INDEX('Fund Master'!$B$2:$B$7,MATCH(B23,'Fund Master'!$A$2:$A$7,0))</f>
        <v/>
      </c>
      <c r="D23" s="6">
        <f>INDEX('Fund Master'!$C$2:$C$7,MATCH(B23,'Fund Master'!$A$2:$A$7,0))</f>
        <v/>
      </c>
      <c r="E23" s="8" t="n">
        <v>430362783</v>
      </c>
      <c r="F23" s="8" t="n">
        <v>11242060.72</v>
      </c>
      <c r="G23" s="8" t="n">
        <v>2479333.58</v>
      </c>
      <c r="H23" s="8" t="n">
        <v>3298562.5</v>
      </c>
      <c r="I23" s="8" t="n">
        <v>225445.57</v>
      </c>
      <c r="J23" s="10" t="n">
        <v>23369565.2174</v>
      </c>
      <c r="K23" s="9">
        <f>E23+F23+G23</f>
        <v/>
      </c>
      <c r="L23" s="9">
        <f>H23+I23</f>
        <v/>
      </c>
      <c r="M23" s="9">
        <f>K23-L23</f>
        <v/>
      </c>
      <c r="N23" s="11">
        <f>IFERROR(M23/J23,0)</f>
        <v/>
      </c>
      <c r="O23" s="11">
        <f>IF((B23=B22),N22,"")</f>
        <v/>
      </c>
      <c r="P23" s="12">
        <f>IF(O23="","",IFERROR((N23-O23)/O23,""))</f>
        <v/>
      </c>
      <c r="Q23" s="13">
        <f>INDEX('Fund Master'!$F$2:$F$7,MATCH(B23,'Fund Master'!$A$2:$A$7,0))</f>
        <v/>
      </c>
      <c r="R23" s="9">
        <f>SUMIFS('Capital Activity'!$E$2:$E$385,'Capital Activity'!$A$2:$A$385,A23,'Capital Activity'!$B$2:$B$385,B23)</f>
        <v/>
      </c>
      <c r="S23" s="6">
        <f>IF(O23="","",IF(ABS(P23)*10000&gt;Q23,"NAV MOVE BREACH",""))</f>
        <v/>
      </c>
      <c r="T23" s="6">
        <f>IF(AND((B23=B22),D23&lt;&gt;"Money Market",E23=E22),"STALE PRICE","")</f>
        <v/>
      </c>
      <c r="U23" s="6">
        <f>IF(F23&lt;0,"NEGATIVE CASH","")</f>
        <v/>
      </c>
      <c r="V23" s="6">
        <f>IF(ABS(R23)&gt;0.05*M23,"LARGE FLOW","")</f>
        <v/>
      </c>
      <c r="W23" s="6">
        <f>(S23&lt;&gt;"")*1+(T23&lt;&gt;"")*1+(U23&lt;&gt;"")*1+(V23&lt;&gt;"")*1</f>
        <v/>
      </c>
      <c r="X23" s="6">
        <f>IF(S23&lt;&gt;"",S23,IF(T23&lt;&gt;"",T23,IF(U23&lt;&gt;"",U23,IF(V23&lt;&gt;"",V23,""))))</f>
        <v/>
      </c>
    </row>
    <row r="24">
      <c r="A24" s="6" t="inlineStr">
        <is>
          <t>2026-05-01</t>
        </is>
      </c>
      <c r="B24" s="6" t="inlineStr">
        <is>
          <t>BALM</t>
        </is>
      </c>
      <c r="C24" s="6">
        <f>INDEX('Fund Master'!$B$2:$B$7,MATCH(B24,'Fund Master'!$A$2:$A$7,0))</f>
        <v/>
      </c>
      <c r="D24" s="6">
        <f>INDEX('Fund Master'!$C$2:$C$7,MATCH(B24,'Fund Master'!$A$2:$A$7,0))</f>
        <v/>
      </c>
      <c r="E24" s="8" t="n">
        <v>428148683.4</v>
      </c>
      <c r="F24" s="8" t="n">
        <v>10842243.99</v>
      </c>
      <c r="G24" s="8" t="n">
        <v>2277897.54</v>
      </c>
      <c r="H24" s="8" t="n">
        <v>3333791.29</v>
      </c>
      <c r="I24" s="8" t="n">
        <v>235639.59</v>
      </c>
      <c r="J24" s="10" t="n">
        <v>23369565.2174</v>
      </c>
      <c r="K24" s="9">
        <f>E24+F24+G24</f>
        <v/>
      </c>
      <c r="L24" s="9">
        <f>H24+I24</f>
        <v/>
      </c>
      <c r="M24" s="9">
        <f>K24-L24</f>
        <v/>
      </c>
      <c r="N24" s="11">
        <f>IFERROR(M24/J24,0)</f>
        <v/>
      </c>
      <c r="O24" s="11">
        <f>IF((B24=B23),N23,"")</f>
        <v/>
      </c>
      <c r="P24" s="12">
        <f>IF(O24="","",IFERROR((N24-O24)/O24,""))</f>
        <v/>
      </c>
      <c r="Q24" s="13">
        <f>INDEX('Fund Master'!$F$2:$F$7,MATCH(B24,'Fund Master'!$A$2:$A$7,0))</f>
        <v/>
      </c>
      <c r="R24" s="9">
        <f>SUMIFS('Capital Activity'!$E$2:$E$385,'Capital Activity'!$A$2:$A$385,A24,'Capital Activity'!$B$2:$B$385,B24)</f>
        <v/>
      </c>
      <c r="S24" s="6">
        <f>IF(O24="","",IF(ABS(P24)*10000&gt;Q24,"NAV MOVE BREACH",""))</f>
        <v/>
      </c>
      <c r="T24" s="6">
        <f>IF(AND((B24=B23),D24&lt;&gt;"Money Market",E24=E23),"STALE PRICE","")</f>
        <v/>
      </c>
      <c r="U24" s="6">
        <f>IF(F24&lt;0,"NEGATIVE CASH","")</f>
        <v/>
      </c>
      <c r="V24" s="6">
        <f>IF(ABS(R24)&gt;0.05*M24,"LARGE FLOW","")</f>
        <v/>
      </c>
      <c r="W24" s="6">
        <f>(S24&lt;&gt;"")*1+(T24&lt;&gt;"")*1+(U24&lt;&gt;"")*1+(V24&lt;&gt;"")*1</f>
        <v/>
      </c>
      <c r="X24" s="6">
        <f>IF(S24&lt;&gt;"",S24,IF(T24&lt;&gt;"",T24,IF(U24&lt;&gt;"",U24,IF(V24&lt;&gt;"",V24,""))))</f>
        <v/>
      </c>
    </row>
    <row r="25">
      <c r="A25" s="6" t="inlineStr">
        <is>
          <t>2026-05-04</t>
        </is>
      </c>
      <c r="B25" s="6" t="inlineStr">
        <is>
          <t>BALM</t>
        </is>
      </c>
      <c r="C25" s="6">
        <f>INDEX('Fund Master'!$B$2:$B$7,MATCH(B25,'Fund Master'!$A$2:$A$7,0))</f>
        <v/>
      </c>
      <c r="D25" s="6">
        <f>INDEX('Fund Master'!$C$2:$C$7,MATCH(B25,'Fund Master'!$A$2:$A$7,0))</f>
        <v/>
      </c>
      <c r="E25" s="8" t="n">
        <v>429365625.18</v>
      </c>
      <c r="F25" s="8" t="n">
        <v>11515306.25</v>
      </c>
      <c r="G25" s="8" t="n">
        <v>2283746.49</v>
      </c>
      <c r="H25" s="8" t="n">
        <v>3429671.62</v>
      </c>
      <c r="I25" s="8" t="n">
        <v>245862.58</v>
      </c>
      <c r="J25" s="10" t="n">
        <v>23369565.2174</v>
      </c>
      <c r="K25" s="9">
        <f>E25+F25+G25</f>
        <v/>
      </c>
      <c r="L25" s="9">
        <f>H25+I25</f>
        <v/>
      </c>
      <c r="M25" s="9">
        <f>K25-L25</f>
        <v/>
      </c>
      <c r="N25" s="11">
        <f>IFERROR(M25/J25,0)</f>
        <v/>
      </c>
      <c r="O25" s="11">
        <f>IF((B25=B24),N24,"")</f>
        <v/>
      </c>
      <c r="P25" s="12">
        <f>IF(O25="","",IFERROR((N25-O25)/O25,""))</f>
        <v/>
      </c>
      <c r="Q25" s="13">
        <f>INDEX('Fund Master'!$F$2:$F$7,MATCH(B25,'Fund Master'!$A$2:$A$7,0))</f>
        <v/>
      </c>
      <c r="R25" s="9">
        <f>SUMIFS('Capital Activity'!$E$2:$E$385,'Capital Activity'!$A$2:$A$385,A25,'Capital Activity'!$B$2:$B$385,B25)</f>
        <v/>
      </c>
      <c r="S25" s="6">
        <f>IF(O25="","",IF(ABS(P25)*10000&gt;Q25,"NAV MOVE BREACH",""))</f>
        <v/>
      </c>
      <c r="T25" s="6">
        <f>IF(AND((B25=B24),D25&lt;&gt;"Money Market",E25=E24),"STALE PRICE","")</f>
        <v/>
      </c>
      <c r="U25" s="6">
        <f>IF(F25&lt;0,"NEGATIVE CASH","")</f>
        <v/>
      </c>
      <c r="V25" s="6">
        <f>IF(ABS(R25)&gt;0.05*M25,"LARGE FLOW","")</f>
        <v/>
      </c>
      <c r="W25" s="6">
        <f>(S25&lt;&gt;"")*1+(T25&lt;&gt;"")*1+(U25&lt;&gt;"")*1+(V25&lt;&gt;"")*1</f>
        <v/>
      </c>
      <c r="X25" s="6">
        <f>IF(S25&lt;&gt;"",S25,IF(T25&lt;&gt;"",T25,IF(U25&lt;&gt;"",U25,IF(V25&lt;&gt;"",V25,""))))</f>
        <v/>
      </c>
    </row>
    <row r="26">
      <c r="A26" s="6" t="inlineStr">
        <is>
          <t>2026-05-05</t>
        </is>
      </c>
      <c r="B26" s="6" t="inlineStr">
        <is>
          <t>BALM</t>
        </is>
      </c>
      <c r="C26" s="6">
        <f>INDEX('Fund Master'!$B$2:$B$7,MATCH(B26,'Fund Master'!$A$2:$A$7,0))</f>
        <v/>
      </c>
      <c r="D26" s="6">
        <f>INDEX('Fund Master'!$C$2:$C$7,MATCH(B26,'Fund Master'!$A$2:$A$7,0))</f>
        <v/>
      </c>
      <c r="E26" s="8" t="n">
        <v>432134913.27</v>
      </c>
      <c r="F26" s="8" t="n">
        <v>11514314.09</v>
      </c>
      <c r="G26" s="8" t="n">
        <v>2326207.91</v>
      </c>
      <c r="H26" s="8" t="n">
        <v>3457079.31</v>
      </c>
      <c r="I26" s="8" t="n">
        <v>256151.51</v>
      </c>
      <c r="J26" s="10" t="n">
        <v>23369565.2174</v>
      </c>
      <c r="K26" s="9">
        <f>E26+F26+G26</f>
        <v/>
      </c>
      <c r="L26" s="9">
        <f>H26+I26</f>
        <v/>
      </c>
      <c r="M26" s="9">
        <f>K26-L26</f>
        <v/>
      </c>
      <c r="N26" s="11">
        <f>IFERROR(M26/J26,0)</f>
        <v/>
      </c>
      <c r="O26" s="11">
        <f>IF((B26=B25),N25,"")</f>
        <v/>
      </c>
      <c r="P26" s="12">
        <f>IF(O26="","",IFERROR((N26-O26)/O26,""))</f>
        <v/>
      </c>
      <c r="Q26" s="13">
        <f>INDEX('Fund Master'!$F$2:$F$7,MATCH(B26,'Fund Master'!$A$2:$A$7,0))</f>
        <v/>
      </c>
      <c r="R26" s="9">
        <f>SUMIFS('Capital Activity'!$E$2:$E$385,'Capital Activity'!$A$2:$A$385,A26,'Capital Activity'!$B$2:$B$385,B26)</f>
        <v/>
      </c>
      <c r="S26" s="6">
        <f>IF(O26="","",IF(ABS(P26)*10000&gt;Q26,"NAV MOVE BREACH",""))</f>
        <v/>
      </c>
      <c r="T26" s="6">
        <f>IF(AND((B26=B25),D26&lt;&gt;"Money Market",E26=E25),"STALE PRICE","")</f>
        <v/>
      </c>
      <c r="U26" s="6">
        <f>IF(F26&lt;0,"NEGATIVE CASH","")</f>
        <v/>
      </c>
      <c r="V26" s="6">
        <f>IF(ABS(R26)&gt;0.05*M26,"LARGE FLOW","")</f>
        <v/>
      </c>
      <c r="W26" s="6">
        <f>(S26&lt;&gt;"")*1+(T26&lt;&gt;"")*1+(U26&lt;&gt;"")*1+(V26&lt;&gt;"")*1</f>
        <v/>
      </c>
      <c r="X26" s="6">
        <f>IF(S26&lt;&gt;"",S26,IF(T26&lt;&gt;"",T26,IF(U26&lt;&gt;"",U26,IF(V26&lt;&gt;"",V26,""))))</f>
        <v/>
      </c>
    </row>
    <row r="27">
      <c r="A27" s="6" t="inlineStr">
        <is>
          <t>2026-05-06</t>
        </is>
      </c>
      <c r="B27" s="6" t="inlineStr">
        <is>
          <t>BALM</t>
        </is>
      </c>
      <c r="C27" s="6">
        <f>INDEX('Fund Master'!$B$2:$B$7,MATCH(B27,'Fund Master'!$A$2:$A$7,0))</f>
        <v/>
      </c>
      <c r="D27" s="6">
        <f>INDEX('Fund Master'!$C$2:$C$7,MATCH(B27,'Fund Master'!$A$2:$A$7,0))</f>
        <v/>
      </c>
      <c r="E27" s="8" t="n">
        <v>431707217.96</v>
      </c>
      <c r="F27" s="8" t="n">
        <v>11307161.69</v>
      </c>
      <c r="G27" s="8" t="n">
        <v>2379493.25</v>
      </c>
      <c r="H27" s="8" t="n">
        <v>3360567.72</v>
      </c>
      <c r="I27" s="8" t="n">
        <v>266430.25</v>
      </c>
      <c r="J27" s="10" t="n">
        <v>23369565.2174</v>
      </c>
      <c r="K27" s="9">
        <f>E27+F27+G27</f>
        <v/>
      </c>
      <c r="L27" s="9">
        <f>H27+I27</f>
        <v/>
      </c>
      <c r="M27" s="9">
        <f>K27-L27</f>
        <v/>
      </c>
      <c r="N27" s="11">
        <f>IFERROR(M27/J27,0)</f>
        <v/>
      </c>
      <c r="O27" s="11">
        <f>IF((B27=B26),N26,"")</f>
        <v/>
      </c>
      <c r="P27" s="12">
        <f>IF(O27="","",IFERROR((N27-O27)/O27,""))</f>
        <v/>
      </c>
      <c r="Q27" s="13">
        <f>INDEX('Fund Master'!$F$2:$F$7,MATCH(B27,'Fund Master'!$A$2:$A$7,0))</f>
        <v/>
      </c>
      <c r="R27" s="9">
        <f>SUMIFS('Capital Activity'!$E$2:$E$385,'Capital Activity'!$A$2:$A$385,A27,'Capital Activity'!$B$2:$B$385,B27)</f>
        <v/>
      </c>
      <c r="S27" s="6">
        <f>IF(O27="","",IF(ABS(P27)*10000&gt;Q27,"NAV MOVE BREACH",""))</f>
        <v/>
      </c>
      <c r="T27" s="6">
        <f>IF(AND((B27=B26),D27&lt;&gt;"Money Market",E27=E26),"STALE PRICE","")</f>
        <v/>
      </c>
      <c r="U27" s="6">
        <f>IF(F27&lt;0,"NEGATIVE CASH","")</f>
        <v/>
      </c>
      <c r="V27" s="6">
        <f>IF(ABS(R27)&gt;0.05*M27,"LARGE FLOW","")</f>
        <v/>
      </c>
      <c r="W27" s="6">
        <f>(S27&lt;&gt;"")*1+(T27&lt;&gt;"")*1+(U27&lt;&gt;"")*1+(V27&lt;&gt;"")*1</f>
        <v/>
      </c>
      <c r="X27" s="6">
        <f>IF(S27&lt;&gt;"",S27,IF(T27&lt;&gt;"",T27,IF(U27&lt;&gt;"",U27,IF(V27&lt;&gt;"",V27,""))))</f>
        <v/>
      </c>
    </row>
    <row r="28">
      <c r="A28" s="6" t="inlineStr">
        <is>
          <t>2026-05-07</t>
        </is>
      </c>
      <c r="B28" s="6" t="inlineStr">
        <is>
          <t>BALM</t>
        </is>
      </c>
      <c r="C28" s="6">
        <f>INDEX('Fund Master'!$B$2:$B$7,MATCH(B28,'Fund Master'!$A$2:$A$7,0))</f>
        <v/>
      </c>
      <c r="D28" s="6">
        <f>INDEX('Fund Master'!$C$2:$C$7,MATCH(B28,'Fund Master'!$A$2:$A$7,0))</f>
        <v/>
      </c>
      <c r="E28" s="8" t="n">
        <v>434981324.29</v>
      </c>
      <c r="F28" s="8" t="n">
        <v>11516807.14</v>
      </c>
      <c r="G28" s="8" t="n">
        <v>2394926.83</v>
      </c>
      <c r="H28" s="8" t="n">
        <v>3471425.7</v>
      </c>
      <c r="I28" s="8" t="n">
        <v>276786.95</v>
      </c>
      <c r="J28" s="10" t="n">
        <v>23369565.2174</v>
      </c>
      <c r="K28" s="9">
        <f>E28+F28+G28</f>
        <v/>
      </c>
      <c r="L28" s="9">
        <f>H28+I28</f>
        <v/>
      </c>
      <c r="M28" s="9">
        <f>K28-L28</f>
        <v/>
      </c>
      <c r="N28" s="11">
        <f>IFERROR(M28/J28,0)</f>
        <v/>
      </c>
      <c r="O28" s="11">
        <f>IF((B28=B27),N27,"")</f>
        <v/>
      </c>
      <c r="P28" s="12">
        <f>IF(O28="","",IFERROR((N28-O28)/O28,""))</f>
        <v/>
      </c>
      <c r="Q28" s="13">
        <f>INDEX('Fund Master'!$F$2:$F$7,MATCH(B28,'Fund Master'!$A$2:$A$7,0))</f>
        <v/>
      </c>
      <c r="R28" s="9">
        <f>SUMIFS('Capital Activity'!$E$2:$E$385,'Capital Activity'!$A$2:$A$385,A28,'Capital Activity'!$B$2:$B$385,B28)</f>
        <v/>
      </c>
      <c r="S28" s="6">
        <f>IF(O28="","",IF(ABS(P28)*10000&gt;Q28,"NAV MOVE BREACH",""))</f>
        <v/>
      </c>
      <c r="T28" s="6">
        <f>IF(AND((B28=B27),D28&lt;&gt;"Money Market",E28=E27),"STALE PRICE","")</f>
        <v/>
      </c>
      <c r="U28" s="6">
        <f>IF(F28&lt;0,"NEGATIVE CASH","")</f>
        <v/>
      </c>
      <c r="V28" s="6">
        <f>IF(ABS(R28)&gt;0.05*M28,"LARGE FLOW","")</f>
        <v/>
      </c>
      <c r="W28" s="6">
        <f>(S28&lt;&gt;"")*1+(T28&lt;&gt;"")*1+(U28&lt;&gt;"")*1+(V28&lt;&gt;"")*1</f>
        <v/>
      </c>
      <c r="X28" s="6">
        <f>IF(S28&lt;&gt;"",S28,IF(T28&lt;&gt;"",T28,IF(U28&lt;&gt;"",U28,IF(V28&lt;&gt;"",V28,""))))</f>
        <v/>
      </c>
    </row>
    <row r="29">
      <c r="A29" s="6" t="inlineStr">
        <is>
          <t>2026-05-08</t>
        </is>
      </c>
      <c r="B29" s="6" t="inlineStr">
        <is>
          <t>BALM</t>
        </is>
      </c>
      <c r="C29" s="6">
        <f>INDEX('Fund Master'!$B$2:$B$7,MATCH(B29,'Fund Master'!$A$2:$A$7,0))</f>
        <v/>
      </c>
      <c r="D29" s="6">
        <f>INDEX('Fund Master'!$C$2:$C$7,MATCH(B29,'Fund Master'!$A$2:$A$7,0))</f>
        <v/>
      </c>
      <c r="E29" s="8" t="n">
        <v>435098942.29</v>
      </c>
      <c r="F29" s="8" t="n">
        <v>11177454.12</v>
      </c>
      <c r="G29" s="8" t="n">
        <v>2284351.26</v>
      </c>
      <c r="H29" s="8" t="n">
        <v>3440491.66</v>
      </c>
      <c r="I29" s="8" t="n">
        <v>287146.45</v>
      </c>
      <c r="J29" s="10" t="n">
        <v>23369565.2174</v>
      </c>
      <c r="K29" s="9">
        <f>E29+F29+G29</f>
        <v/>
      </c>
      <c r="L29" s="9">
        <f>H29+I29</f>
        <v/>
      </c>
      <c r="M29" s="9">
        <f>K29-L29</f>
        <v/>
      </c>
      <c r="N29" s="11">
        <f>IFERROR(M29/J29,0)</f>
        <v/>
      </c>
      <c r="O29" s="11">
        <f>IF((B29=B28),N28,"")</f>
        <v/>
      </c>
      <c r="P29" s="12">
        <f>IF(O29="","",IFERROR((N29-O29)/O29,""))</f>
        <v/>
      </c>
      <c r="Q29" s="13">
        <f>INDEX('Fund Master'!$F$2:$F$7,MATCH(B29,'Fund Master'!$A$2:$A$7,0))</f>
        <v/>
      </c>
      <c r="R29" s="9">
        <f>SUMIFS('Capital Activity'!$E$2:$E$385,'Capital Activity'!$A$2:$A$385,A29,'Capital Activity'!$B$2:$B$385,B29)</f>
        <v/>
      </c>
      <c r="S29" s="6">
        <f>IF(O29="","",IF(ABS(P29)*10000&gt;Q29,"NAV MOVE BREACH",""))</f>
        <v/>
      </c>
      <c r="T29" s="6">
        <f>IF(AND((B29=B28),D29&lt;&gt;"Money Market",E29=E28),"STALE PRICE","")</f>
        <v/>
      </c>
      <c r="U29" s="6">
        <f>IF(F29&lt;0,"NEGATIVE CASH","")</f>
        <v/>
      </c>
      <c r="V29" s="6">
        <f>IF(ABS(R29)&gt;0.05*M29,"LARGE FLOW","")</f>
        <v/>
      </c>
      <c r="W29" s="6">
        <f>(S29&lt;&gt;"")*1+(T29&lt;&gt;"")*1+(U29&lt;&gt;"")*1+(V29&lt;&gt;"")*1</f>
        <v/>
      </c>
      <c r="X29" s="6">
        <f>IF(S29&lt;&gt;"",S29,IF(T29&lt;&gt;"",T29,IF(U29&lt;&gt;"",U29,IF(V29&lt;&gt;"",V29,""))))</f>
        <v/>
      </c>
    </row>
    <row r="30">
      <c r="A30" s="6" t="inlineStr">
        <is>
          <t>2026-05-11</t>
        </is>
      </c>
      <c r="B30" s="6" t="inlineStr">
        <is>
          <t>BALM</t>
        </is>
      </c>
      <c r="C30" s="6">
        <f>INDEX('Fund Master'!$B$2:$B$7,MATCH(B30,'Fund Master'!$A$2:$A$7,0))</f>
        <v/>
      </c>
      <c r="D30" s="6">
        <f>INDEX('Fund Master'!$C$2:$C$7,MATCH(B30,'Fund Master'!$A$2:$A$7,0))</f>
        <v/>
      </c>
      <c r="E30" s="8" t="n">
        <v>435353570.67</v>
      </c>
      <c r="F30" s="8" t="n">
        <v>11322357.57</v>
      </c>
      <c r="G30" s="8" t="n">
        <v>2278322.05</v>
      </c>
      <c r="H30" s="8" t="n">
        <v>3482828.57</v>
      </c>
      <c r="I30" s="8" t="n">
        <v>297512.01</v>
      </c>
      <c r="J30" s="10" t="n">
        <v>23369565.2174</v>
      </c>
      <c r="K30" s="9">
        <f>E30+F30+G30</f>
        <v/>
      </c>
      <c r="L30" s="9">
        <f>H30+I30</f>
        <v/>
      </c>
      <c r="M30" s="9">
        <f>K30-L30</f>
        <v/>
      </c>
      <c r="N30" s="11">
        <f>IFERROR(M30/J30,0)</f>
        <v/>
      </c>
      <c r="O30" s="11">
        <f>IF((B30=B29),N29,"")</f>
        <v/>
      </c>
      <c r="P30" s="12">
        <f>IF(O30="","",IFERROR((N30-O30)/O30,""))</f>
        <v/>
      </c>
      <c r="Q30" s="13">
        <f>INDEX('Fund Master'!$F$2:$F$7,MATCH(B30,'Fund Master'!$A$2:$A$7,0))</f>
        <v/>
      </c>
      <c r="R30" s="9">
        <f>SUMIFS('Capital Activity'!$E$2:$E$385,'Capital Activity'!$A$2:$A$385,A30,'Capital Activity'!$B$2:$B$385,B30)</f>
        <v/>
      </c>
      <c r="S30" s="6">
        <f>IF(O30="","",IF(ABS(P30)*10000&gt;Q30,"NAV MOVE BREACH",""))</f>
        <v/>
      </c>
      <c r="T30" s="6">
        <f>IF(AND((B30=B29),D30&lt;&gt;"Money Market",E30=E29),"STALE PRICE","")</f>
        <v/>
      </c>
      <c r="U30" s="6">
        <f>IF(F30&lt;0,"NEGATIVE CASH","")</f>
        <v/>
      </c>
      <c r="V30" s="6">
        <f>IF(ABS(R30)&gt;0.05*M30,"LARGE FLOW","")</f>
        <v/>
      </c>
      <c r="W30" s="6">
        <f>(S30&lt;&gt;"")*1+(T30&lt;&gt;"")*1+(U30&lt;&gt;"")*1+(V30&lt;&gt;"")*1</f>
        <v/>
      </c>
      <c r="X30" s="6">
        <f>IF(S30&lt;&gt;"",S30,IF(T30&lt;&gt;"",T30,IF(U30&lt;&gt;"",U30,IF(V30&lt;&gt;"",V30,""))))</f>
        <v/>
      </c>
    </row>
    <row r="31">
      <c r="A31" s="6" t="inlineStr">
        <is>
          <t>2026-05-12</t>
        </is>
      </c>
      <c r="B31" s="6" t="inlineStr">
        <is>
          <t>BALM</t>
        </is>
      </c>
      <c r="C31" s="6">
        <f>INDEX('Fund Master'!$B$2:$B$7,MATCH(B31,'Fund Master'!$A$2:$A$7,0))</f>
        <v/>
      </c>
      <c r="D31" s="6">
        <f>INDEX('Fund Master'!$C$2:$C$7,MATCH(B31,'Fund Master'!$A$2:$A$7,0))</f>
        <v/>
      </c>
      <c r="E31" s="8" t="n">
        <v>432659828.87</v>
      </c>
      <c r="F31" s="8" t="n">
        <v>11214896.16</v>
      </c>
      <c r="G31" s="8" t="n">
        <v>2138612.26</v>
      </c>
      <c r="H31" s="8" t="n">
        <v>3461278.63</v>
      </c>
      <c r="I31" s="8" t="n">
        <v>307813.43</v>
      </c>
      <c r="J31" s="10" t="n">
        <v>23369565.2174</v>
      </c>
      <c r="K31" s="9">
        <f>E31+F31+G31</f>
        <v/>
      </c>
      <c r="L31" s="9">
        <f>H31+I31</f>
        <v/>
      </c>
      <c r="M31" s="9">
        <f>K31-L31</f>
        <v/>
      </c>
      <c r="N31" s="11">
        <f>IFERROR(M31/J31,0)</f>
        <v/>
      </c>
      <c r="O31" s="11">
        <f>IF((B31=B30),N30,"")</f>
        <v/>
      </c>
      <c r="P31" s="12">
        <f>IF(O31="","",IFERROR((N31-O31)/O31,""))</f>
        <v/>
      </c>
      <c r="Q31" s="13">
        <f>INDEX('Fund Master'!$F$2:$F$7,MATCH(B31,'Fund Master'!$A$2:$A$7,0))</f>
        <v/>
      </c>
      <c r="R31" s="9">
        <f>SUMIFS('Capital Activity'!$E$2:$E$385,'Capital Activity'!$A$2:$A$385,A31,'Capital Activity'!$B$2:$B$385,B31)</f>
        <v/>
      </c>
      <c r="S31" s="6">
        <f>IF(O31="","",IF(ABS(P31)*10000&gt;Q31,"NAV MOVE BREACH",""))</f>
        <v/>
      </c>
      <c r="T31" s="6">
        <f>IF(AND((B31=B30),D31&lt;&gt;"Money Market",E31=E30),"STALE PRICE","")</f>
        <v/>
      </c>
      <c r="U31" s="6">
        <f>IF(F31&lt;0,"NEGATIVE CASH","")</f>
        <v/>
      </c>
      <c r="V31" s="6">
        <f>IF(ABS(R31)&gt;0.05*M31,"LARGE FLOW","")</f>
        <v/>
      </c>
      <c r="W31" s="6">
        <f>(S31&lt;&gt;"")*1+(T31&lt;&gt;"")*1+(U31&lt;&gt;"")*1+(V31&lt;&gt;"")*1</f>
        <v/>
      </c>
      <c r="X31" s="6">
        <f>IF(S31&lt;&gt;"",S31,IF(T31&lt;&gt;"",T31,IF(U31&lt;&gt;"",U31,IF(V31&lt;&gt;"",V31,""))))</f>
        <v/>
      </c>
    </row>
    <row r="32">
      <c r="A32" s="6" t="inlineStr">
        <is>
          <t>2026-05-13</t>
        </is>
      </c>
      <c r="B32" s="6" t="inlineStr">
        <is>
          <t>BALM</t>
        </is>
      </c>
      <c r="C32" s="6">
        <f>INDEX('Fund Master'!$B$2:$B$7,MATCH(B32,'Fund Master'!$A$2:$A$7,0))</f>
        <v/>
      </c>
      <c r="D32" s="6">
        <f>INDEX('Fund Master'!$C$2:$C$7,MATCH(B32,'Fund Master'!$A$2:$A$7,0))</f>
        <v/>
      </c>
      <c r="E32" s="8" t="n">
        <v>432118393.37</v>
      </c>
      <c r="F32" s="8" t="n">
        <v>11587363.82</v>
      </c>
      <c r="G32" s="8" t="n">
        <v>2151354.04</v>
      </c>
      <c r="H32" s="8" t="n">
        <v>3421988.5</v>
      </c>
      <c r="I32" s="8" t="n">
        <v>318101.97</v>
      </c>
      <c r="J32" s="10" t="n">
        <v>23369565.2174</v>
      </c>
      <c r="K32" s="9">
        <f>E32+F32+G32</f>
        <v/>
      </c>
      <c r="L32" s="9">
        <f>H32+I32</f>
        <v/>
      </c>
      <c r="M32" s="9">
        <f>K32-L32</f>
        <v/>
      </c>
      <c r="N32" s="11">
        <f>IFERROR(M32/J32,0)</f>
        <v/>
      </c>
      <c r="O32" s="11">
        <f>IF((B32=B31),N31,"")</f>
        <v/>
      </c>
      <c r="P32" s="12">
        <f>IF(O32="","",IFERROR((N32-O32)/O32,""))</f>
        <v/>
      </c>
      <c r="Q32" s="13">
        <f>INDEX('Fund Master'!$F$2:$F$7,MATCH(B32,'Fund Master'!$A$2:$A$7,0))</f>
        <v/>
      </c>
      <c r="R32" s="9">
        <f>SUMIFS('Capital Activity'!$E$2:$E$385,'Capital Activity'!$A$2:$A$385,A32,'Capital Activity'!$B$2:$B$385,B32)</f>
        <v/>
      </c>
      <c r="S32" s="6">
        <f>IF(O32="","",IF(ABS(P32)*10000&gt;Q32,"NAV MOVE BREACH",""))</f>
        <v/>
      </c>
      <c r="T32" s="6">
        <f>IF(AND((B32=B31),D32&lt;&gt;"Money Market",E32=E31),"STALE PRICE","")</f>
        <v/>
      </c>
      <c r="U32" s="6">
        <f>IF(F32&lt;0,"NEGATIVE CASH","")</f>
        <v/>
      </c>
      <c r="V32" s="6">
        <f>IF(ABS(R32)&gt;0.05*M32,"LARGE FLOW","")</f>
        <v/>
      </c>
      <c r="W32" s="6">
        <f>(S32&lt;&gt;"")*1+(T32&lt;&gt;"")*1+(U32&lt;&gt;"")*1+(V32&lt;&gt;"")*1</f>
        <v/>
      </c>
      <c r="X32" s="6">
        <f>IF(S32&lt;&gt;"",S32,IF(T32&lt;&gt;"",T32,IF(U32&lt;&gt;"",U32,IF(V32&lt;&gt;"",V32,""))))</f>
        <v/>
      </c>
    </row>
    <row r="33">
      <c r="A33" s="6" t="inlineStr">
        <is>
          <t>2026-05-14</t>
        </is>
      </c>
      <c r="B33" s="6" t="inlineStr">
        <is>
          <t>BALM</t>
        </is>
      </c>
      <c r="C33" s="6">
        <f>INDEX('Fund Master'!$B$2:$B$7,MATCH(B33,'Fund Master'!$A$2:$A$7,0))</f>
        <v/>
      </c>
      <c r="D33" s="6">
        <f>INDEX('Fund Master'!$C$2:$C$7,MATCH(B33,'Fund Master'!$A$2:$A$7,0))</f>
        <v/>
      </c>
      <c r="E33" s="8" t="n">
        <v>431064196.32</v>
      </c>
      <c r="F33" s="8" t="n">
        <v>11603171.46</v>
      </c>
      <c r="G33" s="8" t="n">
        <v>2162717.84</v>
      </c>
      <c r="H33" s="8" t="n">
        <v>3413955.33</v>
      </c>
      <c r="I33" s="8" t="n">
        <v>328365.4</v>
      </c>
      <c r="J33" s="10" t="n">
        <v>23369565.2174</v>
      </c>
      <c r="K33" s="9">
        <f>E33+F33+G33</f>
        <v/>
      </c>
      <c r="L33" s="9">
        <f>H33+I33</f>
        <v/>
      </c>
      <c r="M33" s="9">
        <f>K33-L33</f>
        <v/>
      </c>
      <c r="N33" s="11">
        <f>IFERROR(M33/J33,0)</f>
        <v/>
      </c>
      <c r="O33" s="11">
        <f>IF((B33=B32),N32,"")</f>
        <v/>
      </c>
      <c r="P33" s="12">
        <f>IF(O33="","",IFERROR((N33-O33)/O33,""))</f>
        <v/>
      </c>
      <c r="Q33" s="13">
        <f>INDEX('Fund Master'!$F$2:$F$7,MATCH(B33,'Fund Master'!$A$2:$A$7,0))</f>
        <v/>
      </c>
      <c r="R33" s="9">
        <f>SUMIFS('Capital Activity'!$E$2:$E$385,'Capital Activity'!$A$2:$A$385,A33,'Capital Activity'!$B$2:$B$385,B33)</f>
        <v/>
      </c>
      <c r="S33" s="6">
        <f>IF(O33="","",IF(ABS(P33)*10000&gt;Q33,"NAV MOVE BREACH",""))</f>
        <v/>
      </c>
      <c r="T33" s="6">
        <f>IF(AND((B33=B32),D33&lt;&gt;"Money Market",E33=E32),"STALE PRICE","")</f>
        <v/>
      </c>
      <c r="U33" s="6">
        <f>IF(F33&lt;0,"NEGATIVE CASH","")</f>
        <v/>
      </c>
      <c r="V33" s="6">
        <f>IF(ABS(R33)&gt;0.05*M33,"LARGE FLOW","")</f>
        <v/>
      </c>
      <c r="W33" s="6">
        <f>(S33&lt;&gt;"")*1+(T33&lt;&gt;"")*1+(U33&lt;&gt;"")*1+(V33&lt;&gt;"")*1</f>
        <v/>
      </c>
      <c r="X33" s="6">
        <f>IF(S33&lt;&gt;"",S33,IF(T33&lt;&gt;"",T33,IF(U33&lt;&gt;"",U33,IF(V33&lt;&gt;"",V33,""))))</f>
        <v/>
      </c>
    </row>
    <row r="34">
      <c r="A34" s="6" t="inlineStr">
        <is>
          <t>2026-05-15</t>
        </is>
      </c>
      <c r="B34" s="6" t="inlineStr">
        <is>
          <t>BALM</t>
        </is>
      </c>
      <c r="C34" s="6">
        <f>INDEX('Fund Master'!$B$2:$B$7,MATCH(B34,'Fund Master'!$A$2:$A$7,0))</f>
        <v/>
      </c>
      <c r="D34" s="6">
        <f>INDEX('Fund Master'!$C$2:$C$7,MATCH(B34,'Fund Master'!$A$2:$A$7,0))</f>
        <v/>
      </c>
      <c r="E34" s="8" t="n">
        <v>433933776.93</v>
      </c>
      <c r="F34" s="8" t="n">
        <v>11293804.97</v>
      </c>
      <c r="G34" s="8" t="n">
        <v>1911139.15</v>
      </c>
      <c r="H34" s="8" t="n">
        <v>3471470.22</v>
      </c>
      <c r="I34" s="8" t="n">
        <v>338697.16</v>
      </c>
      <c r="J34" s="10" t="n">
        <v>23369565.2174</v>
      </c>
      <c r="K34" s="9">
        <f>E34+F34+G34</f>
        <v/>
      </c>
      <c r="L34" s="9">
        <f>H34+I34</f>
        <v/>
      </c>
      <c r="M34" s="9">
        <f>K34-L34</f>
        <v/>
      </c>
      <c r="N34" s="11">
        <f>IFERROR(M34/J34,0)</f>
        <v/>
      </c>
      <c r="O34" s="11">
        <f>IF((B34=B33),N33,"")</f>
        <v/>
      </c>
      <c r="P34" s="12">
        <f>IF(O34="","",IFERROR((N34-O34)/O34,""))</f>
        <v/>
      </c>
      <c r="Q34" s="13">
        <f>INDEX('Fund Master'!$F$2:$F$7,MATCH(B34,'Fund Master'!$A$2:$A$7,0))</f>
        <v/>
      </c>
      <c r="R34" s="9">
        <f>SUMIFS('Capital Activity'!$E$2:$E$385,'Capital Activity'!$A$2:$A$385,A34,'Capital Activity'!$B$2:$B$385,B34)</f>
        <v/>
      </c>
      <c r="S34" s="6">
        <f>IF(O34="","",IF(ABS(P34)*10000&gt;Q34,"NAV MOVE BREACH",""))</f>
        <v/>
      </c>
      <c r="T34" s="6">
        <f>IF(AND((B34=B33),D34&lt;&gt;"Money Market",E34=E33),"STALE PRICE","")</f>
        <v/>
      </c>
      <c r="U34" s="6">
        <f>IF(F34&lt;0,"NEGATIVE CASH","")</f>
        <v/>
      </c>
      <c r="V34" s="6">
        <f>IF(ABS(R34)&gt;0.05*M34,"LARGE FLOW","")</f>
        <v/>
      </c>
      <c r="W34" s="6">
        <f>(S34&lt;&gt;"")*1+(T34&lt;&gt;"")*1+(U34&lt;&gt;"")*1+(V34&lt;&gt;"")*1</f>
        <v/>
      </c>
      <c r="X34" s="6">
        <f>IF(S34&lt;&gt;"",S34,IF(T34&lt;&gt;"",T34,IF(U34&lt;&gt;"",U34,IF(V34&lt;&gt;"",V34,""))))</f>
        <v/>
      </c>
    </row>
    <row r="35">
      <c r="A35" s="6" t="inlineStr">
        <is>
          <t>2026-05-18</t>
        </is>
      </c>
      <c r="B35" s="6" t="inlineStr">
        <is>
          <t>BALM</t>
        </is>
      </c>
      <c r="C35" s="6">
        <f>INDEX('Fund Master'!$B$2:$B$7,MATCH(B35,'Fund Master'!$A$2:$A$7,0))</f>
        <v/>
      </c>
      <c r="D35" s="6">
        <f>INDEX('Fund Master'!$C$2:$C$7,MATCH(B35,'Fund Master'!$A$2:$A$7,0))</f>
        <v/>
      </c>
      <c r="E35" s="8" t="n">
        <v>430567853.05</v>
      </c>
      <c r="F35" s="8" t="n">
        <v>10740676.63</v>
      </c>
      <c r="G35" s="8" t="n">
        <v>1952267.63</v>
      </c>
      <c r="H35" s="8" t="n">
        <v>3444542.82</v>
      </c>
      <c r="I35" s="8" t="n">
        <v>348948.77</v>
      </c>
      <c r="J35" s="10" t="n">
        <v>23369565.2174</v>
      </c>
      <c r="K35" s="9">
        <f>E35+F35+G35</f>
        <v/>
      </c>
      <c r="L35" s="9">
        <f>H35+I35</f>
        <v/>
      </c>
      <c r="M35" s="9">
        <f>K35-L35</f>
        <v/>
      </c>
      <c r="N35" s="11">
        <f>IFERROR(M35/J35,0)</f>
        <v/>
      </c>
      <c r="O35" s="11">
        <f>IF((B35=B34),N34,"")</f>
        <v/>
      </c>
      <c r="P35" s="12">
        <f>IF(O35="","",IFERROR((N35-O35)/O35,""))</f>
        <v/>
      </c>
      <c r="Q35" s="13">
        <f>INDEX('Fund Master'!$F$2:$F$7,MATCH(B35,'Fund Master'!$A$2:$A$7,0))</f>
        <v/>
      </c>
      <c r="R35" s="9">
        <f>SUMIFS('Capital Activity'!$E$2:$E$385,'Capital Activity'!$A$2:$A$385,A35,'Capital Activity'!$B$2:$B$385,B35)</f>
        <v/>
      </c>
      <c r="S35" s="6">
        <f>IF(O35="","",IF(ABS(P35)*10000&gt;Q35,"NAV MOVE BREACH",""))</f>
        <v/>
      </c>
      <c r="T35" s="6">
        <f>IF(AND((B35=B34),D35&lt;&gt;"Money Market",E35=E34),"STALE PRICE","")</f>
        <v/>
      </c>
      <c r="U35" s="6">
        <f>IF(F35&lt;0,"NEGATIVE CASH","")</f>
        <v/>
      </c>
      <c r="V35" s="6">
        <f>IF(ABS(R35)&gt;0.05*M35,"LARGE FLOW","")</f>
        <v/>
      </c>
      <c r="W35" s="6">
        <f>(S35&lt;&gt;"")*1+(T35&lt;&gt;"")*1+(U35&lt;&gt;"")*1+(V35&lt;&gt;"")*1</f>
        <v/>
      </c>
      <c r="X35" s="6">
        <f>IF(S35&lt;&gt;"",S35,IF(T35&lt;&gt;"",T35,IF(U35&lt;&gt;"",U35,IF(V35&lt;&gt;"",V35,""))))</f>
        <v/>
      </c>
    </row>
    <row r="36">
      <c r="A36" s="6" t="inlineStr">
        <is>
          <t>2026-05-19</t>
        </is>
      </c>
      <c r="B36" s="6" t="inlineStr">
        <is>
          <t>BALM</t>
        </is>
      </c>
      <c r="C36" s="6">
        <f>INDEX('Fund Master'!$B$2:$B$7,MATCH(B36,'Fund Master'!$A$2:$A$7,0))</f>
        <v/>
      </c>
      <c r="D36" s="6">
        <f>INDEX('Fund Master'!$C$2:$C$7,MATCH(B36,'Fund Master'!$A$2:$A$7,0))</f>
        <v/>
      </c>
      <c r="E36" s="8" t="n">
        <v>429054638.58</v>
      </c>
      <c r="F36" s="8" t="n">
        <v>10803792.12</v>
      </c>
      <c r="G36" s="8" t="n">
        <v>1793118.33</v>
      </c>
      <c r="H36" s="8" t="n">
        <v>3432437.11</v>
      </c>
      <c r="I36" s="8" t="n">
        <v>359164.36</v>
      </c>
      <c r="J36" s="10" t="n">
        <v>23369565.2174</v>
      </c>
      <c r="K36" s="9">
        <f>E36+F36+G36</f>
        <v/>
      </c>
      <c r="L36" s="9">
        <f>H36+I36</f>
        <v/>
      </c>
      <c r="M36" s="9">
        <f>K36-L36</f>
        <v/>
      </c>
      <c r="N36" s="11">
        <f>IFERROR(M36/J36,0)</f>
        <v/>
      </c>
      <c r="O36" s="11">
        <f>IF((B36=B35),N35,"")</f>
        <v/>
      </c>
      <c r="P36" s="12">
        <f>IF(O36="","",IFERROR((N36-O36)/O36,""))</f>
        <v/>
      </c>
      <c r="Q36" s="13">
        <f>INDEX('Fund Master'!$F$2:$F$7,MATCH(B36,'Fund Master'!$A$2:$A$7,0))</f>
        <v/>
      </c>
      <c r="R36" s="9">
        <f>SUMIFS('Capital Activity'!$E$2:$E$385,'Capital Activity'!$A$2:$A$385,A36,'Capital Activity'!$B$2:$B$385,B36)</f>
        <v/>
      </c>
      <c r="S36" s="6">
        <f>IF(O36="","",IF(ABS(P36)*10000&gt;Q36,"NAV MOVE BREACH",""))</f>
        <v/>
      </c>
      <c r="T36" s="6">
        <f>IF(AND((B36=B35),D36&lt;&gt;"Money Market",E36=E35),"STALE PRICE","")</f>
        <v/>
      </c>
      <c r="U36" s="6">
        <f>IF(F36&lt;0,"NEGATIVE CASH","")</f>
        <v/>
      </c>
      <c r="V36" s="6">
        <f>IF(ABS(R36)&gt;0.05*M36,"LARGE FLOW","")</f>
        <v/>
      </c>
      <c r="W36" s="6">
        <f>(S36&lt;&gt;"")*1+(T36&lt;&gt;"")*1+(U36&lt;&gt;"")*1+(V36&lt;&gt;"")*1</f>
        <v/>
      </c>
      <c r="X36" s="6">
        <f>IF(S36&lt;&gt;"",S36,IF(T36&lt;&gt;"",T36,IF(U36&lt;&gt;"",U36,IF(V36&lt;&gt;"",V36,""))))</f>
        <v/>
      </c>
    </row>
    <row r="37">
      <c r="A37" s="6" t="inlineStr">
        <is>
          <t>2026-05-20</t>
        </is>
      </c>
      <c r="B37" s="6" t="inlineStr">
        <is>
          <t>BALM</t>
        </is>
      </c>
      <c r="C37" s="6">
        <f>INDEX('Fund Master'!$B$2:$B$7,MATCH(B37,'Fund Master'!$A$2:$A$7,0))</f>
        <v/>
      </c>
      <c r="D37" s="6">
        <f>INDEX('Fund Master'!$C$2:$C$7,MATCH(B37,'Fund Master'!$A$2:$A$7,0))</f>
        <v/>
      </c>
      <c r="E37" s="8" t="n">
        <v>429489333.79</v>
      </c>
      <c r="F37" s="8" t="n">
        <v>10563984.31</v>
      </c>
      <c r="G37" s="8" t="n">
        <v>1918274.55</v>
      </c>
      <c r="H37" s="8" t="n">
        <v>3419573.85</v>
      </c>
      <c r="I37" s="8" t="n">
        <v>369390.29</v>
      </c>
      <c r="J37" s="10" t="n">
        <v>23369565.2174</v>
      </c>
      <c r="K37" s="9">
        <f>E37+F37+G37</f>
        <v/>
      </c>
      <c r="L37" s="9">
        <f>H37+I37</f>
        <v/>
      </c>
      <c r="M37" s="9">
        <f>K37-L37</f>
        <v/>
      </c>
      <c r="N37" s="11">
        <f>IFERROR(M37/J37,0)</f>
        <v/>
      </c>
      <c r="O37" s="11">
        <f>IF((B37=B36),N36,"")</f>
        <v/>
      </c>
      <c r="P37" s="12">
        <f>IF(O37="","",IFERROR((N37-O37)/O37,""))</f>
        <v/>
      </c>
      <c r="Q37" s="13">
        <f>INDEX('Fund Master'!$F$2:$F$7,MATCH(B37,'Fund Master'!$A$2:$A$7,0))</f>
        <v/>
      </c>
      <c r="R37" s="9">
        <f>SUMIFS('Capital Activity'!$E$2:$E$385,'Capital Activity'!$A$2:$A$385,A37,'Capital Activity'!$B$2:$B$385,B37)</f>
        <v/>
      </c>
      <c r="S37" s="6">
        <f>IF(O37="","",IF(ABS(P37)*10000&gt;Q37,"NAV MOVE BREACH",""))</f>
        <v/>
      </c>
      <c r="T37" s="6">
        <f>IF(AND((B37=B36),D37&lt;&gt;"Money Market",E37=E36),"STALE PRICE","")</f>
        <v/>
      </c>
      <c r="U37" s="6">
        <f>IF(F37&lt;0,"NEGATIVE CASH","")</f>
        <v/>
      </c>
      <c r="V37" s="6">
        <f>IF(ABS(R37)&gt;0.05*M37,"LARGE FLOW","")</f>
        <v/>
      </c>
      <c r="W37" s="6">
        <f>(S37&lt;&gt;"")*1+(T37&lt;&gt;"")*1+(U37&lt;&gt;"")*1+(V37&lt;&gt;"")*1</f>
        <v/>
      </c>
      <c r="X37" s="6">
        <f>IF(S37&lt;&gt;"",S37,IF(T37&lt;&gt;"",T37,IF(U37&lt;&gt;"",U37,IF(V37&lt;&gt;"",V37,""))))</f>
        <v/>
      </c>
    </row>
    <row r="38">
      <c r="A38" s="6" t="inlineStr">
        <is>
          <t>2026-05-21</t>
        </is>
      </c>
      <c r="B38" s="6" t="inlineStr">
        <is>
          <t>BALM</t>
        </is>
      </c>
      <c r="C38" s="6">
        <f>INDEX('Fund Master'!$B$2:$B$7,MATCH(B38,'Fund Master'!$A$2:$A$7,0))</f>
        <v/>
      </c>
      <c r="D38" s="6">
        <f>INDEX('Fund Master'!$C$2:$C$7,MATCH(B38,'Fund Master'!$A$2:$A$7,0))</f>
        <v/>
      </c>
      <c r="E38" s="8" t="n">
        <v>428280613.66</v>
      </c>
      <c r="F38" s="8" t="n">
        <v>10306887.57</v>
      </c>
      <c r="G38" s="8" t="n">
        <v>1895099.25</v>
      </c>
      <c r="H38" s="8" t="n">
        <v>3426244.91</v>
      </c>
      <c r="I38" s="8" t="n">
        <v>379587.45</v>
      </c>
      <c r="J38" s="10" t="n">
        <v>23369565.2174</v>
      </c>
      <c r="K38" s="9">
        <f>E38+F38+G38</f>
        <v/>
      </c>
      <c r="L38" s="9">
        <f>H38+I38</f>
        <v/>
      </c>
      <c r="M38" s="9">
        <f>K38-L38</f>
        <v/>
      </c>
      <c r="N38" s="11">
        <f>IFERROR(M38/J38,0)</f>
        <v/>
      </c>
      <c r="O38" s="11">
        <f>IF((B38=B37),N37,"")</f>
        <v/>
      </c>
      <c r="P38" s="12">
        <f>IF(O38="","",IFERROR((N38-O38)/O38,""))</f>
        <v/>
      </c>
      <c r="Q38" s="13">
        <f>INDEX('Fund Master'!$F$2:$F$7,MATCH(B38,'Fund Master'!$A$2:$A$7,0))</f>
        <v/>
      </c>
      <c r="R38" s="9">
        <f>SUMIFS('Capital Activity'!$E$2:$E$385,'Capital Activity'!$A$2:$A$385,A38,'Capital Activity'!$B$2:$B$385,B38)</f>
        <v/>
      </c>
      <c r="S38" s="6">
        <f>IF(O38="","",IF(ABS(P38)*10000&gt;Q38,"NAV MOVE BREACH",""))</f>
        <v/>
      </c>
      <c r="T38" s="6">
        <f>IF(AND((B38=B37),D38&lt;&gt;"Money Market",E38=E37),"STALE PRICE","")</f>
        <v/>
      </c>
      <c r="U38" s="6">
        <f>IF(F38&lt;0,"NEGATIVE CASH","")</f>
        <v/>
      </c>
      <c r="V38" s="6">
        <f>IF(ABS(R38)&gt;0.05*M38,"LARGE FLOW","")</f>
        <v/>
      </c>
      <c r="W38" s="6">
        <f>(S38&lt;&gt;"")*1+(T38&lt;&gt;"")*1+(U38&lt;&gt;"")*1+(V38&lt;&gt;"")*1</f>
        <v/>
      </c>
      <c r="X38" s="6">
        <f>IF(S38&lt;&gt;"",S38,IF(T38&lt;&gt;"",T38,IF(U38&lt;&gt;"",U38,IF(V38&lt;&gt;"",V38,""))))</f>
        <v/>
      </c>
    </row>
    <row r="39">
      <c r="A39" s="6" t="inlineStr">
        <is>
          <t>2026-05-22</t>
        </is>
      </c>
      <c r="B39" s="6" t="inlineStr">
        <is>
          <t>BALM</t>
        </is>
      </c>
      <c r="C39" s="6">
        <f>INDEX('Fund Master'!$B$2:$B$7,MATCH(B39,'Fund Master'!$A$2:$A$7,0))</f>
        <v/>
      </c>
      <c r="D39" s="6">
        <f>INDEX('Fund Master'!$C$2:$C$7,MATCH(B39,'Fund Master'!$A$2:$A$7,0))</f>
        <v/>
      </c>
      <c r="E39" s="8" t="n">
        <v>432650771.15</v>
      </c>
      <c r="F39" s="8" t="n">
        <v>10357720.19</v>
      </c>
      <c r="G39" s="8" t="n">
        <v>1844962.8</v>
      </c>
      <c r="H39" s="8" t="n">
        <v>3461206.17</v>
      </c>
      <c r="I39" s="8" t="n">
        <v>389888.66</v>
      </c>
      <c r="J39" s="10" t="n">
        <v>23369565.2174</v>
      </c>
      <c r="K39" s="9">
        <f>E39+F39+G39</f>
        <v/>
      </c>
      <c r="L39" s="9">
        <f>H39+I39</f>
        <v/>
      </c>
      <c r="M39" s="9">
        <f>K39-L39</f>
        <v/>
      </c>
      <c r="N39" s="11">
        <f>IFERROR(M39/J39,0)</f>
        <v/>
      </c>
      <c r="O39" s="11">
        <f>IF((B39=B38),N38,"")</f>
        <v/>
      </c>
      <c r="P39" s="12">
        <f>IF(O39="","",IFERROR((N39-O39)/O39,""))</f>
        <v/>
      </c>
      <c r="Q39" s="13">
        <f>INDEX('Fund Master'!$F$2:$F$7,MATCH(B39,'Fund Master'!$A$2:$A$7,0))</f>
        <v/>
      </c>
      <c r="R39" s="9">
        <f>SUMIFS('Capital Activity'!$E$2:$E$385,'Capital Activity'!$A$2:$A$385,A39,'Capital Activity'!$B$2:$B$385,B39)</f>
        <v/>
      </c>
      <c r="S39" s="6">
        <f>IF(O39="","",IF(ABS(P39)*10000&gt;Q39,"NAV MOVE BREACH",""))</f>
        <v/>
      </c>
      <c r="T39" s="6">
        <f>IF(AND((B39=B38),D39&lt;&gt;"Money Market",E39=E38),"STALE PRICE","")</f>
        <v/>
      </c>
      <c r="U39" s="6">
        <f>IF(F39&lt;0,"NEGATIVE CASH","")</f>
        <v/>
      </c>
      <c r="V39" s="6">
        <f>IF(ABS(R39)&gt;0.05*M39,"LARGE FLOW","")</f>
        <v/>
      </c>
      <c r="W39" s="6">
        <f>(S39&lt;&gt;"")*1+(T39&lt;&gt;"")*1+(U39&lt;&gt;"")*1+(V39&lt;&gt;"")*1</f>
        <v/>
      </c>
      <c r="X39" s="6">
        <f>IF(S39&lt;&gt;"",S39,IF(T39&lt;&gt;"",T39,IF(U39&lt;&gt;"",U39,IF(V39&lt;&gt;"",V39,""))))</f>
        <v/>
      </c>
    </row>
    <row r="40">
      <c r="A40" s="6" t="inlineStr">
        <is>
          <t>2026-05-26</t>
        </is>
      </c>
      <c r="B40" s="6" t="inlineStr">
        <is>
          <t>BALM</t>
        </is>
      </c>
      <c r="C40" s="6">
        <f>INDEX('Fund Master'!$B$2:$B$7,MATCH(B40,'Fund Master'!$A$2:$A$7,0))</f>
        <v/>
      </c>
      <c r="D40" s="6">
        <f>INDEX('Fund Master'!$C$2:$C$7,MATCH(B40,'Fund Master'!$A$2:$A$7,0))</f>
        <v/>
      </c>
      <c r="E40" s="8" t="n">
        <v>434731776.34</v>
      </c>
      <c r="F40" s="8" t="n">
        <v>10280273.39</v>
      </c>
      <c r="G40" s="8" t="n">
        <v>2078920.98</v>
      </c>
      <c r="H40" s="8" t="n">
        <v>3414656.56</v>
      </c>
      <c r="I40" s="8" t="n">
        <v>400239.42</v>
      </c>
      <c r="J40" s="10" t="n">
        <v>23369565.2174</v>
      </c>
      <c r="K40" s="9">
        <f>E40+F40+G40</f>
        <v/>
      </c>
      <c r="L40" s="9">
        <f>H40+I40</f>
        <v/>
      </c>
      <c r="M40" s="9">
        <f>K40-L40</f>
        <v/>
      </c>
      <c r="N40" s="11">
        <f>IFERROR(M40/J40,0)</f>
        <v/>
      </c>
      <c r="O40" s="11">
        <f>IF((B40=B39),N39,"")</f>
        <v/>
      </c>
      <c r="P40" s="12">
        <f>IF(O40="","",IFERROR((N40-O40)/O40,""))</f>
        <v/>
      </c>
      <c r="Q40" s="13">
        <f>INDEX('Fund Master'!$F$2:$F$7,MATCH(B40,'Fund Master'!$A$2:$A$7,0))</f>
        <v/>
      </c>
      <c r="R40" s="9">
        <f>SUMIFS('Capital Activity'!$E$2:$E$385,'Capital Activity'!$A$2:$A$385,A40,'Capital Activity'!$B$2:$B$385,B40)</f>
        <v/>
      </c>
      <c r="S40" s="6">
        <f>IF(O40="","",IF(ABS(P40)*10000&gt;Q40,"NAV MOVE BREACH",""))</f>
        <v/>
      </c>
      <c r="T40" s="6">
        <f>IF(AND((B40=B39),D40&lt;&gt;"Money Market",E40=E39),"STALE PRICE","")</f>
        <v/>
      </c>
      <c r="U40" s="6">
        <f>IF(F40&lt;0,"NEGATIVE CASH","")</f>
        <v/>
      </c>
      <c r="V40" s="6">
        <f>IF(ABS(R40)&gt;0.05*M40,"LARGE FLOW","")</f>
        <v/>
      </c>
      <c r="W40" s="6">
        <f>(S40&lt;&gt;"")*1+(T40&lt;&gt;"")*1+(U40&lt;&gt;"")*1+(V40&lt;&gt;"")*1</f>
        <v/>
      </c>
      <c r="X40" s="6">
        <f>IF(S40&lt;&gt;"",S40,IF(T40&lt;&gt;"",T40,IF(U40&lt;&gt;"",U40,IF(V40&lt;&gt;"",V40,""))))</f>
        <v/>
      </c>
    </row>
    <row r="41">
      <c r="A41" s="6" t="inlineStr">
        <is>
          <t>2026-05-27</t>
        </is>
      </c>
      <c r="B41" s="6" t="inlineStr">
        <is>
          <t>BALM</t>
        </is>
      </c>
      <c r="C41" s="6">
        <f>INDEX('Fund Master'!$B$2:$B$7,MATCH(B41,'Fund Master'!$A$2:$A$7,0))</f>
        <v/>
      </c>
      <c r="D41" s="6">
        <f>INDEX('Fund Master'!$C$2:$C$7,MATCH(B41,'Fund Master'!$A$2:$A$7,0))</f>
        <v/>
      </c>
      <c r="E41" s="8" t="n">
        <v>438666899.15</v>
      </c>
      <c r="F41" s="8" t="n">
        <v>10784318.76</v>
      </c>
      <c r="G41" s="8" t="n">
        <v>2101108.44</v>
      </c>
      <c r="H41" s="8" t="n">
        <v>3366245.62</v>
      </c>
      <c r="I41" s="8" t="n">
        <v>410683.87</v>
      </c>
      <c r="J41" s="10" t="n">
        <v>23369565.2174</v>
      </c>
      <c r="K41" s="9">
        <f>E41+F41+G41</f>
        <v/>
      </c>
      <c r="L41" s="9">
        <f>H41+I41</f>
        <v/>
      </c>
      <c r="M41" s="9">
        <f>K41-L41</f>
        <v/>
      </c>
      <c r="N41" s="11">
        <f>IFERROR(M41/J41,0)</f>
        <v/>
      </c>
      <c r="O41" s="11">
        <f>IF((B41=B40),N40,"")</f>
        <v/>
      </c>
      <c r="P41" s="12">
        <f>IF(O41="","",IFERROR((N41-O41)/O41,""))</f>
        <v/>
      </c>
      <c r="Q41" s="13">
        <f>INDEX('Fund Master'!$F$2:$F$7,MATCH(B41,'Fund Master'!$A$2:$A$7,0))</f>
        <v/>
      </c>
      <c r="R41" s="9">
        <f>SUMIFS('Capital Activity'!$E$2:$E$385,'Capital Activity'!$A$2:$A$385,A41,'Capital Activity'!$B$2:$B$385,B41)</f>
        <v/>
      </c>
      <c r="S41" s="6">
        <f>IF(O41="","",IF(ABS(P41)*10000&gt;Q41,"NAV MOVE BREACH",""))</f>
        <v/>
      </c>
      <c r="T41" s="6">
        <f>IF(AND((B41=B40),D41&lt;&gt;"Money Market",E41=E40),"STALE PRICE","")</f>
        <v/>
      </c>
      <c r="U41" s="6">
        <f>IF(F41&lt;0,"NEGATIVE CASH","")</f>
        <v/>
      </c>
      <c r="V41" s="6">
        <f>IF(ABS(R41)&gt;0.05*M41,"LARGE FLOW","")</f>
        <v/>
      </c>
      <c r="W41" s="6">
        <f>(S41&lt;&gt;"")*1+(T41&lt;&gt;"")*1+(U41&lt;&gt;"")*1+(V41&lt;&gt;"")*1</f>
        <v/>
      </c>
      <c r="X41" s="6">
        <f>IF(S41&lt;&gt;"",S41,IF(T41&lt;&gt;"",T41,IF(U41&lt;&gt;"",U41,IF(V41&lt;&gt;"",V41,""))))</f>
        <v/>
      </c>
    </row>
    <row r="42">
      <c r="A42" s="6" t="inlineStr">
        <is>
          <t>2026-05-28</t>
        </is>
      </c>
      <c r="B42" s="6" t="inlineStr">
        <is>
          <t>BALM</t>
        </is>
      </c>
      <c r="C42" s="6">
        <f>INDEX('Fund Master'!$B$2:$B$7,MATCH(B42,'Fund Master'!$A$2:$A$7,0))</f>
        <v/>
      </c>
      <c r="D42" s="6">
        <f>INDEX('Fund Master'!$C$2:$C$7,MATCH(B42,'Fund Master'!$A$2:$A$7,0))</f>
        <v/>
      </c>
      <c r="E42" s="8" t="n">
        <v>444760435.65</v>
      </c>
      <c r="F42" s="8" t="n">
        <v>10970559.4</v>
      </c>
      <c r="G42" s="8" t="n">
        <v>2091299.67</v>
      </c>
      <c r="H42" s="8" t="n">
        <v>3432719.49</v>
      </c>
      <c r="I42" s="8" t="n">
        <v>421273.4</v>
      </c>
      <c r="J42" s="10" t="n">
        <v>23369565.2174</v>
      </c>
      <c r="K42" s="9">
        <f>E42+F42+G42</f>
        <v/>
      </c>
      <c r="L42" s="9">
        <f>H42+I42</f>
        <v/>
      </c>
      <c r="M42" s="9">
        <f>K42-L42</f>
        <v/>
      </c>
      <c r="N42" s="11">
        <f>IFERROR(M42/J42,0)</f>
        <v/>
      </c>
      <c r="O42" s="11">
        <f>IF((B42=B41),N41,"")</f>
        <v/>
      </c>
      <c r="P42" s="12">
        <f>IF(O42="","",IFERROR((N42-O42)/O42,""))</f>
        <v/>
      </c>
      <c r="Q42" s="13">
        <f>INDEX('Fund Master'!$F$2:$F$7,MATCH(B42,'Fund Master'!$A$2:$A$7,0))</f>
        <v/>
      </c>
      <c r="R42" s="9">
        <f>SUMIFS('Capital Activity'!$E$2:$E$385,'Capital Activity'!$A$2:$A$385,A42,'Capital Activity'!$B$2:$B$385,B42)</f>
        <v/>
      </c>
      <c r="S42" s="6">
        <f>IF(O42="","",IF(ABS(P42)*10000&gt;Q42,"NAV MOVE BREACH",""))</f>
        <v/>
      </c>
      <c r="T42" s="6">
        <f>IF(AND((B42=B41),D42&lt;&gt;"Money Market",E42=E41),"STALE PRICE","")</f>
        <v/>
      </c>
      <c r="U42" s="6">
        <f>IF(F42&lt;0,"NEGATIVE CASH","")</f>
        <v/>
      </c>
      <c r="V42" s="6">
        <f>IF(ABS(R42)&gt;0.05*M42,"LARGE FLOW","")</f>
        <v/>
      </c>
      <c r="W42" s="6">
        <f>(S42&lt;&gt;"")*1+(T42&lt;&gt;"")*1+(U42&lt;&gt;"")*1+(V42&lt;&gt;"")*1</f>
        <v/>
      </c>
      <c r="X42" s="6">
        <f>IF(S42&lt;&gt;"",S42,IF(T42&lt;&gt;"",T42,IF(U42&lt;&gt;"",U42,IF(V42&lt;&gt;"",V42,""))))</f>
        <v/>
      </c>
    </row>
    <row r="43">
      <c r="A43" s="6" t="inlineStr">
        <is>
          <t>2026-05-29</t>
        </is>
      </c>
      <c r="B43" s="6" t="inlineStr">
        <is>
          <t>BALM</t>
        </is>
      </c>
      <c r="C43" s="6">
        <f>INDEX('Fund Master'!$B$2:$B$7,MATCH(B43,'Fund Master'!$A$2:$A$7,0))</f>
        <v/>
      </c>
      <c r="D43" s="6">
        <f>INDEX('Fund Master'!$C$2:$C$7,MATCH(B43,'Fund Master'!$A$2:$A$7,0))</f>
        <v/>
      </c>
      <c r="E43" s="8" t="n">
        <v>448479884.7</v>
      </c>
      <c r="F43" s="8" t="n">
        <v>10885541.83</v>
      </c>
      <c r="G43" s="8" t="n">
        <v>1996104.38</v>
      </c>
      <c r="H43" s="8" t="n">
        <v>3519189.39</v>
      </c>
      <c r="I43" s="8" t="n">
        <v>431951.49</v>
      </c>
      <c r="J43" s="10" t="n">
        <v>23369565.2174</v>
      </c>
      <c r="K43" s="9">
        <f>E43+F43+G43</f>
        <v/>
      </c>
      <c r="L43" s="9">
        <f>H43+I43</f>
        <v/>
      </c>
      <c r="M43" s="9">
        <f>K43-L43</f>
        <v/>
      </c>
      <c r="N43" s="11">
        <f>IFERROR(M43/J43,0)</f>
        <v/>
      </c>
      <c r="O43" s="11">
        <f>IF((B43=B42),N42,"")</f>
        <v/>
      </c>
      <c r="P43" s="12">
        <f>IF(O43="","",IFERROR((N43-O43)/O43,""))</f>
        <v/>
      </c>
      <c r="Q43" s="13">
        <f>INDEX('Fund Master'!$F$2:$F$7,MATCH(B43,'Fund Master'!$A$2:$A$7,0))</f>
        <v/>
      </c>
      <c r="R43" s="9">
        <f>SUMIFS('Capital Activity'!$E$2:$E$385,'Capital Activity'!$A$2:$A$385,A43,'Capital Activity'!$B$2:$B$385,B43)</f>
        <v/>
      </c>
      <c r="S43" s="6">
        <f>IF(O43="","",IF(ABS(P43)*10000&gt;Q43,"NAV MOVE BREACH",""))</f>
        <v/>
      </c>
      <c r="T43" s="6">
        <f>IF(AND((B43=B42),D43&lt;&gt;"Money Market",E43=E42),"STALE PRICE","")</f>
        <v/>
      </c>
      <c r="U43" s="6">
        <f>IF(F43&lt;0,"NEGATIVE CASH","")</f>
        <v/>
      </c>
      <c r="V43" s="6">
        <f>IF(ABS(R43)&gt;0.05*M43,"LARGE FLOW","")</f>
        <v/>
      </c>
      <c r="W43" s="6">
        <f>(S43&lt;&gt;"")*1+(T43&lt;&gt;"")*1+(U43&lt;&gt;"")*1+(V43&lt;&gt;"")*1</f>
        <v/>
      </c>
      <c r="X43" s="6">
        <f>IF(S43&lt;&gt;"",S43,IF(T43&lt;&gt;"",T43,IF(U43&lt;&gt;"",U43,IF(V43&lt;&gt;"",V43,""))))</f>
        <v/>
      </c>
    </row>
    <row r="44">
      <c r="A44" s="6" t="inlineStr">
        <is>
          <t>2026-06-01</t>
        </is>
      </c>
      <c r="B44" s="6" t="inlineStr">
        <is>
          <t>BALM</t>
        </is>
      </c>
      <c r="C44" s="6">
        <f>INDEX('Fund Master'!$B$2:$B$7,MATCH(B44,'Fund Master'!$A$2:$A$7,0))</f>
        <v/>
      </c>
      <c r="D44" s="6">
        <f>INDEX('Fund Master'!$C$2:$C$7,MATCH(B44,'Fund Master'!$A$2:$A$7,0))</f>
        <v/>
      </c>
      <c r="E44" s="8" t="n">
        <v>451607190.67</v>
      </c>
      <c r="F44" s="8" t="n">
        <v>10756383.6</v>
      </c>
      <c r="G44" s="8" t="n">
        <v>1855919.48</v>
      </c>
      <c r="H44" s="8" t="n">
        <v>3612857.53</v>
      </c>
      <c r="I44" s="8" t="n">
        <v>442704.05</v>
      </c>
      <c r="J44" s="10" t="n">
        <v>23369565.2174</v>
      </c>
      <c r="K44" s="9">
        <f>E44+F44+G44</f>
        <v/>
      </c>
      <c r="L44" s="9">
        <f>H44+I44</f>
        <v/>
      </c>
      <c r="M44" s="9">
        <f>K44-L44</f>
        <v/>
      </c>
      <c r="N44" s="11">
        <f>IFERROR(M44/J44,0)</f>
        <v/>
      </c>
      <c r="O44" s="11">
        <f>IF((B44=B43),N43,"")</f>
        <v/>
      </c>
      <c r="P44" s="12">
        <f>IF(O44="","",IFERROR((N44-O44)/O44,""))</f>
        <v/>
      </c>
      <c r="Q44" s="13">
        <f>INDEX('Fund Master'!$F$2:$F$7,MATCH(B44,'Fund Master'!$A$2:$A$7,0))</f>
        <v/>
      </c>
      <c r="R44" s="9">
        <f>SUMIFS('Capital Activity'!$E$2:$E$385,'Capital Activity'!$A$2:$A$385,A44,'Capital Activity'!$B$2:$B$385,B44)</f>
        <v/>
      </c>
      <c r="S44" s="6">
        <f>IF(O44="","",IF(ABS(P44)*10000&gt;Q44,"NAV MOVE BREACH",""))</f>
        <v/>
      </c>
      <c r="T44" s="6">
        <f>IF(AND((B44=B43),D44&lt;&gt;"Money Market",E44=E43),"STALE PRICE","")</f>
        <v/>
      </c>
      <c r="U44" s="6">
        <f>IF(F44&lt;0,"NEGATIVE CASH","")</f>
        <v/>
      </c>
      <c r="V44" s="6">
        <f>IF(ABS(R44)&gt;0.05*M44,"LARGE FLOW","")</f>
        <v/>
      </c>
      <c r="W44" s="6">
        <f>(S44&lt;&gt;"")*1+(T44&lt;&gt;"")*1+(U44&lt;&gt;"")*1+(V44&lt;&gt;"")*1</f>
        <v/>
      </c>
      <c r="X44" s="6">
        <f>IF(S44&lt;&gt;"",S44,IF(T44&lt;&gt;"",T44,IF(U44&lt;&gt;"",U44,IF(V44&lt;&gt;"",V44,""))))</f>
        <v/>
      </c>
    </row>
    <row r="45">
      <c r="A45" s="6" t="inlineStr">
        <is>
          <t>2026-06-02</t>
        </is>
      </c>
      <c r="B45" s="6" t="inlineStr">
        <is>
          <t>BALM</t>
        </is>
      </c>
      <c r="C45" s="6">
        <f>INDEX('Fund Master'!$B$2:$B$7,MATCH(B45,'Fund Master'!$A$2:$A$7,0))</f>
        <v/>
      </c>
      <c r="D45" s="6">
        <f>INDEX('Fund Master'!$C$2:$C$7,MATCH(B45,'Fund Master'!$A$2:$A$7,0))</f>
        <v/>
      </c>
      <c r="E45" s="8" t="n">
        <v>455776301.88</v>
      </c>
      <c r="F45" s="8" t="n">
        <v>11007793.4</v>
      </c>
      <c r="G45" s="8" t="n">
        <v>1922920.69</v>
      </c>
      <c r="H45" s="8" t="n">
        <v>3646210.42</v>
      </c>
      <c r="I45" s="8" t="n">
        <v>453555.86</v>
      </c>
      <c r="J45" s="10" t="n">
        <v>23369565.2174</v>
      </c>
      <c r="K45" s="9">
        <f>E45+F45+G45</f>
        <v/>
      </c>
      <c r="L45" s="9">
        <f>H45+I45</f>
        <v/>
      </c>
      <c r="M45" s="9">
        <f>K45-L45</f>
        <v/>
      </c>
      <c r="N45" s="11">
        <f>IFERROR(M45/J45,0)</f>
        <v/>
      </c>
      <c r="O45" s="11">
        <f>IF((B45=B44),N44,"")</f>
        <v/>
      </c>
      <c r="P45" s="12">
        <f>IF(O45="","",IFERROR((N45-O45)/O45,""))</f>
        <v/>
      </c>
      <c r="Q45" s="13">
        <f>INDEX('Fund Master'!$F$2:$F$7,MATCH(B45,'Fund Master'!$A$2:$A$7,0))</f>
        <v/>
      </c>
      <c r="R45" s="9">
        <f>SUMIFS('Capital Activity'!$E$2:$E$385,'Capital Activity'!$A$2:$A$385,A45,'Capital Activity'!$B$2:$B$385,B45)</f>
        <v/>
      </c>
      <c r="S45" s="6">
        <f>IF(O45="","",IF(ABS(P45)*10000&gt;Q45,"NAV MOVE BREACH",""))</f>
        <v/>
      </c>
      <c r="T45" s="6">
        <f>IF(AND((B45=B44),D45&lt;&gt;"Money Market",E45=E44),"STALE PRICE","")</f>
        <v/>
      </c>
      <c r="U45" s="6">
        <f>IF(F45&lt;0,"NEGATIVE CASH","")</f>
        <v/>
      </c>
      <c r="V45" s="6">
        <f>IF(ABS(R45)&gt;0.05*M45,"LARGE FLOW","")</f>
        <v/>
      </c>
      <c r="W45" s="6">
        <f>(S45&lt;&gt;"")*1+(T45&lt;&gt;"")*1+(U45&lt;&gt;"")*1+(V45&lt;&gt;"")*1</f>
        <v/>
      </c>
      <c r="X45" s="6">
        <f>IF(S45&lt;&gt;"",S45,IF(T45&lt;&gt;"",T45,IF(U45&lt;&gt;"",U45,IF(V45&lt;&gt;"",V45,""))))</f>
        <v/>
      </c>
    </row>
    <row r="46">
      <c r="A46" s="6" t="inlineStr">
        <is>
          <t>2026-06-03</t>
        </is>
      </c>
      <c r="B46" s="6" t="inlineStr">
        <is>
          <t>BALM</t>
        </is>
      </c>
      <c r="C46" s="6">
        <f>INDEX('Fund Master'!$B$2:$B$7,MATCH(B46,'Fund Master'!$A$2:$A$7,0))</f>
        <v/>
      </c>
      <c r="D46" s="6">
        <f>INDEX('Fund Master'!$C$2:$C$7,MATCH(B46,'Fund Master'!$A$2:$A$7,0))</f>
        <v/>
      </c>
      <c r="E46" s="8" t="n">
        <v>456044156.71</v>
      </c>
      <c r="F46" s="8" t="n">
        <v>11087756.52</v>
      </c>
      <c r="G46" s="8" t="n">
        <v>2091342.56</v>
      </c>
      <c r="H46" s="8" t="n">
        <v>3648353.25</v>
      </c>
      <c r="I46" s="8" t="n">
        <v>464414.06</v>
      </c>
      <c r="J46" s="10" t="n">
        <v>23369565.2174</v>
      </c>
      <c r="K46" s="9">
        <f>E46+F46+G46</f>
        <v/>
      </c>
      <c r="L46" s="9">
        <f>H46+I46</f>
        <v/>
      </c>
      <c r="M46" s="9">
        <f>K46-L46</f>
        <v/>
      </c>
      <c r="N46" s="11">
        <f>IFERROR(M46/J46,0)</f>
        <v/>
      </c>
      <c r="O46" s="11">
        <f>IF((B46=B45),N45,"")</f>
        <v/>
      </c>
      <c r="P46" s="12">
        <f>IF(O46="","",IFERROR((N46-O46)/O46,""))</f>
        <v/>
      </c>
      <c r="Q46" s="13">
        <f>INDEX('Fund Master'!$F$2:$F$7,MATCH(B46,'Fund Master'!$A$2:$A$7,0))</f>
        <v/>
      </c>
      <c r="R46" s="9">
        <f>SUMIFS('Capital Activity'!$E$2:$E$385,'Capital Activity'!$A$2:$A$385,A46,'Capital Activity'!$B$2:$B$385,B46)</f>
        <v/>
      </c>
      <c r="S46" s="6">
        <f>IF(O46="","",IF(ABS(P46)*10000&gt;Q46,"NAV MOVE BREACH",""))</f>
        <v/>
      </c>
      <c r="T46" s="6">
        <f>IF(AND((B46=B45),D46&lt;&gt;"Money Market",E46=E45),"STALE PRICE","")</f>
        <v/>
      </c>
      <c r="U46" s="6">
        <f>IF(F46&lt;0,"NEGATIVE CASH","")</f>
        <v/>
      </c>
      <c r="V46" s="6">
        <f>IF(ABS(R46)&gt;0.05*M46,"LARGE FLOW","")</f>
        <v/>
      </c>
      <c r="W46" s="6">
        <f>(S46&lt;&gt;"")*1+(T46&lt;&gt;"")*1+(U46&lt;&gt;"")*1+(V46&lt;&gt;"")*1</f>
        <v/>
      </c>
      <c r="X46" s="6">
        <f>IF(S46&lt;&gt;"",S46,IF(T46&lt;&gt;"",T46,IF(U46&lt;&gt;"",U46,IF(V46&lt;&gt;"",V46,""))))</f>
        <v/>
      </c>
    </row>
    <row r="47">
      <c r="A47" s="6" t="inlineStr">
        <is>
          <t>2026-06-04</t>
        </is>
      </c>
      <c r="B47" s="6" t="inlineStr">
        <is>
          <t>BALM</t>
        </is>
      </c>
      <c r="C47" s="6">
        <f>INDEX('Fund Master'!$B$2:$B$7,MATCH(B47,'Fund Master'!$A$2:$A$7,0))</f>
        <v/>
      </c>
      <c r="D47" s="6">
        <f>INDEX('Fund Master'!$C$2:$C$7,MATCH(B47,'Fund Master'!$A$2:$A$7,0))</f>
        <v/>
      </c>
      <c r="E47" s="8" t="n">
        <v>455003610.53</v>
      </c>
      <c r="F47" s="8" t="n">
        <v>10833351.77</v>
      </c>
      <c r="G47" s="8" t="n">
        <v>1972476.72</v>
      </c>
      <c r="H47" s="8" t="n">
        <v>3425301.04</v>
      </c>
      <c r="I47" s="8" t="n">
        <v>475247.48</v>
      </c>
      <c r="J47" s="10" t="n">
        <v>23369565.2174</v>
      </c>
      <c r="K47" s="9">
        <f>E47+F47+G47</f>
        <v/>
      </c>
      <c r="L47" s="9">
        <f>H47+I47</f>
        <v/>
      </c>
      <c r="M47" s="9">
        <f>K47-L47</f>
        <v/>
      </c>
      <c r="N47" s="11">
        <f>IFERROR(M47/J47,0)</f>
        <v/>
      </c>
      <c r="O47" s="11">
        <f>IF((B47=B46),N46,"")</f>
        <v/>
      </c>
      <c r="P47" s="12">
        <f>IF(O47="","",IFERROR((N47-O47)/O47,""))</f>
        <v/>
      </c>
      <c r="Q47" s="13">
        <f>INDEX('Fund Master'!$F$2:$F$7,MATCH(B47,'Fund Master'!$A$2:$A$7,0))</f>
        <v/>
      </c>
      <c r="R47" s="9">
        <f>SUMIFS('Capital Activity'!$E$2:$E$385,'Capital Activity'!$A$2:$A$385,A47,'Capital Activity'!$B$2:$B$385,B47)</f>
        <v/>
      </c>
      <c r="S47" s="6">
        <f>IF(O47="","",IF(ABS(P47)*10000&gt;Q47,"NAV MOVE BREACH",""))</f>
        <v/>
      </c>
      <c r="T47" s="6">
        <f>IF(AND((B47=B46),D47&lt;&gt;"Money Market",E47=E46),"STALE PRICE","")</f>
        <v/>
      </c>
      <c r="U47" s="6">
        <f>IF(F47&lt;0,"NEGATIVE CASH","")</f>
        <v/>
      </c>
      <c r="V47" s="6">
        <f>IF(ABS(R47)&gt;0.05*M47,"LARGE FLOW","")</f>
        <v/>
      </c>
      <c r="W47" s="6">
        <f>(S47&lt;&gt;"")*1+(T47&lt;&gt;"")*1+(U47&lt;&gt;"")*1+(V47&lt;&gt;"")*1</f>
        <v/>
      </c>
      <c r="X47" s="6">
        <f>IF(S47&lt;&gt;"",S47,IF(T47&lt;&gt;"",T47,IF(U47&lt;&gt;"",U47,IF(V47&lt;&gt;"",V47,""))))</f>
        <v/>
      </c>
    </row>
    <row r="48">
      <c r="A48" s="6" t="inlineStr">
        <is>
          <t>2026-06-05</t>
        </is>
      </c>
      <c r="B48" s="6" t="inlineStr">
        <is>
          <t>BALM</t>
        </is>
      </c>
      <c r="C48" s="6">
        <f>INDEX('Fund Master'!$B$2:$B$7,MATCH(B48,'Fund Master'!$A$2:$A$7,0))</f>
        <v/>
      </c>
      <c r="D48" s="6">
        <f>INDEX('Fund Master'!$C$2:$C$7,MATCH(B48,'Fund Master'!$A$2:$A$7,0))</f>
        <v/>
      </c>
      <c r="E48" s="8" t="n">
        <v>454410047.11</v>
      </c>
      <c r="F48" s="8" t="n">
        <v>10743747.35</v>
      </c>
      <c r="G48" s="8" t="n">
        <v>2003428.86</v>
      </c>
      <c r="H48" s="8" t="n">
        <v>3509795.66</v>
      </c>
      <c r="I48" s="8" t="n">
        <v>486066.76</v>
      </c>
      <c r="J48" s="10" t="n">
        <v>23369565.2174</v>
      </c>
      <c r="K48" s="9">
        <f>E48+F48+G48</f>
        <v/>
      </c>
      <c r="L48" s="9">
        <f>H48+I48</f>
        <v/>
      </c>
      <c r="M48" s="9">
        <f>K48-L48</f>
        <v/>
      </c>
      <c r="N48" s="11">
        <f>IFERROR(M48/J48,0)</f>
        <v/>
      </c>
      <c r="O48" s="11">
        <f>IF((B48=B47),N47,"")</f>
        <v/>
      </c>
      <c r="P48" s="12">
        <f>IF(O48="","",IFERROR((N48-O48)/O48,""))</f>
        <v/>
      </c>
      <c r="Q48" s="13">
        <f>INDEX('Fund Master'!$F$2:$F$7,MATCH(B48,'Fund Master'!$A$2:$A$7,0))</f>
        <v/>
      </c>
      <c r="R48" s="9">
        <f>SUMIFS('Capital Activity'!$E$2:$E$385,'Capital Activity'!$A$2:$A$385,A48,'Capital Activity'!$B$2:$B$385,B48)</f>
        <v/>
      </c>
      <c r="S48" s="6">
        <f>IF(O48="","",IF(ABS(P48)*10000&gt;Q48,"NAV MOVE BREACH",""))</f>
        <v/>
      </c>
      <c r="T48" s="6">
        <f>IF(AND((B48=B47),D48&lt;&gt;"Money Market",E48=E47),"STALE PRICE","")</f>
        <v/>
      </c>
      <c r="U48" s="6">
        <f>IF(F48&lt;0,"NEGATIVE CASH","")</f>
        <v/>
      </c>
      <c r="V48" s="6">
        <f>IF(ABS(R48)&gt;0.05*M48,"LARGE FLOW","")</f>
        <v/>
      </c>
      <c r="W48" s="6">
        <f>(S48&lt;&gt;"")*1+(T48&lt;&gt;"")*1+(U48&lt;&gt;"")*1+(V48&lt;&gt;"")*1</f>
        <v/>
      </c>
      <c r="X48" s="6">
        <f>IF(S48&lt;&gt;"",S48,IF(T48&lt;&gt;"",T48,IF(U48&lt;&gt;"",U48,IF(V48&lt;&gt;"",V48,""))))</f>
        <v/>
      </c>
    </row>
    <row r="49">
      <c r="A49" s="6" t="inlineStr">
        <is>
          <t>2026-06-08</t>
        </is>
      </c>
      <c r="B49" s="6" t="inlineStr">
        <is>
          <t>BALM</t>
        </is>
      </c>
      <c r="C49" s="6">
        <f>INDEX('Fund Master'!$B$2:$B$7,MATCH(B49,'Fund Master'!$A$2:$A$7,0))</f>
        <v/>
      </c>
      <c r="D49" s="6">
        <f>INDEX('Fund Master'!$C$2:$C$7,MATCH(B49,'Fund Master'!$A$2:$A$7,0))</f>
        <v/>
      </c>
      <c r="E49" s="8" t="n">
        <v>453984524.98</v>
      </c>
      <c r="F49" s="8" t="n">
        <v>10810658.76</v>
      </c>
      <c r="G49" s="8" t="n">
        <v>1974456.33</v>
      </c>
      <c r="H49" s="8" t="n">
        <v>3631876.2</v>
      </c>
      <c r="I49" s="8" t="n">
        <v>496875.92</v>
      </c>
      <c r="J49" s="10" t="n">
        <v>23369565.2174</v>
      </c>
      <c r="K49" s="9">
        <f>E49+F49+G49</f>
        <v/>
      </c>
      <c r="L49" s="9">
        <f>H49+I49</f>
        <v/>
      </c>
      <c r="M49" s="9">
        <f>K49-L49</f>
        <v/>
      </c>
      <c r="N49" s="11">
        <f>IFERROR(M49/J49,0)</f>
        <v/>
      </c>
      <c r="O49" s="11">
        <f>IF((B49=B48),N48,"")</f>
        <v/>
      </c>
      <c r="P49" s="12">
        <f>IF(O49="","",IFERROR((N49-O49)/O49,""))</f>
        <v/>
      </c>
      <c r="Q49" s="13">
        <f>INDEX('Fund Master'!$F$2:$F$7,MATCH(B49,'Fund Master'!$A$2:$A$7,0))</f>
        <v/>
      </c>
      <c r="R49" s="9">
        <f>SUMIFS('Capital Activity'!$E$2:$E$385,'Capital Activity'!$A$2:$A$385,A49,'Capital Activity'!$B$2:$B$385,B49)</f>
        <v/>
      </c>
      <c r="S49" s="6">
        <f>IF(O49="","",IF(ABS(P49)*10000&gt;Q49,"NAV MOVE BREACH",""))</f>
        <v/>
      </c>
      <c r="T49" s="6">
        <f>IF(AND((B49=B48),D49&lt;&gt;"Money Market",E49=E48),"STALE PRICE","")</f>
        <v/>
      </c>
      <c r="U49" s="6">
        <f>IF(F49&lt;0,"NEGATIVE CASH","")</f>
        <v/>
      </c>
      <c r="V49" s="6">
        <f>IF(ABS(R49)&gt;0.05*M49,"LARGE FLOW","")</f>
        <v/>
      </c>
      <c r="W49" s="6">
        <f>(S49&lt;&gt;"")*1+(T49&lt;&gt;"")*1+(U49&lt;&gt;"")*1+(V49&lt;&gt;"")*1</f>
        <v/>
      </c>
      <c r="X49" s="6">
        <f>IF(S49&lt;&gt;"",S49,IF(T49&lt;&gt;"",T49,IF(U49&lt;&gt;"",U49,IF(V49&lt;&gt;"",V49,""))))</f>
        <v/>
      </c>
    </row>
    <row r="50">
      <c r="A50" s="6" t="inlineStr">
        <is>
          <t>2026-06-09</t>
        </is>
      </c>
      <c r="B50" s="6" t="inlineStr">
        <is>
          <t>BALM</t>
        </is>
      </c>
      <c r="C50" s="6">
        <f>INDEX('Fund Master'!$B$2:$B$7,MATCH(B50,'Fund Master'!$A$2:$A$7,0))</f>
        <v/>
      </c>
      <c r="D50" s="6">
        <f>INDEX('Fund Master'!$C$2:$C$7,MATCH(B50,'Fund Master'!$A$2:$A$7,0))</f>
        <v/>
      </c>
      <c r="E50" s="8" t="n">
        <v>456121699.18</v>
      </c>
      <c r="F50" s="8" t="n">
        <v>11182699.07</v>
      </c>
      <c r="G50" s="8" t="n">
        <v>2003567.55</v>
      </c>
      <c r="H50" s="8" t="n">
        <v>3507010.43</v>
      </c>
      <c r="I50" s="8" t="n">
        <v>507735.96</v>
      </c>
      <c r="J50" s="10" t="n">
        <v>23369565.2174</v>
      </c>
      <c r="K50" s="9">
        <f>E50+F50+G50</f>
        <v/>
      </c>
      <c r="L50" s="9">
        <f>H50+I50</f>
        <v/>
      </c>
      <c r="M50" s="9">
        <f>K50-L50</f>
        <v/>
      </c>
      <c r="N50" s="11">
        <f>IFERROR(M50/J50,0)</f>
        <v/>
      </c>
      <c r="O50" s="11">
        <f>IF((B50=B49),N49,"")</f>
        <v/>
      </c>
      <c r="P50" s="12">
        <f>IF(O50="","",IFERROR((N50-O50)/O50,""))</f>
        <v/>
      </c>
      <c r="Q50" s="13">
        <f>INDEX('Fund Master'!$F$2:$F$7,MATCH(B50,'Fund Master'!$A$2:$A$7,0))</f>
        <v/>
      </c>
      <c r="R50" s="9">
        <f>SUMIFS('Capital Activity'!$E$2:$E$385,'Capital Activity'!$A$2:$A$385,A50,'Capital Activity'!$B$2:$B$385,B50)</f>
        <v/>
      </c>
      <c r="S50" s="6">
        <f>IF(O50="","",IF(ABS(P50)*10000&gt;Q50,"NAV MOVE BREACH",""))</f>
        <v/>
      </c>
      <c r="T50" s="6">
        <f>IF(AND((B50=B49),D50&lt;&gt;"Money Market",E50=E49),"STALE PRICE","")</f>
        <v/>
      </c>
      <c r="U50" s="6">
        <f>IF(F50&lt;0,"NEGATIVE CASH","")</f>
        <v/>
      </c>
      <c r="V50" s="6">
        <f>IF(ABS(R50)&gt;0.05*M50,"LARGE FLOW","")</f>
        <v/>
      </c>
      <c r="W50" s="6">
        <f>(S50&lt;&gt;"")*1+(T50&lt;&gt;"")*1+(U50&lt;&gt;"")*1+(V50&lt;&gt;"")*1</f>
        <v/>
      </c>
      <c r="X50" s="6">
        <f>IF(S50&lt;&gt;"",S50,IF(T50&lt;&gt;"",T50,IF(U50&lt;&gt;"",U50,IF(V50&lt;&gt;"",V50,""))))</f>
        <v/>
      </c>
    </row>
    <row r="51">
      <c r="A51" s="6" t="inlineStr">
        <is>
          <t>2026-06-10</t>
        </is>
      </c>
      <c r="B51" s="6" t="inlineStr">
        <is>
          <t>BALM</t>
        </is>
      </c>
      <c r="C51" s="6">
        <f>INDEX('Fund Master'!$B$2:$B$7,MATCH(B51,'Fund Master'!$A$2:$A$7,0))</f>
        <v/>
      </c>
      <c r="D51" s="6">
        <f>INDEX('Fund Master'!$C$2:$C$7,MATCH(B51,'Fund Master'!$A$2:$A$7,0))</f>
        <v/>
      </c>
      <c r="E51" s="8" t="n">
        <v>454573351.45</v>
      </c>
      <c r="F51" s="8" t="n">
        <v>11304665.63</v>
      </c>
      <c r="G51" s="8" t="n">
        <v>2131859.97</v>
      </c>
      <c r="H51" s="8" t="n">
        <v>3497426.23</v>
      </c>
      <c r="I51" s="8" t="n">
        <v>518559.13</v>
      </c>
      <c r="J51" s="10" t="n">
        <v>23369565.2174</v>
      </c>
      <c r="K51" s="9">
        <f>E51+F51+G51</f>
        <v/>
      </c>
      <c r="L51" s="9">
        <f>H51+I51</f>
        <v/>
      </c>
      <c r="M51" s="9">
        <f>K51-L51</f>
        <v/>
      </c>
      <c r="N51" s="11">
        <f>IFERROR(M51/J51,0)</f>
        <v/>
      </c>
      <c r="O51" s="11">
        <f>IF((B51=B50),N50,"")</f>
        <v/>
      </c>
      <c r="P51" s="12">
        <f>IF(O51="","",IFERROR((N51-O51)/O51,""))</f>
        <v/>
      </c>
      <c r="Q51" s="13">
        <f>INDEX('Fund Master'!$F$2:$F$7,MATCH(B51,'Fund Master'!$A$2:$A$7,0))</f>
        <v/>
      </c>
      <c r="R51" s="9">
        <f>SUMIFS('Capital Activity'!$E$2:$E$385,'Capital Activity'!$A$2:$A$385,A51,'Capital Activity'!$B$2:$B$385,B51)</f>
        <v/>
      </c>
      <c r="S51" s="6">
        <f>IF(O51="","",IF(ABS(P51)*10000&gt;Q51,"NAV MOVE BREACH",""))</f>
        <v/>
      </c>
      <c r="T51" s="6">
        <f>IF(AND((B51=B50),D51&lt;&gt;"Money Market",E51=E50),"STALE PRICE","")</f>
        <v/>
      </c>
      <c r="U51" s="6">
        <f>IF(F51&lt;0,"NEGATIVE CASH","")</f>
        <v/>
      </c>
      <c r="V51" s="6">
        <f>IF(ABS(R51)&gt;0.05*M51,"LARGE FLOW","")</f>
        <v/>
      </c>
      <c r="W51" s="6">
        <f>(S51&lt;&gt;"")*1+(T51&lt;&gt;"")*1+(U51&lt;&gt;"")*1+(V51&lt;&gt;"")*1</f>
        <v/>
      </c>
      <c r="X51" s="6">
        <f>IF(S51&lt;&gt;"",S51,IF(T51&lt;&gt;"",T51,IF(U51&lt;&gt;"",U51,IF(V51&lt;&gt;"",V51,""))))</f>
        <v/>
      </c>
    </row>
    <row r="52">
      <c r="A52" s="6" t="inlineStr">
        <is>
          <t>2026-06-11</t>
        </is>
      </c>
      <c r="B52" s="6" t="inlineStr">
        <is>
          <t>BALM</t>
        </is>
      </c>
      <c r="C52" s="6">
        <f>INDEX('Fund Master'!$B$2:$B$7,MATCH(B52,'Fund Master'!$A$2:$A$7,0))</f>
        <v/>
      </c>
      <c r="D52" s="6">
        <f>INDEX('Fund Master'!$C$2:$C$7,MATCH(B52,'Fund Master'!$A$2:$A$7,0))</f>
        <v/>
      </c>
      <c r="E52" s="8" t="n">
        <v>455408457.99</v>
      </c>
      <c r="F52" s="8" t="n">
        <v>12036330.77</v>
      </c>
      <c r="G52" s="8" t="n">
        <v>2197585.55</v>
      </c>
      <c r="H52" s="8" t="n">
        <v>3311403.53</v>
      </c>
      <c r="I52" s="8" t="n">
        <v>529402.1899999999</v>
      </c>
      <c r="J52" s="10" t="n">
        <v>23369565.2174</v>
      </c>
      <c r="K52" s="9">
        <f>E52+F52+G52</f>
        <v/>
      </c>
      <c r="L52" s="9">
        <f>H52+I52</f>
        <v/>
      </c>
      <c r="M52" s="9">
        <f>K52-L52</f>
        <v/>
      </c>
      <c r="N52" s="11">
        <f>IFERROR(M52/J52,0)</f>
        <v/>
      </c>
      <c r="O52" s="11">
        <f>IF((B52=B51),N51,"")</f>
        <v/>
      </c>
      <c r="P52" s="12">
        <f>IF(O52="","",IFERROR((N52-O52)/O52,""))</f>
        <v/>
      </c>
      <c r="Q52" s="13">
        <f>INDEX('Fund Master'!$F$2:$F$7,MATCH(B52,'Fund Master'!$A$2:$A$7,0))</f>
        <v/>
      </c>
      <c r="R52" s="9">
        <f>SUMIFS('Capital Activity'!$E$2:$E$385,'Capital Activity'!$A$2:$A$385,A52,'Capital Activity'!$B$2:$B$385,B52)</f>
        <v/>
      </c>
      <c r="S52" s="6">
        <f>IF(O52="","",IF(ABS(P52)*10000&gt;Q52,"NAV MOVE BREACH",""))</f>
        <v/>
      </c>
      <c r="T52" s="6">
        <f>IF(AND((B52=B51),D52&lt;&gt;"Money Market",E52=E51),"STALE PRICE","")</f>
        <v/>
      </c>
      <c r="U52" s="6">
        <f>IF(F52&lt;0,"NEGATIVE CASH","")</f>
        <v/>
      </c>
      <c r="V52" s="6">
        <f>IF(ABS(R52)&gt;0.05*M52,"LARGE FLOW","")</f>
        <v/>
      </c>
      <c r="W52" s="6">
        <f>(S52&lt;&gt;"")*1+(T52&lt;&gt;"")*1+(U52&lt;&gt;"")*1+(V52&lt;&gt;"")*1</f>
        <v/>
      </c>
      <c r="X52" s="6">
        <f>IF(S52&lt;&gt;"",S52,IF(T52&lt;&gt;"",T52,IF(U52&lt;&gt;"",U52,IF(V52&lt;&gt;"",V52,""))))</f>
        <v/>
      </c>
    </row>
    <row r="53">
      <c r="A53" s="6" t="inlineStr">
        <is>
          <t>2026-06-12</t>
        </is>
      </c>
      <c r="B53" s="6" t="inlineStr">
        <is>
          <t>BALM</t>
        </is>
      </c>
      <c r="C53" s="6">
        <f>INDEX('Fund Master'!$B$2:$B$7,MATCH(B53,'Fund Master'!$A$2:$A$7,0))</f>
        <v/>
      </c>
      <c r="D53" s="6">
        <f>INDEX('Fund Master'!$C$2:$C$7,MATCH(B53,'Fund Master'!$A$2:$A$7,0))</f>
        <v/>
      </c>
      <c r="E53" s="8" t="n">
        <v>459493617.01</v>
      </c>
      <c r="F53" s="8" t="n">
        <v>12329894.02</v>
      </c>
      <c r="G53" s="8" t="n">
        <v>2202029.88</v>
      </c>
      <c r="H53" s="8" t="n">
        <v>3206094.14</v>
      </c>
      <c r="I53" s="8" t="n">
        <v>540342.52</v>
      </c>
      <c r="J53" s="10" t="n">
        <v>23369565.2174</v>
      </c>
      <c r="K53" s="9">
        <f>E53+F53+G53</f>
        <v/>
      </c>
      <c r="L53" s="9">
        <f>H53+I53</f>
        <v/>
      </c>
      <c r="M53" s="9">
        <f>K53-L53</f>
        <v/>
      </c>
      <c r="N53" s="11">
        <f>IFERROR(M53/J53,0)</f>
        <v/>
      </c>
      <c r="O53" s="11">
        <f>IF((B53=B52),N52,"")</f>
        <v/>
      </c>
      <c r="P53" s="12">
        <f>IF(O53="","",IFERROR((N53-O53)/O53,""))</f>
        <v/>
      </c>
      <c r="Q53" s="13">
        <f>INDEX('Fund Master'!$F$2:$F$7,MATCH(B53,'Fund Master'!$A$2:$A$7,0))</f>
        <v/>
      </c>
      <c r="R53" s="9">
        <f>SUMIFS('Capital Activity'!$E$2:$E$385,'Capital Activity'!$A$2:$A$385,A53,'Capital Activity'!$B$2:$B$385,B53)</f>
        <v/>
      </c>
      <c r="S53" s="6">
        <f>IF(O53="","",IF(ABS(P53)*10000&gt;Q53,"NAV MOVE BREACH",""))</f>
        <v/>
      </c>
      <c r="T53" s="6">
        <f>IF(AND((B53=B52),D53&lt;&gt;"Money Market",E53=E52),"STALE PRICE","")</f>
        <v/>
      </c>
      <c r="U53" s="6">
        <f>IF(F53&lt;0,"NEGATIVE CASH","")</f>
        <v/>
      </c>
      <c r="V53" s="6">
        <f>IF(ABS(R53)&gt;0.05*M53,"LARGE FLOW","")</f>
        <v/>
      </c>
      <c r="W53" s="6">
        <f>(S53&lt;&gt;"")*1+(T53&lt;&gt;"")*1+(U53&lt;&gt;"")*1+(V53&lt;&gt;"")*1</f>
        <v/>
      </c>
      <c r="X53" s="6">
        <f>IF(S53&lt;&gt;"",S53,IF(T53&lt;&gt;"",T53,IF(U53&lt;&gt;"",U53,IF(V53&lt;&gt;"",V53,""))))</f>
        <v/>
      </c>
    </row>
    <row r="54">
      <c r="A54" s="6" t="inlineStr">
        <is>
          <t>2026-06-15</t>
        </is>
      </c>
      <c r="B54" s="6" t="inlineStr">
        <is>
          <t>BALM</t>
        </is>
      </c>
      <c r="C54" s="6">
        <f>INDEX('Fund Master'!$B$2:$B$7,MATCH(B54,'Fund Master'!$A$2:$A$7,0))</f>
        <v/>
      </c>
      <c r="D54" s="6">
        <f>INDEX('Fund Master'!$C$2:$C$7,MATCH(B54,'Fund Master'!$A$2:$A$7,0))</f>
        <v/>
      </c>
      <c r="E54" s="8" t="n">
        <v>457771637.35</v>
      </c>
      <c r="F54" s="8" t="n">
        <v>12445347.71</v>
      </c>
      <c r="G54" s="8" t="n">
        <v>2377242.02</v>
      </c>
      <c r="H54" s="8" t="n">
        <v>3237439.77</v>
      </c>
      <c r="I54" s="8" t="n">
        <v>551241.84</v>
      </c>
      <c r="J54" s="10" t="n">
        <v>23369565.2174</v>
      </c>
      <c r="K54" s="9">
        <f>E54+F54+G54</f>
        <v/>
      </c>
      <c r="L54" s="9">
        <f>H54+I54</f>
        <v/>
      </c>
      <c r="M54" s="9">
        <f>K54-L54</f>
        <v/>
      </c>
      <c r="N54" s="11">
        <f>IFERROR(M54/J54,0)</f>
        <v/>
      </c>
      <c r="O54" s="11">
        <f>IF((B54=B53),N53,"")</f>
        <v/>
      </c>
      <c r="P54" s="12">
        <f>IF(O54="","",IFERROR((N54-O54)/O54,""))</f>
        <v/>
      </c>
      <c r="Q54" s="13">
        <f>INDEX('Fund Master'!$F$2:$F$7,MATCH(B54,'Fund Master'!$A$2:$A$7,0))</f>
        <v/>
      </c>
      <c r="R54" s="9">
        <f>SUMIFS('Capital Activity'!$E$2:$E$385,'Capital Activity'!$A$2:$A$385,A54,'Capital Activity'!$B$2:$B$385,B54)</f>
        <v/>
      </c>
      <c r="S54" s="6">
        <f>IF(O54="","",IF(ABS(P54)*10000&gt;Q54,"NAV MOVE BREACH",""))</f>
        <v/>
      </c>
      <c r="T54" s="6">
        <f>IF(AND((B54=B53),D54&lt;&gt;"Money Market",E54=E53),"STALE PRICE","")</f>
        <v/>
      </c>
      <c r="U54" s="6">
        <f>IF(F54&lt;0,"NEGATIVE CASH","")</f>
        <v/>
      </c>
      <c r="V54" s="6">
        <f>IF(ABS(R54)&gt;0.05*M54,"LARGE FLOW","")</f>
        <v/>
      </c>
      <c r="W54" s="6">
        <f>(S54&lt;&gt;"")*1+(T54&lt;&gt;"")*1+(U54&lt;&gt;"")*1+(V54&lt;&gt;"")*1</f>
        <v/>
      </c>
      <c r="X54" s="6">
        <f>IF(S54&lt;&gt;"",S54,IF(T54&lt;&gt;"",T54,IF(U54&lt;&gt;"",U54,IF(V54&lt;&gt;"",V54,""))))</f>
        <v/>
      </c>
    </row>
    <row r="55">
      <c r="A55" s="6" t="inlineStr">
        <is>
          <t>2026-06-16</t>
        </is>
      </c>
      <c r="B55" s="6" t="inlineStr">
        <is>
          <t>BALM</t>
        </is>
      </c>
      <c r="C55" s="6">
        <f>INDEX('Fund Master'!$B$2:$B$7,MATCH(B55,'Fund Master'!$A$2:$A$7,0))</f>
        <v/>
      </c>
      <c r="D55" s="6">
        <f>INDEX('Fund Master'!$C$2:$C$7,MATCH(B55,'Fund Master'!$A$2:$A$7,0))</f>
        <v/>
      </c>
      <c r="E55" s="8" t="n">
        <v>461588122.58</v>
      </c>
      <c r="F55" s="8" t="n">
        <v>12380224.61</v>
      </c>
      <c r="G55" s="8" t="n">
        <v>2382214.73</v>
      </c>
      <c r="H55" s="8" t="n">
        <v>3266057.79</v>
      </c>
      <c r="I55" s="8" t="n">
        <v>562232.03</v>
      </c>
      <c r="J55" s="10" t="n">
        <v>23369565.2174</v>
      </c>
      <c r="K55" s="9">
        <f>E55+F55+G55</f>
        <v/>
      </c>
      <c r="L55" s="9">
        <f>H55+I55</f>
        <v/>
      </c>
      <c r="M55" s="9">
        <f>K55-L55</f>
        <v/>
      </c>
      <c r="N55" s="11">
        <f>IFERROR(M55/J55,0)</f>
        <v/>
      </c>
      <c r="O55" s="11">
        <f>IF((B55=B54),N54,"")</f>
        <v/>
      </c>
      <c r="P55" s="12">
        <f>IF(O55="","",IFERROR((N55-O55)/O55,""))</f>
        <v/>
      </c>
      <c r="Q55" s="13">
        <f>INDEX('Fund Master'!$F$2:$F$7,MATCH(B55,'Fund Master'!$A$2:$A$7,0))</f>
        <v/>
      </c>
      <c r="R55" s="9">
        <f>SUMIFS('Capital Activity'!$E$2:$E$385,'Capital Activity'!$A$2:$A$385,A55,'Capital Activity'!$B$2:$B$385,B55)</f>
        <v/>
      </c>
      <c r="S55" s="6">
        <f>IF(O55="","",IF(ABS(P55)*10000&gt;Q55,"NAV MOVE BREACH",""))</f>
        <v/>
      </c>
      <c r="T55" s="6">
        <f>IF(AND((B55=B54),D55&lt;&gt;"Money Market",E55=E54),"STALE PRICE","")</f>
        <v/>
      </c>
      <c r="U55" s="6">
        <f>IF(F55&lt;0,"NEGATIVE CASH","")</f>
        <v/>
      </c>
      <c r="V55" s="6">
        <f>IF(ABS(R55)&gt;0.05*M55,"LARGE FLOW","")</f>
        <v/>
      </c>
      <c r="W55" s="6">
        <f>(S55&lt;&gt;"")*1+(T55&lt;&gt;"")*1+(U55&lt;&gt;"")*1+(V55&lt;&gt;"")*1</f>
        <v/>
      </c>
      <c r="X55" s="6">
        <f>IF(S55&lt;&gt;"",S55,IF(T55&lt;&gt;"",T55,IF(U55&lt;&gt;"",U55,IF(V55&lt;&gt;"",V55,""))))</f>
        <v/>
      </c>
    </row>
    <row r="56">
      <c r="A56" s="6" t="inlineStr">
        <is>
          <t>2026-06-17</t>
        </is>
      </c>
      <c r="B56" s="6" t="inlineStr">
        <is>
          <t>BALM</t>
        </is>
      </c>
      <c r="C56" s="6">
        <f>INDEX('Fund Master'!$B$2:$B$7,MATCH(B56,'Fund Master'!$A$2:$A$7,0))</f>
        <v/>
      </c>
      <c r="D56" s="6">
        <f>INDEX('Fund Master'!$C$2:$C$7,MATCH(B56,'Fund Master'!$A$2:$A$7,0))</f>
        <v/>
      </c>
      <c r="E56" s="8" t="n">
        <v>461300808.24</v>
      </c>
      <c r="F56" s="8" t="n">
        <v>12488636.97</v>
      </c>
      <c r="G56" s="8" t="n">
        <v>2282475.73</v>
      </c>
      <c r="H56" s="8" t="n">
        <v>3215592.87</v>
      </c>
      <c r="I56" s="8" t="n">
        <v>573215.39</v>
      </c>
      <c r="J56" s="10" t="n">
        <v>23369565.2174</v>
      </c>
      <c r="K56" s="9">
        <f>E56+F56+G56</f>
        <v/>
      </c>
      <c r="L56" s="9">
        <f>H56+I56</f>
        <v/>
      </c>
      <c r="M56" s="9">
        <f>K56-L56</f>
        <v/>
      </c>
      <c r="N56" s="11">
        <f>IFERROR(M56/J56,0)</f>
        <v/>
      </c>
      <c r="O56" s="11">
        <f>IF((B56=B55),N55,"")</f>
        <v/>
      </c>
      <c r="P56" s="12">
        <f>IF(O56="","",IFERROR((N56-O56)/O56,""))</f>
        <v/>
      </c>
      <c r="Q56" s="13">
        <f>INDEX('Fund Master'!$F$2:$F$7,MATCH(B56,'Fund Master'!$A$2:$A$7,0))</f>
        <v/>
      </c>
      <c r="R56" s="9">
        <f>SUMIFS('Capital Activity'!$E$2:$E$385,'Capital Activity'!$A$2:$A$385,A56,'Capital Activity'!$B$2:$B$385,B56)</f>
        <v/>
      </c>
      <c r="S56" s="6">
        <f>IF(O56="","",IF(ABS(P56)*10000&gt;Q56,"NAV MOVE BREACH",""))</f>
        <v/>
      </c>
      <c r="T56" s="6">
        <f>IF(AND((B56=B55),D56&lt;&gt;"Money Market",E56=E55),"STALE PRICE","")</f>
        <v/>
      </c>
      <c r="U56" s="6">
        <f>IF(F56&lt;0,"NEGATIVE CASH","")</f>
        <v/>
      </c>
      <c r="V56" s="6">
        <f>IF(ABS(R56)&gt;0.05*M56,"LARGE FLOW","")</f>
        <v/>
      </c>
      <c r="W56" s="6">
        <f>(S56&lt;&gt;"")*1+(T56&lt;&gt;"")*1+(U56&lt;&gt;"")*1+(V56&lt;&gt;"")*1</f>
        <v/>
      </c>
      <c r="X56" s="6">
        <f>IF(S56&lt;&gt;"",S56,IF(T56&lt;&gt;"",T56,IF(U56&lt;&gt;"",U56,IF(V56&lt;&gt;"",V56,""))))</f>
        <v/>
      </c>
    </row>
    <row r="57">
      <c r="A57" s="6" t="inlineStr">
        <is>
          <t>2026-06-18</t>
        </is>
      </c>
      <c r="B57" s="6" t="inlineStr">
        <is>
          <t>BALM</t>
        </is>
      </c>
      <c r="C57" s="6">
        <f>INDEX('Fund Master'!$B$2:$B$7,MATCH(B57,'Fund Master'!$A$2:$A$7,0))</f>
        <v/>
      </c>
      <c r="D57" s="6">
        <f>INDEX('Fund Master'!$C$2:$C$7,MATCH(B57,'Fund Master'!$A$2:$A$7,0))</f>
        <v/>
      </c>
      <c r="E57" s="8" t="n">
        <v>466810287.18</v>
      </c>
      <c r="F57" s="8" t="n">
        <v>12525860.61</v>
      </c>
      <c r="G57" s="8" t="n">
        <v>2334908.58</v>
      </c>
      <c r="H57" s="8" t="n">
        <v>3358480.15</v>
      </c>
      <c r="I57" s="8" t="n">
        <v>584329.92</v>
      </c>
      <c r="J57" s="10" t="n">
        <v>23369565.2174</v>
      </c>
      <c r="K57" s="9">
        <f>E57+F57+G57</f>
        <v/>
      </c>
      <c r="L57" s="9">
        <f>H57+I57</f>
        <v/>
      </c>
      <c r="M57" s="9">
        <f>K57-L57</f>
        <v/>
      </c>
      <c r="N57" s="11">
        <f>IFERROR(M57/J57,0)</f>
        <v/>
      </c>
      <c r="O57" s="11">
        <f>IF((B57=B56),N56,"")</f>
        <v/>
      </c>
      <c r="P57" s="12">
        <f>IF(O57="","",IFERROR((N57-O57)/O57,""))</f>
        <v/>
      </c>
      <c r="Q57" s="13">
        <f>INDEX('Fund Master'!$F$2:$F$7,MATCH(B57,'Fund Master'!$A$2:$A$7,0))</f>
        <v/>
      </c>
      <c r="R57" s="9">
        <f>SUMIFS('Capital Activity'!$E$2:$E$385,'Capital Activity'!$A$2:$A$385,A57,'Capital Activity'!$B$2:$B$385,B57)</f>
        <v/>
      </c>
      <c r="S57" s="6">
        <f>IF(O57="","",IF(ABS(P57)*10000&gt;Q57,"NAV MOVE BREACH",""))</f>
        <v/>
      </c>
      <c r="T57" s="6">
        <f>IF(AND((B57=B56),D57&lt;&gt;"Money Market",E57=E56),"STALE PRICE","")</f>
        <v/>
      </c>
      <c r="U57" s="6">
        <f>IF(F57&lt;0,"NEGATIVE CASH","")</f>
        <v/>
      </c>
      <c r="V57" s="6">
        <f>IF(ABS(R57)&gt;0.05*M57,"LARGE FLOW","")</f>
        <v/>
      </c>
      <c r="W57" s="6">
        <f>(S57&lt;&gt;"")*1+(T57&lt;&gt;"")*1+(U57&lt;&gt;"")*1+(V57&lt;&gt;"")*1</f>
        <v/>
      </c>
      <c r="X57" s="6">
        <f>IF(S57&lt;&gt;"",S57,IF(T57&lt;&gt;"",T57,IF(U57&lt;&gt;"",U57,IF(V57&lt;&gt;"",V57,""))))</f>
        <v/>
      </c>
    </row>
    <row r="58">
      <c r="A58" s="6" t="inlineStr">
        <is>
          <t>2026-06-19</t>
        </is>
      </c>
      <c r="B58" s="6" t="inlineStr">
        <is>
          <t>BALM</t>
        </is>
      </c>
      <c r="C58" s="6">
        <f>INDEX('Fund Master'!$B$2:$B$7,MATCH(B58,'Fund Master'!$A$2:$A$7,0))</f>
        <v/>
      </c>
      <c r="D58" s="6">
        <f>INDEX('Fund Master'!$C$2:$C$7,MATCH(B58,'Fund Master'!$A$2:$A$7,0))</f>
        <v/>
      </c>
      <c r="E58" s="8" t="n">
        <v>462060743.22</v>
      </c>
      <c r="F58" s="8" t="n">
        <v>12748451.04</v>
      </c>
      <c r="G58" s="8" t="n">
        <v>2249954.06</v>
      </c>
      <c r="H58" s="8" t="n">
        <v>3607999.85</v>
      </c>
      <c r="I58" s="8" t="n">
        <v>595331.36</v>
      </c>
      <c r="J58" s="10" t="n">
        <v>23369565.2174</v>
      </c>
      <c r="K58" s="9">
        <f>E58+F58+G58</f>
        <v/>
      </c>
      <c r="L58" s="9">
        <f>H58+I58</f>
        <v/>
      </c>
      <c r="M58" s="9">
        <f>K58-L58</f>
        <v/>
      </c>
      <c r="N58" s="11">
        <f>IFERROR(M58/J58,0)</f>
        <v/>
      </c>
      <c r="O58" s="11">
        <f>IF((B58=B57),N57,"")</f>
        <v/>
      </c>
      <c r="P58" s="12">
        <f>IF(O58="","",IFERROR((N58-O58)/O58,""))</f>
        <v/>
      </c>
      <c r="Q58" s="13">
        <f>INDEX('Fund Master'!$F$2:$F$7,MATCH(B58,'Fund Master'!$A$2:$A$7,0))</f>
        <v/>
      </c>
      <c r="R58" s="9">
        <f>SUMIFS('Capital Activity'!$E$2:$E$385,'Capital Activity'!$A$2:$A$385,A58,'Capital Activity'!$B$2:$B$385,B58)</f>
        <v/>
      </c>
      <c r="S58" s="6">
        <f>IF(O58="","",IF(ABS(P58)*10000&gt;Q58,"NAV MOVE BREACH",""))</f>
        <v/>
      </c>
      <c r="T58" s="6">
        <f>IF(AND((B58=B57),D58&lt;&gt;"Money Market",E58=E57),"STALE PRICE","")</f>
        <v/>
      </c>
      <c r="U58" s="6">
        <f>IF(F58&lt;0,"NEGATIVE CASH","")</f>
        <v/>
      </c>
      <c r="V58" s="6">
        <f>IF(ABS(R58)&gt;0.05*M58,"LARGE FLOW","")</f>
        <v/>
      </c>
      <c r="W58" s="6">
        <f>(S58&lt;&gt;"")*1+(T58&lt;&gt;"")*1+(U58&lt;&gt;"")*1+(V58&lt;&gt;"")*1</f>
        <v/>
      </c>
      <c r="X58" s="6">
        <f>IF(S58&lt;&gt;"",S58,IF(T58&lt;&gt;"",T58,IF(U58&lt;&gt;"",U58,IF(V58&lt;&gt;"",V58,""))))</f>
        <v/>
      </c>
    </row>
    <row r="59">
      <c r="A59" s="6" t="inlineStr">
        <is>
          <t>2026-06-22</t>
        </is>
      </c>
      <c r="B59" s="6" t="inlineStr">
        <is>
          <t>BALM</t>
        </is>
      </c>
      <c r="C59" s="6">
        <f>INDEX('Fund Master'!$B$2:$B$7,MATCH(B59,'Fund Master'!$A$2:$A$7,0))</f>
        <v/>
      </c>
      <c r="D59" s="6">
        <f>INDEX('Fund Master'!$C$2:$C$7,MATCH(B59,'Fund Master'!$A$2:$A$7,0))</f>
        <v/>
      </c>
      <c r="E59" s="8" t="n">
        <v>466998484.97</v>
      </c>
      <c r="F59" s="8" t="n">
        <v>13446790.82</v>
      </c>
      <c r="G59" s="8" t="n">
        <v>2505050.42</v>
      </c>
      <c r="H59" s="8" t="n">
        <v>3735987.88</v>
      </c>
      <c r="I59" s="8" t="n">
        <v>606450.38</v>
      </c>
      <c r="J59" s="10" t="n">
        <v>23369565.2174</v>
      </c>
      <c r="K59" s="9">
        <f>E59+F59+G59</f>
        <v/>
      </c>
      <c r="L59" s="9">
        <f>H59+I59</f>
        <v/>
      </c>
      <c r="M59" s="9">
        <f>K59-L59</f>
        <v/>
      </c>
      <c r="N59" s="11">
        <f>IFERROR(M59/J59,0)</f>
        <v/>
      </c>
      <c r="O59" s="11">
        <f>IF((B59=B58),N58,"")</f>
        <v/>
      </c>
      <c r="P59" s="12">
        <f>IF(O59="","",IFERROR((N59-O59)/O59,""))</f>
        <v/>
      </c>
      <c r="Q59" s="13">
        <f>INDEX('Fund Master'!$F$2:$F$7,MATCH(B59,'Fund Master'!$A$2:$A$7,0))</f>
        <v/>
      </c>
      <c r="R59" s="9">
        <f>SUMIFS('Capital Activity'!$E$2:$E$385,'Capital Activity'!$A$2:$A$385,A59,'Capital Activity'!$B$2:$B$385,B59)</f>
        <v/>
      </c>
      <c r="S59" s="6">
        <f>IF(O59="","",IF(ABS(P59)*10000&gt;Q59,"NAV MOVE BREACH",""))</f>
        <v/>
      </c>
      <c r="T59" s="6">
        <f>IF(AND((B59=B58),D59&lt;&gt;"Money Market",E59=E58),"STALE PRICE","")</f>
        <v/>
      </c>
      <c r="U59" s="6">
        <f>IF(F59&lt;0,"NEGATIVE CASH","")</f>
        <v/>
      </c>
      <c r="V59" s="6">
        <f>IF(ABS(R59)&gt;0.05*M59,"LARGE FLOW","")</f>
        <v/>
      </c>
      <c r="W59" s="6">
        <f>(S59&lt;&gt;"")*1+(T59&lt;&gt;"")*1+(U59&lt;&gt;"")*1+(V59&lt;&gt;"")*1</f>
        <v/>
      </c>
      <c r="X59" s="6">
        <f>IF(S59&lt;&gt;"",S59,IF(T59&lt;&gt;"",T59,IF(U59&lt;&gt;"",U59,IF(V59&lt;&gt;"",V59,""))))</f>
        <v/>
      </c>
    </row>
    <row r="60">
      <c r="A60" s="6" t="inlineStr">
        <is>
          <t>2026-06-23</t>
        </is>
      </c>
      <c r="B60" s="6" t="inlineStr">
        <is>
          <t>BALM</t>
        </is>
      </c>
      <c r="C60" s="6">
        <f>INDEX('Fund Master'!$B$2:$B$7,MATCH(B60,'Fund Master'!$A$2:$A$7,0))</f>
        <v/>
      </c>
      <c r="D60" s="6">
        <f>INDEX('Fund Master'!$C$2:$C$7,MATCH(B60,'Fund Master'!$A$2:$A$7,0))</f>
        <v/>
      </c>
      <c r="E60" s="8" t="n">
        <v>469563640.08</v>
      </c>
      <c r="F60" s="8" t="n">
        <v>13365362.04</v>
      </c>
      <c r="G60" s="8" t="n">
        <v>2426603.15</v>
      </c>
      <c r="H60" s="8" t="n">
        <v>3756128.84</v>
      </c>
      <c r="I60" s="8" t="n">
        <v>617630.46</v>
      </c>
      <c r="J60" s="10" t="n">
        <v>23369565.2174</v>
      </c>
      <c r="K60" s="9">
        <f>E60+F60+G60</f>
        <v/>
      </c>
      <c r="L60" s="9">
        <f>H60+I60</f>
        <v/>
      </c>
      <c r="M60" s="9">
        <f>K60-L60</f>
        <v/>
      </c>
      <c r="N60" s="11">
        <f>IFERROR(M60/J60,0)</f>
        <v/>
      </c>
      <c r="O60" s="11">
        <f>IF((B60=B59),N59,"")</f>
        <v/>
      </c>
      <c r="P60" s="12">
        <f>IF(O60="","",IFERROR((N60-O60)/O60,""))</f>
        <v/>
      </c>
      <c r="Q60" s="13">
        <f>INDEX('Fund Master'!$F$2:$F$7,MATCH(B60,'Fund Master'!$A$2:$A$7,0))</f>
        <v/>
      </c>
      <c r="R60" s="9">
        <f>SUMIFS('Capital Activity'!$E$2:$E$385,'Capital Activity'!$A$2:$A$385,A60,'Capital Activity'!$B$2:$B$385,B60)</f>
        <v/>
      </c>
      <c r="S60" s="6">
        <f>IF(O60="","",IF(ABS(P60)*10000&gt;Q60,"NAV MOVE BREACH",""))</f>
        <v/>
      </c>
      <c r="T60" s="6">
        <f>IF(AND((B60=B59),D60&lt;&gt;"Money Market",E60=E59),"STALE PRICE","")</f>
        <v/>
      </c>
      <c r="U60" s="6">
        <f>IF(F60&lt;0,"NEGATIVE CASH","")</f>
        <v/>
      </c>
      <c r="V60" s="6">
        <f>IF(ABS(R60)&gt;0.05*M60,"LARGE FLOW","")</f>
        <v/>
      </c>
      <c r="W60" s="6">
        <f>(S60&lt;&gt;"")*1+(T60&lt;&gt;"")*1+(U60&lt;&gt;"")*1+(V60&lt;&gt;"")*1</f>
        <v/>
      </c>
      <c r="X60" s="6">
        <f>IF(S60&lt;&gt;"",S60,IF(T60&lt;&gt;"",T60,IF(U60&lt;&gt;"",U60,IF(V60&lt;&gt;"",V60,""))))</f>
        <v/>
      </c>
    </row>
    <row r="61">
      <c r="A61" s="6" t="inlineStr">
        <is>
          <t>2026-06-24</t>
        </is>
      </c>
      <c r="B61" s="6" t="inlineStr">
        <is>
          <t>BALM</t>
        </is>
      </c>
      <c r="C61" s="6">
        <f>INDEX('Fund Master'!$B$2:$B$7,MATCH(B61,'Fund Master'!$A$2:$A$7,0))</f>
        <v/>
      </c>
      <c r="D61" s="6">
        <f>INDEX('Fund Master'!$C$2:$C$7,MATCH(B61,'Fund Master'!$A$2:$A$7,0))</f>
        <v/>
      </c>
      <c r="E61" s="8" t="n">
        <v>471881140.74</v>
      </c>
      <c r="F61" s="8" t="n">
        <v>13701800.21</v>
      </c>
      <c r="G61" s="8" t="n">
        <v>2448591.7</v>
      </c>
      <c r="H61" s="8" t="n">
        <v>3775049.13</v>
      </c>
      <c r="I61" s="8" t="n">
        <v>628865.73</v>
      </c>
      <c r="J61" s="10" t="n">
        <v>23369565.2174</v>
      </c>
      <c r="K61" s="9">
        <f>E61+F61+G61</f>
        <v/>
      </c>
      <c r="L61" s="9">
        <f>H61+I61</f>
        <v/>
      </c>
      <c r="M61" s="9">
        <f>K61-L61</f>
        <v/>
      </c>
      <c r="N61" s="11">
        <f>IFERROR(M61/J61,0)</f>
        <v/>
      </c>
      <c r="O61" s="11">
        <f>IF((B61=B60),N60,"")</f>
        <v/>
      </c>
      <c r="P61" s="12">
        <f>IF(O61="","",IFERROR((N61-O61)/O61,""))</f>
        <v/>
      </c>
      <c r="Q61" s="13">
        <f>INDEX('Fund Master'!$F$2:$F$7,MATCH(B61,'Fund Master'!$A$2:$A$7,0))</f>
        <v/>
      </c>
      <c r="R61" s="9">
        <f>SUMIFS('Capital Activity'!$E$2:$E$385,'Capital Activity'!$A$2:$A$385,A61,'Capital Activity'!$B$2:$B$385,B61)</f>
        <v/>
      </c>
      <c r="S61" s="6">
        <f>IF(O61="","",IF(ABS(P61)*10000&gt;Q61,"NAV MOVE BREACH",""))</f>
        <v/>
      </c>
      <c r="T61" s="6">
        <f>IF(AND((B61=B60),D61&lt;&gt;"Money Market",E61=E60),"STALE PRICE","")</f>
        <v/>
      </c>
      <c r="U61" s="6">
        <f>IF(F61&lt;0,"NEGATIVE CASH","")</f>
        <v/>
      </c>
      <c r="V61" s="6">
        <f>IF(ABS(R61)&gt;0.05*M61,"LARGE FLOW","")</f>
        <v/>
      </c>
      <c r="W61" s="6">
        <f>(S61&lt;&gt;"")*1+(T61&lt;&gt;"")*1+(U61&lt;&gt;"")*1+(V61&lt;&gt;"")*1</f>
        <v/>
      </c>
      <c r="X61" s="6">
        <f>IF(S61&lt;&gt;"",S61,IF(T61&lt;&gt;"",T61,IF(U61&lt;&gt;"",U61,IF(V61&lt;&gt;"",V61,""))))</f>
        <v/>
      </c>
    </row>
    <row r="62">
      <c r="A62" s="6" t="inlineStr">
        <is>
          <t>2026-06-25</t>
        </is>
      </c>
      <c r="B62" s="6" t="inlineStr">
        <is>
          <t>BALM</t>
        </is>
      </c>
      <c r="C62" s="6">
        <f>INDEX('Fund Master'!$B$2:$B$7,MATCH(B62,'Fund Master'!$A$2:$A$7,0))</f>
        <v/>
      </c>
      <c r="D62" s="6">
        <f>INDEX('Fund Master'!$C$2:$C$7,MATCH(B62,'Fund Master'!$A$2:$A$7,0))</f>
        <v/>
      </c>
      <c r="E62" s="8" t="n">
        <v>469675383.41</v>
      </c>
      <c r="F62" s="8" t="n">
        <v>13111752.85</v>
      </c>
      <c r="G62" s="8" t="n">
        <v>2427826.09</v>
      </c>
      <c r="H62" s="8" t="n">
        <v>3743679.43</v>
      </c>
      <c r="I62" s="8" t="n">
        <v>640048.47</v>
      </c>
      <c r="J62" s="10" t="n">
        <v>23369565.2174</v>
      </c>
      <c r="K62" s="9">
        <f>E62+F62+G62</f>
        <v/>
      </c>
      <c r="L62" s="9">
        <f>H62+I62</f>
        <v/>
      </c>
      <c r="M62" s="9">
        <f>K62-L62</f>
        <v/>
      </c>
      <c r="N62" s="11">
        <f>IFERROR(M62/J62,0)</f>
        <v/>
      </c>
      <c r="O62" s="11">
        <f>IF((B62=B61),N61,"")</f>
        <v/>
      </c>
      <c r="P62" s="12">
        <f>IF(O62="","",IFERROR((N62-O62)/O62,""))</f>
        <v/>
      </c>
      <c r="Q62" s="13">
        <f>INDEX('Fund Master'!$F$2:$F$7,MATCH(B62,'Fund Master'!$A$2:$A$7,0))</f>
        <v/>
      </c>
      <c r="R62" s="9">
        <f>SUMIFS('Capital Activity'!$E$2:$E$385,'Capital Activity'!$A$2:$A$385,A62,'Capital Activity'!$B$2:$B$385,B62)</f>
        <v/>
      </c>
      <c r="S62" s="6">
        <f>IF(O62="","",IF(ABS(P62)*10000&gt;Q62,"NAV MOVE BREACH",""))</f>
        <v/>
      </c>
      <c r="T62" s="6">
        <f>IF(AND((B62=B61),D62&lt;&gt;"Money Market",E62=E61),"STALE PRICE","")</f>
        <v/>
      </c>
      <c r="U62" s="6">
        <f>IF(F62&lt;0,"NEGATIVE CASH","")</f>
        <v/>
      </c>
      <c r="V62" s="6">
        <f>IF(ABS(R62)&gt;0.05*M62,"LARGE FLOW","")</f>
        <v/>
      </c>
      <c r="W62" s="6">
        <f>(S62&lt;&gt;"")*1+(T62&lt;&gt;"")*1+(U62&lt;&gt;"")*1+(V62&lt;&gt;"")*1</f>
        <v/>
      </c>
      <c r="X62" s="6">
        <f>IF(S62&lt;&gt;"",S62,IF(T62&lt;&gt;"",T62,IF(U62&lt;&gt;"",U62,IF(V62&lt;&gt;"",V62,""))))</f>
        <v/>
      </c>
    </row>
    <row r="63">
      <c r="A63" s="6" t="inlineStr">
        <is>
          <t>2026-06-26</t>
        </is>
      </c>
      <c r="B63" s="6" t="inlineStr">
        <is>
          <t>BALM</t>
        </is>
      </c>
      <c r="C63" s="6">
        <f>INDEX('Fund Master'!$B$2:$B$7,MATCH(B63,'Fund Master'!$A$2:$A$7,0))</f>
        <v/>
      </c>
      <c r="D63" s="6">
        <f>INDEX('Fund Master'!$C$2:$C$7,MATCH(B63,'Fund Master'!$A$2:$A$7,0))</f>
        <v/>
      </c>
      <c r="E63" s="8" t="n">
        <v>466498278.18</v>
      </c>
      <c r="F63" s="8" t="n">
        <v>13542017.38</v>
      </c>
      <c r="G63" s="8" t="n">
        <v>2548109.56</v>
      </c>
      <c r="H63" s="8" t="n">
        <v>3731986.23</v>
      </c>
      <c r="I63" s="8" t="n">
        <v>651155.58</v>
      </c>
      <c r="J63" s="10" t="n">
        <v>23369565.2174</v>
      </c>
      <c r="K63" s="9">
        <f>E63+F63+G63</f>
        <v/>
      </c>
      <c r="L63" s="9">
        <f>H63+I63</f>
        <v/>
      </c>
      <c r="M63" s="9">
        <f>K63-L63</f>
        <v/>
      </c>
      <c r="N63" s="11">
        <f>IFERROR(M63/J63,0)</f>
        <v/>
      </c>
      <c r="O63" s="11">
        <f>IF((B63=B62),N62,"")</f>
        <v/>
      </c>
      <c r="P63" s="12">
        <f>IF(O63="","",IFERROR((N63-O63)/O63,""))</f>
        <v/>
      </c>
      <c r="Q63" s="13">
        <f>INDEX('Fund Master'!$F$2:$F$7,MATCH(B63,'Fund Master'!$A$2:$A$7,0))</f>
        <v/>
      </c>
      <c r="R63" s="9">
        <f>SUMIFS('Capital Activity'!$E$2:$E$385,'Capital Activity'!$A$2:$A$385,A63,'Capital Activity'!$B$2:$B$385,B63)</f>
        <v/>
      </c>
      <c r="S63" s="6">
        <f>IF(O63="","",IF(ABS(P63)*10000&gt;Q63,"NAV MOVE BREACH",""))</f>
        <v/>
      </c>
      <c r="T63" s="6">
        <f>IF(AND((B63=B62),D63&lt;&gt;"Money Market",E63=E62),"STALE PRICE","")</f>
        <v/>
      </c>
      <c r="U63" s="6">
        <f>IF(F63&lt;0,"NEGATIVE CASH","")</f>
        <v/>
      </c>
      <c r="V63" s="6">
        <f>IF(ABS(R63)&gt;0.05*M63,"LARGE FLOW","")</f>
        <v/>
      </c>
      <c r="W63" s="6">
        <f>(S63&lt;&gt;"")*1+(T63&lt;&gt;"")*1+(U63&lt;&gt;"")*1+(V63&lt;&gt;"")*1</f>
        <v/>
      </c>
      <c r="X63" s="6">
        <f>IF(S63&lt;&gt;"",S63,IF(T63&lt;&gt;"",T63,IF(U63&lt;&gt;"",U63,IF(V63&lt;&gt;"",V63,""))))</f>
        <v/>
      </c>
    </row>
    <row r="64">
      <c r="A64" s="6" t="inlineStr">
        <is>
          <t>2026-06-29</t>
        </is>
      </c>
      <c r="B64" s="6" t="inlineStr">
        <is>
          <t>BALM</t>
        </is>
      </c>
      <c r="C64" s="6">
        <f>INDEX('Fund Master'!$B$2:$B$7,MATCH(B64,'Fund Master'!$A$2:$A$7,0))</f>
        <v/>
      </c>
      <c r="D64" s="6">
        <f>INDEX('Fund Master'!$C$2:$C$7,MATCH(B64,'Fund Master'!$A$2:$A$7,0))</f>
        <v/>
      </c>
      <c r="E64" s="8" t="n">
        <v>465410867.86</v>
      </c>
      <c r="F64" s="8" t="n">
        <v>13814480.12</v>
      </c>
      <c r="G64" s="8" t="n">
        <v>2752675.57</v>
      </c>
      <c r="H64" s="8" t="n">
        <v>3723286.94</v>
      </c>
      <c r="I64" s="8" t="n">
        <v>662236.79</v>
      </c>
      <c r="J64" s="10" t="n">
        <v>23369565.2174</v>
      </c>
      <c r="K64" s="9">
        <f>E64+F64+G64</f>
        <v/>
      </c>
      <c r="L64" s="9">
        <f>H64+I64</f>
        <v/>
      </c>
      <c r="M64" s="9">
        <f>K64-L64</f>
        <v/>
      </c>
      <c r="N64" s="11">
        <f>IFERROR(M64/J64,0)</f>
        <v/>
      </c>
      <c r="O64" s="11">
        <f>IF((B64=B63),N63,"")</f>
        <v/>
      </c>
      <c r="P64" s="12">
        <f>IF(O64="","",IFERROR((N64-O64)/O64,""))</f>
        <v/>
      </c>
      <c r="Q64" s="13">
        <f>INDEX('Fund Master'!$F$2:$F$7,MATCH(B64,'Fund Master'!$A$2:$A$7,0))</f>
        <v/>
      </c>
      <c r="R64" s="9">
        <f>SUMIFS('Capital Activity'!$E$2:$E$385,'Capital Activity'!$A$2:$A$385,A64,'Capital Activity'!$B$2:$B$385,B64)</f>
        <v/>
      </c>
      <c r="S64" s="6">
        <f>IF(O64="","",IF(ABS(P64)*10000&gt;Q64,"NAV MOVE BREACH",""))</f>
        <v/>
      </c>
      <c r="T64" s="6">
        <f>IF(AND((B64=B63),D64&lt;&gt;"Money Market",E64=E63),"STALE PRICE","")</f>
        <v/>
      </c>
      <c r="U64" s="6">
        <f>IF(F64&lt;0,"NEGATIVE CASH","")</f>
        <v/>
      </c>
      <c r="V64" s="6">
        <f>IF(ABS(R64)&gt;0.05*M64,"LARGE FLOW","")</f>
        <v/>
      </c>
      <c r="W64" s="6">
        <f>(S64&lt;&gt;"")*1+(T64&lt;&gt;"")*1+(U64&lt;&gt;"")*1+(V64&lt;&gt;"")*1</f>
        <v/>
      </c>
      <c r="X64" s="6">
        <f>IF(S64&lt;&gt;"",S64,IF(T64&lt;&gt;"",T64,IF(U64&lt;&gt;"",U64,IF(V64&lt;&gt;"",V64,""))))</f>
        <v/>
      </c>
    </row>
    <row r="65">
      <c r="A65" s="6" t="inlineStr">
        <is>
          <t>2026-06-30</t>
        </is>
      </c>
      <c r="B65" s="6" t="inlineStr">
        <is>
          <t>BALM</t>
        </is>
      </c>
      <c r="C65" s="6">
        <f>INDEX('Fund Master'!$B$2:$B$7,MATCH(B65,'Fund Master'!$A$2:$A$7,0))</f>
        <v/>
      </c>
      <c r="D65" s="6">
        <f>INDEX('Fund Master'!$C$2:$C$7,MATCH(B65,'Fund Master'!$A$2:$A$7,0))</f>
        <v/>
      </c>
      <c r="E65" s="8" t="n">
        <v>465949825.97</v>
      </c>
      <c r="F65" s="8" t="n">
        <v>13336075.24</v>
      </c>
      <c r="G65" s="8" t="n">
        <v>2792002.42</v>
      </c>
      <c r="H65" s="8" t="n">
        <v>3711092.51</v>
      </c>
      <c r="I65" s="8" t="n">
        <v>673330.83</v>
      </c>
      <c r="J65" s="10" t="n">
        <v>23369565.2174</v>
      </c>
      <c r="K65" s="9">
        <f>E65+F65+G65</f>
        <v/>
      </c>
      <c r="L65" s="9">
        <f>H65+I65</f>
        <v/>
      </c>
      <c r="M65" s="9">
        <f>K65-L65</f>
        <v/>
      </c>
      <c r="N65" s="11">
        <f>IFERROR(M65/J65,0)</f>
        <v/>
      </c>
      <c r="O65" s="11">
        <f>IF((B65=B64),N64,"")</f>
        <v/>
      </c>
      <c r="P65" s="12">
        <f>IF(O65="","",IFERROR((N65-O65)/O65,""))</f>
        <v/>
      </c>
      <c r="Q65" s="13">
        <f>INDEX('Fund Master'!$F$2:$F$7,MATCH(B65,'Fund Master'!$A$2:$A$7,0))</f>
        <v/>
      </c>
      <c r="R65" s="9">
        <f>SUMIFS('Capital Activity'!$E$2:$E$385,'Capital Activity'!$A$2:$A$385,A65,'Capital Activity'!$B$2:$B$385,B65)</f>
        <v/>
      </c>
      <c r="S65" s="6">
        <f>IF(O65="","",IF(ABS(P65)*10000&gt;Q65,"NAV MOVE BREACH",""))</f>
        <v/>
      </c>
      <c r="T65" s="6">
        <f>IF(AND((B65=B64),D65&lt;&gt;"Money Market",E65=E64),"STALE PRICE","")</f>
        <v/>
      </c>
      <c r="U65" s="6">
        <f>IF(F65&lt;0,"NEGATIVE CASH","")</f>
        <v/>
      </c>
      <c r="V65" s="6">
        <f>IF(ABS(R65)&gt;0.05*M65,"LARGE FLOW","")</f>
        <v/>
      </c>
      <c r="W65" s="6">
        <f>(S65&lt;&gt;"")*1+(T65&lt;&gt;"")*1+(U65&lt;&gt;"")*1+(V65&lt;&gt;"")*1</f>
        <v/>
      </c>
      <c r="X65" s="6">
        <f>IF(S65&lt;&gt;"",S65,IF(T65&lt;&gt;"",T65,IF(U65&lt;&gt;"",U65,IF(V65&lt;&gt;"",V65,""))))</f>
        <v/>
      </c>
    </row>
    <row r="66">
      <c r="A66" s="6" t="inlineStr">
        <is>
          <t>2026-04-01</t>
        </is>
      </c>
      <c r="B66" s="6" t="inlineStr">
        <is>
          <t>EQEM</t>
        </is>
      </c>
      <c r="C66" s="6">
        <f>INDEX('Fund Master'!$B$2:$B$7,MATCH(B66,'Fund Master'!$A$2:$A$7,0))</f>
        <v/>
      </c>
      <c r="D66" s="6">
        <f>INDEX('Fund Master'!$C$2:$C$7,MATCH(B66,'Fund Master'!$A$2:$A$7,0))</f>
        <v/>
      </c>
      <c r="E66" s="8" t="n">
        <v>306767364.25</v>
      </c>
      <c r="F66" s="8" t="n">
        <v>9230702.470000001</v>
      </c>
      <c r="G66" s="8" t="n">
        <v>1865765.68</v>
      </c>
      <c r="H66" s="8" t="n">
        <v>1671968.34</v>
      </c>
      <c r="I66" s="8" t="n">
        <v>10955.98</v>
      </c>
      <c r="J66" s="10" t="n">
        <v>20394736.8421</v>
      </c>
      <c r="K66" s="9">
        <f>E66+F66+G66</f>
        <v/>
      </c>
      <c r="L66" s="9">
        <f>H66+I66</f>
        <v/>
      </c>
      <c r="M66" s="9">
        <f>K66-L66</f>
        <v/>
      </c>
      <c r="N66" s="11">
        <f>IFERROR(M66/J66,0)</f>
        <v/>
      </c>
      <c r="O66" s="11">
        <f>IF((B66=B65),N65,"")</f>
        <v/>
      </c>
      <c r="P66" s="12">
        <f>IF(O66="","",IFERROR((N66-O66)/O66,""))</f>
        <v/>
      </c>
      <c r="Q66" s="13">
        <f>INDEX('Fund Master'!$F$2:$F$7,MATCH(B66,'Fund Master'!$A$2:$A$7,0))</f>
        <v/>
      </c>
      <c r="R66" s="9">
        <f>SUMIFS('Capital Activity'!$E$2:$E$385,'Capital Activity'!$A$2:$A$385,A66,'Capital Activity'!$B$2:$B$385,B66)</f>
        <v/>
      </c>
      <c r="S66" s="6">
        <f>IF(O66="","",IF(ABS(P66)*10000&gt;Q66,"NAV MOVE BREACH",""))</f>
        <v/>
      </c>
      <c r="T66" s="6">
        <f>IF(AND((B66=B65),D66&lt;&gt;"Money Market",E66=E65),"STALE PRICE","")</f>
        <v/>
      </c>
      <c r="U66" s="6">
        <f>IF(F66&lt;0,"NEGATIVE CASH","")</f>
        <v/>
      </c>
      <c r="V66" s="6">
        <f>IF(ABS(R66)&gt;0.05*M66,"LARGE FLOW","")</f>
        <v/>
      </c>
      <c r="W66" s="6">
        <f>(S66&lt;&gt;"")*1+(T66&lt;&gt;"")*1+(U66&lt;&gt;"")*1+(V66&lt;&gt;"")*1</f>
        <v/>
      </c>
      <c r="X66" s="6">
        <f>IF(S66&lt;&gt;"",S66,IF(T66&lt;&gt;"",T66,IF(U66&lt;&gt;"",U66,IF(V66&lt;&gt;"",V66,""))))</f>
        <v/>
      </c>
    </row>
    <row r="67">
      <c r="A67" s="6" t="inlineStr">
        <is>
          <t>2026-04-02</t>
        </is>
      </c>
      <c r="B67" s="6" t="inlineStr">
        <is>
          <t>EQEM</t>
        </is>
      </c>
      <c r="C67" s="6">
        <f>INDEX('Fund Master'!$B$2:$B$7,MATCH(B67,'Fund Master'!$A$2:$A$7,0))</f>
        <v/>
      </c>
      <c r="D67" s="6">
        <f>INDEX('Fund Master'!$C$2:$C$7,MATCH(B67,'Fund Master'!$A$2:$A$7,0))</f>
        <v/>
      </c>
      <c r="E67" s="8" t="n">
        <v>302970257.51</v>
      </c>
      <c r="F67" s="8" t="n">
        <v>9205868.76</v>
      </c>
      <c r="G67" s="8" t="n">
        <v>1746673.67</v>
      </c>
      <c r="H67" s="8" t="n">
        <v>1784443.65</v>
      </c>
      <c r="I67" s="8" t="n">
        <v>21776.34</v>
      </c>
      <c r="J67" s="10" t="n">
        <v>20394736.8421</v>
      </c>
      <c r="K67" s="9">
        <f>E67+F67+G67</f>
        <v/>
      </c>
      <c r="L67" s="9">
        <f>H67+I67</f>
        <v/>
      </c>
      <c r="M67" s="9">
        <f>K67-L67</f>
        <v/>
      </c>
      <c r="N67" s="11">
        <f>IFERROR(M67/J67,0)</f>
        <v/>
      </c>
      <c r="O67" s="11">
        <f>IF((B67=B66),N66,"")</f>
        <v/>
      </c>
      <c r="P67" s="12">
        <f>IF(O67="","",IFERROR((N67-O67)/O67,""))</f>
        <v/>
      </c>
      <c r="Q67" s="13">
        <f>INDEX('Fund Master'!$F$2:$F$7,MATCH(B67,'Fund Master'!$A$2:$A$7,0))</f>
        <v/>
      </c>
      <c r="R67" s="9">
        <f>SUMIFS('Capital Activity'!$E$2:$E$385,'Capital Activity'!$A$2:$A$385,A67,'Capital Activity'!$B$2:$B$385,B67)</f>
        <v/>
      </c>
      <c r="S67" s="6">
        <f>IF(O67="","",IF(ABS(P67)*10000&gt;Q67,"NAV MOVE BREACH",""))</f>
        <v/>
      </c>
      <c r="T67" s="6">
        <f>IF(AND((B67=B66),D67&lt;&gt;"Money Market",E67=E66),"STALE PRICE","")</f>
        <v/>
      </c>
      <c r="U67" s="6">
        <f>IF(F67&lt;0,"NEGATIVE CASH","")</f>
        <v/>
      </c>
      <c r="V67" s="6">
        <f>IF(ABS(R67)&gt;0.05*M67,"LARGE FLOW","")</f>
        <v/>
      </c>
      <c r="W67" s="6">
        <f>(S67&lt;&gt;"")*1+(T67&lt;&gt;"")*1+(U67&lt;&gt;"")*1+(V67&lt;&gt;"")*1</f>
        <v/>
      </c>
      <c r="X67" s="6">
        <f>IF(S67&lt;&gt;"",S67,IF(T67&lt;&gt;"",T67,IF(U67&lt;&gt;"",U67,IF(V67&lt;&gt;"",V67,""))))</f>
        <v/>
      </c>
    </row>
    <row r="68">
      <c r="A68" s="6" t="inlineStr">
        <is>
          <t>2026-04-03</t>
        </is>
      </c>
      <c r="B68" s="6" t="inlineStr">
        <is>
          <t>EQEM</t>
        </is>
      </c>
      <c r="C68" s="6">
        <f>INDEX('Fund Master'!$B$2:$B$7,MATCH(B68,'Fund Master'!$A$2:$A$7,0))</f>
        <v/>
      </c>
      <c r="D68" s="6">
        <f>INDEX('Fund Master'!$C$2:$C$7,MATCH(B68,'Fund Master'!$A$2:$A$7,0))</f>
        <v/>
      </c>
      <c r="E68" s="8" t="n">
        <v>295764448.23</v>
      </c>
      <c r="F68" s="8" t="n">
        <v>9227173.84</v>
      </c>
      <c r="G68" s="8" t="n">
        <v>1697000.55</v>
      </c>
      <c r="H68" s="8" t="n">
        <v>1829867.14</v>
      </c>
      <c r="I68" s="8" t="n">
        <v>32339.36</v>
      </c>
      <c r="J68" s="10" t="n">
        <v>20394736.8421</v>
      </c>
      <c r="K68" s="9">
        <f>E68+F68+G68</f>
        <v/>
      </c>
      <c r="L68" s="9">
        <f>H68+I68</f>
        <v/>
      </c>
      <c r="M68" s="9">
        <f>K68-L68</f>
        <v/>
      </c>
      <c r="N68" s="11">
        <f>IFERROR(M68/J68,0)</f>
        <v/>
      </c>
      <c r="O68" s="11">
        <f>IF((B68=B67),N67,"")</f>
        <v/>
      </c>
      <c r="P68" s="12">
        <f>IF(O68="","",IFERROR((N68-O68)/O68,""))</f>
        <v/>
      </c>
      <c r="Q68" s="13">
        <f>INDEX('Fund Master'!$F$2:$F$7,MATCH(B68,'Fund Master'!$A$2:$A$7,0))</f>
        <v/>
      </c>
      <c r="R68" s="9">
        <f>SUMIFS('Capital Activity'!$E$2:$E$385,'Capital Activity'!$A$2:$A$385,A68,'Capital Activity'!$B$2:$B$385,B68)</f>
        <v/>
      </c>
      <c r="S68" s="6">
        <f>IF(O68="","",IF(ABS(P68)*10000&gt;Q68,"NAV MOVE BREACH",""))</f>
        <v/>
      </c>
      <c r="T68" s="6">
        <f>IF(AND((B68=B67),D68&lt;&gt;"Money Market",E68=E67),"STALE PRICE","")</f>
        <v/>
      </c>
      <c r="U68" s="6">
        <f>IF(F68&lt;0,"NEGATIVE CASH","")</f>
        <v/>
      </c>
      <c r="V68" s="6">
        <f>IF(ABS(R68)&gt;0.05*M68,"LARGE FLOW","")</f>
        <v/>
      </c>
      <c r="W68" s="6">
        <f>(S68&lt;&gt;"")*1+(T68&lt;&gt;"")*1+(U68&lt;&gt;"")*1+(V68&lt;&gt;"")*1</f>
        <v/>
      </c>
      <c r="X68" s="6">
        <f>IF(S68&lt;&gt;"",S68,IF(T68&lt;&gt;"",T68,IF(U68&lt;&gt;"",U68,IF(V68&lt;&gt;"",V68,""))))</f>
        <v/>
      </c>
    </row>
    <row r="69">
      <c r="A69" s="6" t="inlineStr">
        <is>
          <t>2026-04-06</t>
        </is>
      </c>
      <c r="B69" s="6" t="inlineStr">
        <is>
          <t>EQEM</t>
        </is>
      </c>
      <c r="C69" s="6">
        <f>INDEX('Fund Master'!$B$2:$B$7,MATCH(B69,'Fund Master'!$A$2:$A$7,0))</f>
        <v/>
      </c>
      <c r="D69" s="6">
        <f>INDEX('Fund Master'!$C$2:$C$7,MATCH(B69,'Fund Master'!$A$2:$A$7,0))</f>
        <v/>
      </c>
      <c r="E69" s="8" t="n">
        <v>295845313.72</v>
      </c>
      <c r="F69" s="8" t="n">
        <v>9238036.050000001</v>
      </c>
      <c r="G69" s="8" t="n">
        <v>1665508.58</v>
      </c>
      <c r="H69" s="8" t="n">
        <v>1874591.58</v>
      </c>
      <c r="I69" s="8" t="n">
        <v>42905.26</v>
      </c>
      <c r="J69" s="10" t="n">
        <v>20394736.8421</v>
      </c>
      <c r="K69" s="9">
        <f>E69+F69+G69</f>
        <v/>
      </c>
      <c r="L69" s="9">
        <f>H69+I69</f>
        <v/>
      </c>
      <c r="M69" s="9">
        <f>K69-L69</f>
        <v/>
      </c>
      <c r="N69" s="11">
        <f>IFERROR(M69/J69,0)</f>
        <v/>
      </c>
      <c r="O69" s="11">
        <f>IF((B69=B68),N68,"")</f>
        <v/>
      </c>
      <c r="P69" s="12">
        <f>IF(O69="","",IFERROR((N69-O69)/O69,""))</f>
        <v/>
      </c>
      <c r="Q69" s="13">
        <f>INDEX('Fund Master'!$F$2:$F$7,MATCH(B69,'Fund Master'!$A$2:$A$7,0))</f>
        <v/>
      </c>
      <c r="R69" s="9">
        <f>SUMIFS('Capital Activity'!$E$2:$E$385,'Capital Activity'!$A$2:$A$385,A69,'Capital Activity'!$B$2:$B$385,B69)</f>
        <v/>
      </c>
      <c r="S69" s="6">
        <f>IF(O69="","",IF(ABS(P69)*10000&gt;Q69,"NAV MOVE BREACH",""))</f>
        <v/>
      </c>
      <c r="T69" s="6">
        <f>IF(AND((B69=B68),D69&lt;&gt;"Money Market",E69=E68),"STALE PRICE","")</f>
        <v/>
      </c>
      <c r="U69" s="6">
        <f>IF(F69&lt;0,"NEGATIVE CASH","")</f>
        <v/>
      </c>
      <c r="V69" s="6">
        <f>IF(ABS(R69)&gt;0.05*M69,"LARGE FLOW","")</f>
        <v/>
      </c>
      <c r="W69" s="6">
        <f>(S69&lt;&gt;"")*1+(T69&lt;&gt;"")*1+(U69&lt;&gt;"")*1+(V69&lt;&gt;"")*1</f>
        <v/>
      </c>
      <c r="X69" s="6">
        <f>IF(S69&lt;&gt;"",S69,IF(T69&lt;&gt;"",T69,IF(U69&lt;&gt;"",U69,IF(V69&lt;&gt;"",V69,""))))</f>
        <v/>
      </c>
    </row>
    <row r="70">
      <c r="A70" s="6" t="inlineStr">
        <is>
          <t>2026-04-07</t>
        </is>
      </c>
      <c r="B70" s="6" t="inlineStr">
        <is>
          <t>EQEM</t>
        </is>
      </c>
      <c r="C70" s="6">
        <f>INDEX('Fund Master'!$B$2:$B$7,MATCH(B70,'Fund Master'!$A$2:$A$7,0))</f>
        <v/>
      </c>
      <c r="D70" s="6">
        <f>INDEX('Fund Master'!$C$2:$C$7,MATCH(B70,'Fund Master'!$A$2:$A$7,0))</f>
        <v/>
      </c>
      <c r="E70" s="8" t="n">
        <v>296402727.37</v>
      </c>
      <c r="F70" s="8" t="n">
        <v>9346930.439999999</v>
      </c>
      <c r="G70" s="8" t="n">
        <v>1719268.54</v>
      </c>
      <c r="H70" s="8" t="n">
        <v>1798120.3</v>
      </c>
      <c r="I70" s="8" t="n">
        <v>53491.08</v>
      </c>
      <c r="J70" s="10" t="n">
        <v>20394736.8421</v>
      </c>
      <c r="K70" s="9">
        <f>E70+F70+G70</f>
        <v/>
      </c>
      <c r="L70" s="9">
        <f>H70+I70</f>
        <v/>
      </c>
      <c r="M70" s="9">
        <f>K70-L70</f>
        <v/>
      </c>
      <c r="N70" s="11">
        <f>IFERROR(M70/J70,0)</f>
        <v/>
      </c>
      <c r="O70" s="11">
        <f>IF((B70=B69),N69,"")</f>
        <v/>
      </c>
      <c r="P70" s="12">
        <f>IF(O70="","",IFERROR((N70-O70)/O70,""))</f>
        <v/>
      </c>
      <c r="Q70" s="13">
        <f>INDEX('Fund Master'!$F$2:$F$7,MATCH(B70,'Fund Master'!$A$2:$A$7,0))</f>
        <v/>
      </c>
      <c r="R70" s="9">
        <f>SUMIFS('Capital Activity'!$E$2:$E$385,'Capital Activity'!$A$2:$A$385,A70,'Capital Activity'!$B$2:$B$385,B70)</f>
        <v/>
      </c>
      <c r="S70" s="6">
        <f>IF(O70="","",IF(ABS(P70)*10000&gt;Q70,"NAV MOVE BREACH",""))</f>
        <v/>
      </c>
      <c r="T70" s="6">
        <f>IF(AND((B70=B69),D70&lt;&gt;"Money Market",E70=E69),"STALE PRICE","")</f>
        <v/>
      </c>
      <c r="U70" s="6">
        <f>IF(F70&lt;0,"NEGATIVE CASH","")</f>
        <v/>
      </c>
      <c r="V70" s="6">
        <f>IF(ABS(R70)&gt;0.05*M70,"LARGE FLOW","")</f>
        <v/>
      </c>
      <c r="W70" s="6">
        <f>(S70&lt;&gt;"")*1+(T70&lt;&gt;"")*1+(U70&lt;&gt;"")*1+(V70&lt;&gt;"")*1</f>
        <v/>
      </c>
      <c r="X70" s="6">
        <f>IF(S70&lt;&gt;"",S70,IF(T70&lt;&gt;"",T70,IF(U70&lt;&gt;"",U70,IF(V70&lt;&gt;"",V70,""))))</f>
        <v/>
      </c>
    </row>
    <row r="71">
      <c r="A71" s="6" t="inlineStr">
        <is>
          <t>2026-04-08</t>
        </is>
      </c>
      <c r="B71" s="6" t="inlineStr">
        <is>
          <t>EQEM</t>
        </is>
      </c>
      <c r="C71" s="6">
        <f>INDEX('Fund Master'!$B$2:$B$7,MATCH(B71,'Fund Master'!$A$2:$A$7,0))</f>
        <v/>
      </c>
      <c r="D71" s="6">
        <f>INDEX('Fund Master'!$C$2:$C$7,MATCH(B71,'Fund Master'!$A$2:$A$7,0))</f>
        <v/>
      </c>
      <c r="E71" s="8" t="n">
        <v>297840990.83</v>
      </c>
      <c r="F71" s="8" t="n">
        <v>9258527.460000001</v>
      </c>
      <c r="G71" s="8" t="n">
        <v>1838490.3</v>
      </c>
      <c r="H71" s="8" t="n">
        <v>1815114.13</v>
      </c>
      <c r="I71" s="8" t="n">
        <v>64128.25</v>
      </c>
      <c r="J71" s="10" t="n">
        <v>20394736.8421</v>
      </c>
      <c r="K71" s="9">
        <f>E71+F71+G71</f>
        <v/>
      </c>
      <c r="L71" s="9">
        <f>H71+I71</f>
        <v/>
      </c>
      <c r="M71" s="9">
        <f>K71-L71</f>
        <v/>
      </c>
      <c r="N71" s="11">
        <f>IFERROR(M71/J71,0)</f>
        <v/>
      </c>
      <c r="O71" s="11">
        <f>IF((B71=B70),N70,"")</f>
        <v/>
      </c>
      <c r="P71" s="12">
        <f>IF(O71="","",IFERROR((N71-O71)/O71,""))</f>
        <v/>
      </c>
      <c r="Q71" s="13">
        <f>INDEX('Fund Master'!$F$2:$F$7,MATCH(B71,'Fund Master'!$A$2:$A$7,0))</f>
        <v/>
      </c>
      <c r="R71" s="9">
        <f>SUMIFS('Capital Activity'!$E$2:$E$385,'Capital Activity'!$A$2:$A$385,A71,'Capital Activity'!$B$2:$B$385,B71)</f>
        <v/>
      </c>
      <c r="S71" s="6">
        <f>IF(O71="","",IF(ABS(P71)*10000&gt;Q71,"NAV MOVE BREACH",""))</f>
        <v/>
      </c>
      <c r="T71" s="6">
        <f>IF(AND((B71=B70),D71&lt;&gt;"Money Market",E71=E70),"STALE PRICE","")</f>
        <v/>
      </c>
      <c r="U71" s="6">
        <f>IF(F71&lt;0,"NEGATIVE CASH","")</f>
        <v/>
      </c>
      <c r="V71" s="6">
        <f>IF(ABS(R71)&gt;0.05*M71,"LARGE FLOW","")</f>
        <v/>
      </c>
      <c r="W71" s="6">
        <f>(S71&lt;&gt;"")*1+(T71&lt;&gt;"")*1+(U71&lt;&gt;"")*1+(V71&lt;&gt;"")*1</f>
        <v/>
      </c>
      <c r="X71" s="6">
        <f>IF(S71&lt;&gt;"",S71,IF(T71&lt;&gt;"",T71,IF(U71&lt;&gt;"",U71,IF(V71&lt;&gt;"",V71,""))))</f>
        <v/>
      </c>
    </row>
    <row r="72">
      <c r="A72" s="6" t="inlineStr">
        <is>
          <t>2026-04-09</t>
        </is>
      </c>
      <c r="B72" s="6" t="inlineStr">
        <is>
          <t>EQEM</t>
        </is>
      </c>
      <c r="C72" s="6">
        <f>INDEX('Fund Master'!$B$2:$B$7,MATCH(B72,'Fund Master'!$A$2:$A$7,0))</f>
        <v/>
      </c>
      <c r="D72" s="6">
        <f>INDEX('Fund Master'!$C$2:$C$7,MATCH(B72,'Fund Master'!$A$2:$A$7,0))</f>
        <v/>
      </c>
      <c r="E72" s="8" t="n">
        <v>306493411.88</v>
      </c>
      <c r="F72" s="8" t="n">
        <v>9850292.289999999</v>
      </c>
      <c r="G72" s="8" t="n">
        <v>1873585.9</v>
      </c>
      <c r="H72" s="8" t="n">
        <v>1939311.27</v>
      </c>
      <c r="I72" s="8" t="n">
        <v>75074.45</v>
      </c>
      <c r="J72" s="10" t="n">
        <v>20394736.8421</v>
      </c>
      <c r="K72" s="9">
        <f>E72+F72+G72</f>
        <v/>
      </c>
      <c r="L72" s="9">
        <f>H72+I72</f>
        <v/>
      </c>
      <c r="M72" s="9">
        <f>K72-L72</f>
        <v/>
      </c>
      <c r="N72" s="11">
        <f>IFERROR(M72/J72,0)</f>
        <v/>
      </c>
      <c r="O72" s="11">
        <f>IF((B72=B71),N71,"")</f>
        <v/>
      </c>
      <c r="P72" s="12">
        <f>IF(O72="","",IFERROR((N72-O72)/O72,""))</f>
        <v/>
      </c>
      <c r="Q72" s="13">
        <f>INDEX('Fund Master'!$F$2:$F$7,MATCH(B72,'Fund Master'!$A$2:$A$7,0))</f>
        <v/>
      </c>
      <c r="R72" s="9">
        <f>SUMIFS('Capital Activity'!$E$2:$E$385,'Capital Activity'!$A$2:$A$385,A72,'Capital Activity'!$B$2:$B$385,B72)</f>
        <v/>
      </c>
      <c r="S72" s="6">
        <f>IF(O72="","",IF(ABS(P72)*10000&gt;Q72,"NAV MOVE BREACH",""))</f>
        <v/>
      </c>
      <c r="T72" s="6">
        <f>IF(AND((B72=B71),D72&lt;&gt;"Money Market",E72=E71),"STALE PRICE","")</f>
        <v/>
      </c>
      <c r="U72" s="6">
        <f>IF(F72&lt;0,"NEGATIVE CASH","")</f>
        <v/>
      </c>
      <c r="V72" s="6">
        <f>IF(ABS(R72)&gt;0.05*M72,"LARGE FLOW","")</f>
        <v/>
      </c>
      <c r="W72" s="6">
        <f>(S72&lt;&gt;"")*1+(T72&lt;&gt;"")*1+(U72&lt;&gt;"")*1+(V72&lt;&gt;"")*1</f>
        <v/>
      </c>
      <c r="X72" s="6">
        <f>IF(S72&lt;&gt;"",S72,IF(T72&lt;&gt;"",T72,IF(U72&lt;&gt;"",U72,IF(V72&lt;&gt;"",V72,""))))</f>
        <v/>
      </c>
    </row>
    <row r="73">
      <c r="A73" s="6" t="inlineStr">
        <is>
          <t>2026-04-10</t>
        </is>
      </c>
      <c r="B73" s="6" t="inlineStr">
        <is>
          <t>EQEM</t>
        </is>
      </c>
      <c r="C73" s="6">
        <f>INDEX('Fund Master'!$B$2:$B$7,MATCH(B73,'Fund Master'!$A$2:$A$7,0))</f>
        <v/>
      </c>
      <c r="D73" s="6">
        <f>INDEX('Fund Master'!$C$2:$C$7,MATCH(B73,'Fund Master'!$A$2:$A$7,0))</f>
        <v/>
      </c>
      <c r="E73" s="8" t="n">
        <v>302414312.99</v>
      </c>
      <c r="F73" s="8" t="n">
        <v>9843678.52</v>
      </c>
      <c r="G73" s="8" t="n">
        <v>1925470.33</v>
      </c>
      <c r="H73" s="8" t="n">
        <v>1785852.8</v>
      </c>
      <c r="I73" s="8" t="n">
        <v>85874.96000000001</v>
      </c>
      <c r="J73" s="10" t="n">
        <v>20394736.8421</v>
      </c>
      <c r="K73" s="9">
        <f>E73+F73+G73</f>
        <v/>
      </c>
      <c r="L73" s="9">
        <f>H73+I73</f>
        <v/>
      </c>
      <c r="M73" s="9">
        <f>K73-L73</f>
        <v/>
      </c>
      <c r="N73" s="11">
        <f>IFERROR(M73/J73,0)</f>
        <v/>
      </c>
      <c r="O73" s="11">
        <f>IF((B73=B72),N72,"")</f>
        <v/>
      </c>
      <c r="P73" s="12">
        <f>IF(O73="","",IFERROR((N73-O73)/O73,""))</f>
        <v/>
      </c>
      <c r="Q73" s="13">
        <f>INDEX('Fund Master'!$F$2:$F$7,MATCH(B73,'Fund Master'!$A$2:$A$7,0))</f>
        <v/>
      </c>
      <c r="R73" s="9">
        <f>SUMIFS('Capital Activity'!$E$2:$E$385,'Capital Activity'!$A$2:$A$385,A73,'Capital Activity'!$B$2:$B$385,B73)</f>
        <v/>
      </c>
      <c r="S73" s="6">
        <f>IF(O73="","",IF(ABS(P73)*10000&gt;Q73,"NAV MOVE BREACH",""))</f>
        <v/>
      </c>
      <c r="T73" s="6">
        <f>IF(AND((B73=B72),D73&lt;&gt;"Money Market",E73=E72),"STALE PRICE","")</f>
        <v/>
      </c>
      <c r="U73" s="6">
        <f>IF(F73&lt;0,"NEGATIVE CASH","")</f>
        <v/>
      </c>
      <c r="V73" s="6">
        <f>IF(ABS(R73)&gt;0.05*M73,"LARGE FLOW","")</f>
        <v/>
      </c>
      <c r="W73" s="6">
        <f>(S73&lt;&gt;"")*1+(T73&lt;&gt;"")*1+(U73&lt;&gt;"")*1+(V73&lt;&gt;"")*1</f>
        <v/>
      </c>
      <c r="X73" s="6">
        <f>IF(S73&lt;&gt;"",S73,IF(T73&lt;&gt;"",T73,IF(U73&lt;&gt;"",U73,IF(V73&lt;&gt;"",V73,""))))</f>
        <v/>
      </c>
    </row>
    <row r="74">
      <c r="A74" s="6" t="inlineStr">
        <is>
          <t>2026-04-13</t>
        </is>
      </c>
      <c r="B74" s="6" t="inlineStr">
        <is>
          <t>EQEM</t>
        </is>
      </c>
      <c r="C74" s="6">
        <f>INDEX('Fund Master'!$B$2:$B$7,MATCH(B74,'Fund Master'!$A$2:$A$7,0))</f>
        <v/>
      </c>
      <c r="D74" s="6">
        <f>INDEX('Fund Master'!$C$2:$C$7,MATCH(B74,'Fund Master'!$A$2:$A$7,0))</f>
        <v/>
      </c>
      <c r="E74" s="8" t="n">
        <v>301334181.09</v>
      </c>
      <c r="F74" s="8" t="n">
        <v>9938251.9</v>
      </c>
      <c r="G74" s="8" t="n">
        <v>2027243.91</v>
      </c>
      <c r="H74" s="8" t="n">
        <v>1784832.82</v>
      </c>
      <c r="I74" s="8" t="n">
        <v>96636.89</v>
      </c>
      <c r="J74" s="10" t="n">
        <v>20394736.8421</v>
      </c>
      <c r="K74" s="9">
        <f>E74+F74+G74</f>
        <v/>
      </c>
      <c r="L74" s="9">
        <f>H74+I74</f>
        <v/>
      </c>
      <c r="M74" s="9">
        <f>K74-L74</f>
        <v/>
      </c>
      <c r="N74" s="11">
        <f>IFERROR(M74/J74,0)</f>
        <v/>
      </c>
      <c r="O74" s="11">
        <f>IF((B74=B73),N73,"")</f>
        <v/>
      </c>
      <c r="P74" s="12">
        <f>IF(O74="","",IFERROR((N74-O74)/O74,""))</f>
        <v/>
      </c>
      <c r="Q74" s="13">
        <f>INDEX('Fund Master'!$F$2:$F$7,MATCH(B74,'Fund Master'!$A$2:$A$7,0))</f>
        <v/>
      </c>
      <c r="R74" s="9">
        <f>SUMIFS('Capital Activity'!$E$2:$E$385,'Capital Activity'!$A$2:$A$385,A74,'Capital Activity'!$B$2:$B$385,B74)</f>
        <v/>
      </c>
      <c r="S74" s="6">
        <f>IF(O74="","",IF(ABS(P74)*10000&gt;Q74,"NAV MOVE BREACH",""))</f>
        <v/>
      </c>
      <c r="T74" s="6">
        <f>IF(AND((B74=B73),D74&lt;&gt;"Money Market",E74=E73),"STALE PRICE","")</f>
        <v/>
      </c>
      <c r="U74" s="6">
        <f>IF(F74&lt;0,"NEGATIVE CASH","")</f>
        <v/>
      </c>
      <c r="V74" s="6">
        <f>IF(ABS(R74)&gt;0.05*M74,"LARGE FLOW","")</f>
        <v/>
      </c>
      <c r="W74" s="6">
        <f>(S74&lt;&gt;"")*1+(T74&lt;&gt;"")*1+(U74&lt;&gt;"")*1+(V74&lt;&gt;"")*1</f>
        <v/>
      </c>
      <c r="X74" s="6">
        <f>IF(S74&lt;&gt;"",S74,IF(T74&lt;&gt;"",T74,IF(U74&lt;&gt;"",U74,IF(V74&lt;&gt;"",V74,""))))</f>
        <v/>
      </c>
    </row>
    <row r="75">
      <c r="A75" s="6" t="inlineStr">
        <is>
          <t>2026-04-14</t>
        </is>
      </c>
      <c r="B75" s="6" t="inlineStr">
        <is>
          <t>EQEM</t>
        </is>
      </c>
      <c r="C75" s="6">
        <f>INDEX('Fund Master'!$B$2:$B$7,MATCH(B75,'Fund Master'!$A$2:$A$7,0))</f>
        <v/>
      </c>
      <c r="D75" s="6">
        <f>INDEX('Fund Master'!$C$2:$C$7,MATCH(B75,'Fund Master'!$A$2:$A$7,0))</f>
        <v/>
      </c>
      <c r="E75" s="8" t="n">
        <v>294208424.99</v>
      </c>
      <c r="F75" s="8" t="n">
        <v>9693432.98</v>
      </c>
      <c r="G75" s="8" t="n">
        <v>2006423.82</v>
      </c>
      <c r="H75" s="8" t="n">
        <v>1740317.67</v>
      </c>
      <c r="I75" s="8" t="n">
        <v>107144.34</v>
      </c>
      <c r="J75" s="10" t="n">
        <v>20394736.8421</v>
      </c>
      <c r="K75" s="9">
        <f>E75+F75+G75</f>
        <v/>
      </c>
      <c r="L75" s="9">
        <f>H75+I75</f>
        <v/>
      </c>
      <c r="M75" s="9">
        <f>K75-L75</f>
        <v/>
      </c>
      <c r="N75" s="11">
        <f>IFERROR(M75/J75,0)</f>
        <v/>
      </c>
      <c r="O75" s="11">
        <f>IF((B75=B74),N74,"")</f>
        <v/>
      </c>
      <c r="P75" s="12">
        <f>IF(O75="","",IFERROR((N75-O75)/O75,""))</f>
        <v/>
      </c>
      <c r="Q75" s="13">
        <f>INDEX('Fund Master'!$F$2:$F$7,MATCH(B75,'Fund Master'!$A$2:$A$7,0))</f>
        <v/>
      </c>
      <c r="R75" s="9">
        <f>SUMIFS('Capital Activity'!$E$2:$E$385,'Capital Activity'!$A$2:$A$385,A75,'Capital Activity'!$B$2:$B$385,B75)</f>
        <v/>
      </c>
      <c r="S75" s="6">
        <f>IF(O75="","",IF(ABS(P75)*10000&gt;Q75,"NAV MOVE BREACH",""))</f>
        <v/>
      </c>
      <c r="T75" s="6">
        <f>IF(AND((B75=B74),D75&lt;&gt;"Money Market",E75=E74),"STALE PRICE","")</f>
        <v/>
      </c>
      <c r="U75" s="6">
        <f>IF(F75&lt;0,"NEGATIVE CASH","")</f>
        <v/>
      </c>
      <c r="V75" s="6">
        <f>IF(ABS(R75)&gt;0.05*M75,"LARGE FLOW","")</f>
        <v/>
      </c>
      <c r="W75" s="6">
        <f>(S75&lt;&gt;"")*1+(T75&lt;&gt;"")*1+(U75&lt;&gt;"")*1+(V75&lt;&gt;"")*1</f>
        <v/>
      </c>
      <c r="X75" s="6">
        <f>IF(S75&lt;&gt;"",S75,IF(T75&lt;&gt;"",T75,IF(U75&lt;&gt;"",U75,IF(V75&lt;&gt;"",V75,""))))</f>
        <v/>
      </c>
    </row>
    <row r="76">
      <c r="A76" s="6" t="inlineStr">
        <is>
          <t>2026-04-15</t>
        </is>
      </c>
      <c r="B76" s="6" t="inlineStr">
        <is>
          <t>EQEM</t>
        </is>
      </c>
      <c r="C76" s="6">
        <f>INDEX('Fund Master'!$B$2:$B$7,MATCH(B76,'Fund Master'!$A$2:$A$7,0))</f>
        <v/>
      </c>
      <c r="D76" s="6">
        <f>INDEX('Fund Master'!$C$2:$C$7,MATCH(B76,'Fund Master'!$A$2:$A$7,0))</f>
        <v/>
      </c>
      <c r="E76" s="8" t="n">
        <v>288894263.84</v>
      </c>
      <c r="F76" s="8" t="n">
        <v>9634423.369999999</v>
      </c>
      <c r="G76" s="8" t="n">
        <v>1995600.6</v>
      </c>
      <c r="H76" s="8" t="n">
        <v>1643716.85</v>
      </c>
      <c r="I76" s="8" t="n">
        <v>117461.99</v>
      </c>
      <c r="J76" s="10" t="n">
        <v>20394736.8421</v>
      </c>
      <c r="K76" s="9">
        <f>E76+F76+G76</f>
        <v/>
      </c>
      <c r="L76" s="9">
        <f>H76+I76</f>
        <v/>
      </c>
      <c r="M76" s="9">
        <f>K76-L76</f>
        <v/>
      </c>
      <c r="N76" s="11">
        <f>IFERROR(M76/J76,0)</f>
        <v/>
      </c>
      <c r="O76" s="11">
        <f>IF((B76=B75),N75,"")</f>
        <v/>
      </c>
      <c r="P76" s="12">
        <f>IF(O76="","",IFERROR((N76-O76)/O76,""))</f>
        <v/>
      </c>
      <c r="Q76" s="13">
        <f>INDEX('Fund Master'!$F$2:$F$7,MATCH(B76,'Fund Master'!$A$2:$A$7,0))</f>
        <v/>
      </c>
      <c r="R76" s="9">
        <f>SUMIFS('Capital Activity'!$E$2:$E$385,'Capital Activity'!$A$2:$A$385,A76,'Capital Activity'!$B$2:$B$385,B76)</f>
        <v/>
      </c>
      <c r="S76" s="6">
        <f>IF(O76="","",IF(ABS(P76)*10000&gt;Q76,"NAV MOVE BREACH",""))</f>
        <v/>
      </c>
      <c r="T76" s="6">
        <f>IF(AND((B76=B75),D76&lt;&gt;"Money Market",E76=E75),"STALE PRICE","")</f>
        <v/>
      </c>
      <c r="U76" s="6">
        <f>IF(F76&lt;0,"NEGATIVE CASH","")</f>
        <v/>
      </c>
      <c r="V76" s="6">
        <f>IF(ABS(R76)&gt;0.05*M76,"LARGE FLOW","")</f>
        <v/>
      </c>
      <c r="W76" s="6">
        <f>(S76&lt;&gt;"")*1+(T76&lt;&gt;"")*1+(U76&lt;&gt;"")*1+(V76&lt;&gt;"")*1</f>
        <v/>
      </c>
      <c r="X76" s="6">
        <f>IF(S76&lt;&gt;"",S76,IF(T76&lt;&gt;"",T76,IF(U76&lt;&gt;"",U76,IF(V76&lt;&gt;"",V76,""))))</f>
        <v/>
      </c>
    </row>
    <row r="77">
      <c r="A77" s="6" t="inlineStr">
        <is>
          <t>2026-04-16</t>
        </is>
      </c>
      <c r="B77" s="6" t="inlineStr">
        <is>
          <t>EQEM</t>
        </is>
      </c>
      <c r="C77" s="6">
        <f>INDEX('Fund Master'!$B$2:$B$7,MATCH(B77,'Fund Master'!$A$2:$A$7,0))</f>
        <v/>
      </c>
      <c r="D77" s="6">
        <f>INDEX('Fund Master'!$C$2:$C$7,MATCH(B77,'Fund Master'!$A$2:$A$7,0))</f>
        <v/>
      </c>
      <c r="E77" s="8" t="n">
        <v>288698535.85</v>
      </c>
      <c r="F77" s="8" t="n">
        <v>9793344.890000001</v>
      </c>
      <c r="G77" s="8" t="n">
        <v>1925949.92</v>
      </c>
      <c r="H77" s="8" t="n">
        <v>1677527.41</v>
      </c>
      <c r="I77" s="8" t="n">
        <v>127772.65</v>
      </c>
      <c r="J77" s="10" t="n">
        <v>20394736.8421</v>
      </c>
      <c r="K77" s="9">
        <f>E77+F77+G77</f>
        <v/>
      </c>
      <c r="L77" s="9">
        <f>H77+I77</f>
        <v/>
      </c>
      <c r="M77" s="9">
        <f>K77-L77</f>
        <v/>
      </c>
      <c r="N77" s="11">
        <f>IFERROR(M77/J77,0)</f>
        <v/>
      </c>
      <c r="O77" s="11">
        <f>IF((B77=B76),N76,"")</f>
        <v/>
      </c>
      <c r="P77" s="12">
        <f>IF(O77="","",IFERROR((N77-O77)/O77,""))</f>
        <v/>
      </c>
      <c r="Q77" s="13">
        <f>INDEX('Fund Master'!$F$2:$F$7,MATCH(B77,'Fund Master'!$A$2:$A$7,0))</f>
        <v/>
      </c>
      <c r="R77" s="9">
        <f>SUMIFS('Capital Activity'!$E$2:$E$385,'Capital Activity'!$A$2:$A$385,A77,'Capital Activity'!$B$2:$B$385,B77)</f>
        <v/>
      </c>
      <c r="S77" s="6">
        <f>IF(O77="","",IF(ABS(P77)*10000&gt;Q77,"NAV MOVE BREACH",""))</f>
        <v/>
      </c>
      <c r="T77" s="6">
        <f>IF(AND((B77=B76),D77&lt;&gt;"Money Market",E77=E76),"STALE PRICE","")</f>
        <v/>
      </c>
      <c r="U77" s="6">
        <f>IF(F77&lt;0,"NEGATIVE CASH","")</f>
        <v/>
      </c>
      <c r="V77" s="6">
        <f>IF(ABS(R77)&gt;0.05*M77,"LARGE FLOW","")</f>
        <v/>
      </c>
      <c r="W77" s="6">
        <f>(S77&lt;&gt;"")*1+(T77&lt;&gt;"")*1+(U77&lt;&gt;"")*1+(V77&lt;&gt;"")*1</f>
        <v/>
      </c>
      <c r="X77" s="6">
        <f>IF(S77&lt;&gt;"",S77,IF(T77&lt;&gt;"",T77,IF(U77&lt;&gt;"",U77,IF(V77&lt;&gt;"",V77,""))))</f>
        <v/>
      </c>
    </row>
    <row r="78">
      <c r="A78" s="6" t="inlineStr">
        <is>
          <t>2026-04-17</t>
        </is>
      </c>
      <c r="B78" s="6" t="inlineStr">
        <is>
          <t>EQEM</t>
        </is>
      </c>
      <c r="C78" s="6">
        <f>INDEX('Fund Master'!$B$2:$B$7,MATCH(B78,'Fund Master'!$A$2:$A$7,0))</f>
        <v/>
      </c>
      <c r="D78" s="6">
        <f>INDEX('Fund Master'!$C$2:$C$7,MATCH(B78,'Fund Master'!$A$2:$A$7,0))</f>
        <v/>
      </c>
      <c r="E78" s="8" t="n">
        <v>288323682.44</v>
      </c>
      <c r="F78" s="8" t="n">
        <v>9601538.039999999</v>
      </c>
      <c r="G78" s="8" t="n">
        <v>1885137.97</v>
      </c>
      <c r="H78" s="8" t="n">
        <v>1592458.89</v>
      </c>
      <c r="I78" s="8" t="n">
        <v>138069.93</v>
      </c>
      <c r="J78" s="10" t="n">
        <v>20394736.8421</v>
      </c>
      <c r="K78" s="9">
        <f>E78+F78+G78</f>
        <v/>
      </c>
      <c r="L78" s="9">
        <f>H78+I78</f>
        <v/>
      </c>
      <c r="M78" s="9">
        <f>K78-L78</f>
        <v/>
      </c>
      <c r="N78" s="11">
        <f>IFERROR(M78/J78,0)</f>
        <v/>
      </c>
      <c r="O78" s="11">
        <f>IF((B78=B77),N77,"")</f>
        <v/>
      </c>
      <c r="P78" s="12">
        <f>IF(O78="","",IFERROR((N78-O78)/O78,""))</f>
        <v/>
      </c>
      <c r="Q78" s="13">
        <f>INDEX('Fund Master'!$F$2:$F$7,MATCH(B78,'Fund Master'!$A$2:$A$7,0))</f>
        <v/>
      </c>
      <c r="R78" s="9">
        <f>SUMIFS('Capital Activity'!$E$2:$E$385,'Capital Activity'!$A$2:$A$385,A78,'Capital Activity'!$B$2:$B$385,B78)</f>
        <v/>
      </c>
      <c r="S78" s="6">
        <f>IF(O78="","",IF(ABS(P78)*10000&gt;Q78,"NAV MOVE BREACH",""))</f>
        <v/>
      </c>
      <c r="T78" s="6">
        <f>IF(AND((B78=B77),D78&lt;&gt;"Money Market",E78=E77),"STALE PRICE","")</f>
        <v/>
      </c>
      <c r="U78" s="6">
        <f>IF(F78&lt;0,"NEGATIVE CASH","")</f>
        <v/>
      </c>
      <c r="V78" s="6">
        <f>IF(ABS(R78)&gt;0.05*M78,"LARGE FLOW","")</f>
        <v/>
      </c>
      <c r="W78" s="6">
        <f>(S78&lt;&gt;"")*1+(T78&lt;&gt;"")*1+(U78&lt;&gt;"")*1+(V78&lt;&gt;"")*1</f>
        <v/>
      </c>
      <c r="X78" s="6">
        <f>IF(S78&lt;&gt;"",S78,IF(T78&lt;&gt;"",T78,IF(U78&lt;&gt;"",U78,IF(V78&lt;&gt;"",V78,""))))</f>
        <v/>
      </c>
    </row>
    <row r="79">
      <c r="A79" s="6" t="inlineStr">
        <is>
          <t>2026-04-20</t>
        </is>
      </c>
      <c r="B79" s="6" t="inlineStr">
        <is>
          <t>EQEM</t>
        </is>
      </c>
      <c r="C79" s="6">
        <f>INDEX('Fund Master'!$B$2:$B$7,MATCH(B79,'Fund Master'!$A$2:$A$7,0))</f>
        <v/>
      </c>
      <c r="D79" s="6">
        <f>INDEX('Fund Master'!$C$2:$C$7,MATCH(B79,'Fund Master'!$A$2:$A$7,0))</f>
        <v/>
      </c>
      <c r="E79" s="8" t="n">
        <v>285556883.08</v>
      </c>
      <c r="F79" s="8" t="n">
        <v>9546062.24</v>
      </c>
      <c r="G79" s="8" t="n">
        <v>1859349.64</v>
      </c>
      <c r="H79" s="8" t="n">
        <v>1562033.56</v>
      </c>
      <c r="I79" s="8" t="n">
        <v>148268.39</v>
      </c>
      <c r="J79" s="10" t="n">
        <v>20394736.8421</v>
      </c>
      <c r="K79" s="9">
        <f>E79+F79+G79</f>
        <v/>
      </c>
      <c r="L79" s="9">
        <f>H79+I79</f>
        <v/>
      </c>
      <c r="M79" s="9">
        <f>K79-L79</f>
        <v/>
      </c>
      <c r="N79" s="11">
        <f>IFERROR(M79/J79,0)</f>
        <v/>
      </c>
      <c r="O79" s="11">
        <f>IF((B79=B78),N78,"")</f>
        <v/>
      </c>
      <c r="P79" s="12">
        <f>IF(O79="","",IFERROR((N79-O79)/O79,""))</f>
        <v/>
      </c>
      <c r="Q79" s="13">
        <f>INDEX('Fund Master'!$F$2:$F$7,MATCH(B79,'Fund Master'!$A$2:$A$7,0))</f>
        <v/>
      </c>
      <c r="R79" s="9">
        <f>SUMIFS('Capital Activity'!$E$2:$E$385,'Capital Activity'!$A$2:$A$385,A79,'Capital Activity'!$B$2:$B$385,B79)</f>
        <v/>
      </c>
      <c r="S79" s="6">
        <f>IF(O79="","",IF(ABS(P79)*10000&gt;Q79,"NAV MOVE BREACH",""))</f>
        <v/>
      </c>
      <c r="T79" s="6">
        <f>IF(AND((B79=B78),D79&lt;&gt;"Money Market",E79=E78),"STALE PRICE","")</f>
        <v/>
      </c>
      <c r="U79" s="6">
        <f>IF(F79&lt;0,"NEGATIVE CASH","")</f>
        <v/>
      </c>
      <c r="V79" s="6">
        <f>IF(ABS(R79)&gt;0.05*M79,"LARGE FLOW","")</f>
        <v/>
      </c>
      <c r="W79" s="6">
        <f>(S79&lt;&gt;"")*1+(T79&lt;&gt;"")*1+(U79&lt;&gt;"")*1+(V79&lt;&gt;"")*1</f>
        <v/>
      </c>
      <c r="X79" s="6">
        <f>IF(S79&lt;&gt;"",S79,IF(T79&lt;&gt;"",T79,IF(U79&lt;&gt;"",U79,IF(V79&lt;&gt;"",V79,""))))</f>
        <v/>
      </c>
    </row>
    <row r="80">
      <c r="A80" s="6" t="inlineStr">
        <is>
          <t>2026-04-21</t>
        </is>
      </c>
      <c r="B80" s="6" t="inlineStr">
        <is>
          <t>EQEM</t>
        </is>
      </c>
      <c r="C80" s="6">
        <f>INDEX('Fund Master'!$B$2:$B$7,MATCH(B80,'Fund Master'!$A$2:$A$7,0))</f>
        <v/>
      </c>
      <c r="D80" s="6">
        <f>INDEX('Fund Master'!$C$2:$C$7,MATCH(B80,'Fund Master'!$A$2:$A$7,0))</f>
        <v/>
      </c>
      <c r="E80" s="8" t="n">
        <v>283493158.9</v>
      </c>
      <c r="F80" s="8" t="n">
        <v>9379128.369999999</v>
      </c>
      <c r="G80" s="8" t="n">
        <v>1827198.02</v>
      </c>
      <c r="H80" s="8" t="n">
        <v>1394125.78</v>
      </c>
      <c r="I80" s="8" t="n">
        <v>158393.14</v>
      </c>
      <c r="J80" s="10" t="n">
        <v>20394736.8421</v>
      </c>
      <c r="K80" s="9">
        <f>E80+F80+G80</f>
        <v/>
      </c>
      <c r="L80" s="9">
        <f>H80+I80</f>
        <v/>
      </c>
      <c r="M80" s="9">
        <f>K80-L80</f>
        <v/>
      </c>
      <c r="N80" s="11">
        <f>IFERROR(M80/J80,0)</f>
        <v/>
      </c>
      <c r="O80" s="11">
        <f>IF((B80=B79),N79,"")</f>
        <v/>
      </c>
      <c r="P80" s="12">
        <f>IF(O80="","",IFERROR((N80-O80)/O80,""))</f>
        <v/>
      </c>
      <c r="Q80" s="13">
        <f>INDEX('Fund Master'!$F$2:$F$7,MATCH(B80,'Fund Master'!$A$2:$A$7,0))</f>
        <v/>
      </c>
      <c r="R80" s="9">
        <f>SUMIFS('Capital Activity'!$E$2:$E$385,'Capital Activity'!$A$2:$A$385,A80,'Capital Activity'!$B$2:$B$385,B80)</f>
        <v/>
      </c>
      <c r="S80" s="6">
        <f>IF(O80="","",IF(ABS(P80)*10000&gt;Q80,"NAV MOVE BREACH",""))</f>
        <v/>
      </c>
      <c r="T80" s="6">
        <f>IF(AND((B80=B79),D80&lt;&gt;"Money Market",E80=E79),"STALE PRICE","")</f>
        <v/>
      </c>
      <c r="U80" s="6">
        <f>IF(F80&lt;0,"NEGATIVE CASH","")</f>
        <v/>
      </c>
      <c r="V80" s="6">
        <f>IF(ABS(R80)&gt;0.05*M80,"LARGE FLOW","")</f>
        <v/>
      </c>
      <c r="W80" s="6">
        <f>(S80&lt;&gt;"")*1+(T80&lt;&gt;"")*1+(U80&lt;&gt;"")*1+(V80&lt;&gt;"")*1</f>
        <v/>
      </c>
      <c r="X80" s="6">
        <f>IF(S80&lt;&gt;"",S80,IF(T80&lt;&gt;"",T80,IF(U80&lt;&gt;"",U80,IF(V80&lt;&gt;"",V80,""))))</f>
        <v/>
      </c>
    </row>
    <row r="81">
      <c r="A81" s="6" t="inlineStr">
        <is>
          <t>2026-04-22</t>
        </is>
      </c>
      <c r="B81" s="6" t="inlineStr">
        <is>
          <t>EQEM</t>
        </is>
      </c>
      <c r="C81" s="6">
        <f>INDEX('Fund Master'!$B$2:$B$7,MATCH(B81,'Fund Master'!$A$2:$A$7,0))</f>
        <v/>
      </c>
      <c r="D81" s="6">
        <f>INDEX('Fund Master'!$C$2:$C$7,MATCH(B81,'Fund Master'!$A$2:$A$7,0))</f>
        <v/>
      </c>
      <c r="E81" s="8" t="n">
        <v>290078576.84</v>
      </c>
      <c r="F81" s="8" t="n">
        <v>9553657.27</v>
      </c>
      <c r="G81" s="8" t="n">
        <v>1909782.25</v>
      </c>
      <c r="H81" s="8" t="n">
        <v>1448179.57</v>
      </c>
      <c r="I81" s="8" t="n">
        <v>168753.09</v>
      </c>
      <c r="J81" s="10" t="n">
        <v>20394736.8421</v>
      </c>
      <c r="K81" s="9">
        <f>E81+F81+G81</f>
        <v/>
      </c>
      <c r="L81" s="9">
        <f>H81+I81</f>
        <v/>
      </c>
      <c r="M81" s="9">
        <f>K81-L81</f>
        <v/>
      </c>
      <c r="N81" s="11">
        <f>IFERROR(M81/J81,0)</f>
        <v/>
      </c>
      <c r="O81" s="11">
        <f>IF((B81=B80),N80,"")</f>
        <v/>
      </c>
      <c r="P81" s="12">
        <f>IF(O81="","",IFERROR((N81-O81)/O81,""))</f>
        <v/>
      </c>
      <c r="Q81" s="13">
        <f>INDEX('Fund Master'!$F$2:$F$7,MATCH(B81,'Fund Master'!$A$2:$A$7,0))</f>
        <v/>
      </c>
      <c r="R81" s="9">
        <f>SUMIFS('Capital Activity'!$E$2:$E$385,'Capital Activity'!$A$2:$A$385,A81,'Capital Activity'!$B$2:$B$385,B81)</f>
        <v/>
      </c>
      <c r="S81" s="6">
        <f>IF(O81="","",IF(ABS(P81)*10000&gt;Q81,"NAV MOVE BREACH",""))</f>
        <v/>
      </c>
      <c r="T81" s="6">
        <f>IF(AND((B81=B80),D81&lt;&gt;"Money Market",E81=E80),"STALE PRICE","")</f>
        <v/>
      </c>
      <c r="U81" s="6">
        <f>IF(F81&lt;0,"NEGATIVE CASH","")</f>
        <v/>
      </c>
      <c r="V81" s="6">
        <f>IF(ABS(R81)&gt;0.05*M81,"LARGE FLOW","")</f>
        <v/>
      </c>
      <c r="W81" s="6">
        <f>(S81&lt;&gt;"")*1+(T81&lt;&gt;"")*1+(U81&lt;&gt;"")*1+(V81&lt;&gt;"")*1</f>
        <v/>
      </c>
      <c r="X81" s="6">
        <f>IF(S81&lt;&gt;"",S81,IF(T81&lt;&gt;"",T81,IF(U81&lt;&gt;"",U81,IF(V81&lt;&gt;"",V81,""))))</f>
        <v/>
      </c>
    </row>
    <row r="82">
      <c r="A82" s="6" t="inlineStr">
        <is>
          <t>2026-04-23</t>
        </is>
      </c>
      <c r="B82" s="6" t="inlineStr">
        <is>
          <t>EQEM</t>
        </is>
      </c>
      <c r="C82" s="6">
        <f>INDEX('Fund Master'!$B$2:$B$7,MATCH(B82,'Fund Master'!$A$2:$A$7,0))</f>
        <v/>
      </c>
      <c r="D82" s="6">
        <f>INDEX('Fund Master'!$C$2:$C$7,MATCH(B82,'Fund Master'!$A$2:$A$7,0))</f>
        <v/>
      </c>
      <c r="E82" s="8" t="n">
        <v>289617106.42</v>
      </c>
      <c r="F82" s="8" t="n">
        <v>9372414.359999999</v>
      </c>
      <c r="G82" s="8" t="n">
        <v>1795083.03</v>
      </c>
      <c r="H82" s="8" t="n">
        <v>1460018.11</v>
      </c>
      <c r="I82" s="8" t="n">
        <v>179096.56</v>
      </c>
      <c r="J82" s="10" t="n">
        <v>20394736.8421</v>
      </c>
      <c r="K82" s="9">
        <f>E82+F82+G82</f>
        <v/>
      </c>
      <c r="L82" s="9">
        <f>H82+I82</f>
        <v/>
      </c>
      <c r="M82" s="9">
        <f>K82-L82</f>
        <v/>
      </c>
      <c r="N82" s="11">
        <f>IFERROR(M82/J82,0)</f>
        <v/>
      </c>
      <c r="O82" s="11">
        <f>IF((B82=B81),N81,"")</f>
        <v/>
      </c>
      <c r="P82" s="12">
        <f>IF(O82="","",IFERROR((N82-O82)/O82,""))</f>
        <v/>
      </c>
      <c r="Q82" s="13">
        <f>INDEX('Fund Master'!$F$2:$F$7,MATCH(B82,'Fund Master'!$A$2:$A$7,0))</f>
        <v/>
      </c>
      <c r="R82" s="9">
        <f>SUMIFS('Capital Activity'!$E$2:$E$385,'Capital Activity'!$A$2:$A$385,A82,'Capital Activity'!$B$2:$B$385,B82)</f>
        <v/>
      </c>
      <c r="S82" s="6">
        <f>IF(O82="","",IF(ABS(P82)*10000&gt;Q82,"NAV MOVE BREACH",""))</f>
        <v/>
      </c>
      <c r="T82" s="6">
        <f>IF(AND((B82=B81),D82&lt;&gt;"Money Market",E82=E81),"STALE PRICE","")</f>
        <v/>
      </c>
      <c r="U82" s="6">
        <f>IF(F82&lt;0,"NEGATIVE CASH","")</f>
        <v/>
      </c>
      <c r="V82" s="6">
        <f>IF(ABS(R82)&gt;0.05*M82,"LARGE FLOW","")</f>
        <v/>
      </c>
      <c r="W82" s="6">
        <f>(S82&lt;&gt;"")*1+(T82&lt;&gt;"")*1+(U82&lt;&gt;"")*1+(V82&lt;&gt;"")*1</f>
        <v/>
      </c>
      <c r="X82" s="6">
        <f>IF(S82&lt;&gt;"",S82,IF(T82&lt;&gt;"",T82,IF(U82&lt;&gt;"",U82,IF(V82&lt;&gt;"",V82,""))))</f>
        <v/>
      </c>
    </row>
    <row r="83">
      <c r="A83" s="6" t="inlineStr">
        <is>
          <t>2026-04-24</t>
        </is>
      </c>
      <c r="B83" s="6" t="inlineStr">
        <is>
          <t>EQEM</t>
        </is>
      </c>
      <c r="C83" s="6">
        <f>INDEX('Fund Master'!$B$2:$B$7,MATCH(B83,'Fund Master'!$A$2:$A$7,0))</f>
        <v/>
      </c>
      <c r="D83" s="6">
        <f>INDEX('Fund Master'!$C$2:$C$7,MATCH(B83,'Fund Master'!$A$2:$A$7,0))</f>
        <v/>
      </c>
      <c r="E83" s="8" t="n">
        <v>287053409.89</v>
      </c>
      <c r="F83" s="8" t="n">
        <v>9103172.33</v>
      </c>
      <c r="G83" s="8" t="n">
        <v>1895424.87</v>
      </c>
      <c r="H83" s="8" t="n">
        <v>1507832.65</v>
      </c>
      <c r="I83" s="8" t="n">
        <v>189348.47</v>
      </c>
      <c r="J83" s="10" t="n">
        <v>20394736.8421</v>
      </c>
      <c r="K83" s="9">
        <f>E83+F83+G83</f>
        <v/>
      </c>
      <c r="L83" s="9">
        <f>H83+I83</f>
        <v/>
      </c>
      <c r="M83" s="9">
        <f>K83-L83</f>
        <v/>
      </c>
      <c r="N83" s="11">
        <f>IFERROR(M83/J83,0)</f>
        <v/>
      </c>
      <c r="O83" s="11">
        <f>IF((B83=B82),N82,"")</f>
        <v/>
      </c>
      <c r="P83" s="12">
        <f>IF(O83="","",IFERROR((N83-O83)/O83,""))</f>
        <v/>
      </c>
      <c r="Q83" s="13">
        <f>INDEX('Fund Master'!$F$2:$F$7,MATCH(B83,'Fund Master'!$A$2:$A$7,0))</f>
        <v/>
      </c>
      <c r="R83" s="9">
        <f>SUMIFS('Capital Activity'!$E$2:$E$385,'Capital Activity'!$A$2:$A$385,A83,'Capital Activity'!$B$2:$B$385,B83)</f>
        <v/>
      </c>
      <c r="S83" s="6">
        <f>IF(O83="","",IF(ABS(P83)*10000&gt;Q83,"NAV MOVE BREACH",""))</f>
        <v/>
      </c>
      <c r="T83" s="6">
        <f>IF(AND((B83=B82),D83&lt;&gt;"Money Market",E83=E82),"STALE PRICE","")</f>
        <v/>
      </c>
      <c r="U83" s="6">
        <f>IF(F83&lt;0,"NEGATIVE CASH","")</f>
        <v/>
      </c>
      <c r="V83" s="6">
        <f>IF(ABS(R83)&gt;0.05*M83,"LARGE FLOW","")</f>
        <v/>
      </c>
      <c r="W83" s="6">
        <f>(S83&lt;&gt;"")*1+(T83&lt;&gt;"")*1+(U83&lt;&gt;"")*1+(V83&lt;&gt;"")*1</f>
        <v/>
      </c>
      <c r="X83" s="6">
        <f>IF(S83&lt;&gt;"",S83,IF(T83&lt;&gt;"",T83,IF(U83&lt;&gt;"",U83,IF(V83&lt;&gt;"",V83,""))))</f>
        <v/>
      </c>
    </row>
    <row r="84">
      <c r="A84" s="6" t="inlineStr">
        <is>
          <t>2026-04-27</t>
        </is>
      </c>
      <c r="B84" s="6" t="inlineStr">
        <is>
          <t>EQEM</t>
        </is>
      </c>
      <c r="C84" s="6">
        <f>INDEX('Fund Master'!$B$2:$B$7,MATCH(B84,'Fund Master'!$A$2:$A$7,0))</f>
        <v/>
      </c>
      <c r="D84" s="6">
        <f>INDEX('Fund Master'!$C$2:$C$7,MATCH(B84,'Fund Master'!$A$2:$A$7,0))</f>
        <v/>
      </c>
      <c r="E84" s="8" t="n">
        <v>287421744.28</v>
      </c>
      <c r="F84" s="8" t="n">
        <v>8966322.039999999</v>
      </c>
      <c r="G84" s="8" t="n">
        <v>2002923.95</v>
      </c>
      <c r="H84" s="8" t="n">
        <v>1546942.1</v>
      </c>
      <c r="I84" s="8" t="n">
        <v>199613.53</v>
      </c>
      <c r="J84" s="10" t="n">
        <v>20394736.8421</v>
      </c>
      <c r="K84" s="9">
        <f>E84+F84+G84</f>
        <v/>
      </c>
      <c r="L84" s="9">
        <f>H84+I84</f>
        <v/>
      </c>
      <c r="M84" s="9">
        <f>K84-L84</f>
        <v/>
      </c>
      <c r="N84" s="11">
        <f>IFERROR(M84/J84,0)</f>
        <v/>
      </c>
      <c r="O84" s="11">
        <f>IF((B84=B83),N83,"")</f>
        <v/>
      </c>
      <c r="P84" s="12">
        <f>IF(O84="","",IFERROR((N84-O84)/O84,""))</f>
        <v/>
      </c>
      <c r="Q84" s="13">
        <f>INDEX('Fund Master'!$F$2:$F$7,MATCH(B84,'Fund Master'!$A$2:$A$7,0))</f>
        <v/>
      </c>
      <c r="R84" s="9">
        <f>SUMIFS('Capital Activity'!$E$2:$E$385,'Capital Activity'!$A$2:$A$385,A84,'Capital Activity'!$B$2:$B$385,B84)</f>
        <v/>
      </c>
      <c r="S84" s="6">
        <f>IF(O84="","",IF(ABS(P84)*10000&gt;Q84,"NAV MOVE BREACH",""))</f>
        <v/>
      </c>
      <c r="T84" s="6">
        <f>IF(AND((B84=B83),D84&lt;&gt;"Money Market",E84=E83),"STALE PRICE","")</f>
        <v/>
      </c>
      <c r="U84" s="6">
        <f>IF(F84&lt;0,"NEGATIVE CASH","")</f>
        <v/>
      </c>
      <c r="V84" s="6">
        <f>IF(ABS(R84)&gt;0.05*M84,"LARGE FLOW","")</f>
        <v/>
      </c>
      <c r="W84" s="6">
        <f>(S84&lt;&gt;"")*1+(T84&lt;&gt;"")*1+(U84&lt;&gt;"")*1+(V84&lt;&gt;"")*1</f>
        <v/>
      </c>
      <c r="X84" s="6">
        <f>IF(S84&lt;&gt;"",S84,IF(T84&lt;&gt;"",T84,IF(U84&lt;&gt;"",U84,IF(V84&lt;&gt;"",V84,""))))</f>
        <v/>
      </c>
    </row>
    <row r="85">
      <c r="A85" s="6" t="inlineStr">
        <is>
          <t>2026-04-28</t>
        </is>
      </c>
      <c r="B85" s="6" t="inlineStr">
        <is>
          <t>EQEM</t>
        </is>
      </c>
      <c r="C85" s="6">
        <f>INDEX('Fund Master'!$B$2:$B$7,MATCH(B85,'Fund Master'!$A$2:$A$7,0))</f>
        <v/>
      </c>
      <c r="D85" s="6">
        <f>INDEX('Fund Master'!$C$2:$C$7,MATCH(B85,'Fund Master'!$A$2:$A$7,0))</f>
        <v/>
      </c>
      <c r="E85" s="8" t="n">
        <v>283955824.47</v>
      </c>
      <c r="F85" s="8" t="n">
        <v>8622607.83</v>
      </c>
      <c r="G85" s="8" t="n">
        <v>2041889.82</v>
      </c>
      <c r="H85" s="8" t="n">
        <v>1658413.66</v>
      </c>
      <c r="I85" s="8" t="n">
        <v>209754.81</v>
      </c>
      <c r="J85" s="10" t="n">
        <v>20394736.8421</v>
      </c>
      <c r="K85" s="9">
        <f>E85+F85+G85</f>
        <v/>
      </c>
      <c r="L85" s="9">
        <f>H85+I85</f>
        <v/>
      </c>
      <c r="M85" s="9">
        <f>K85-L85</f>
        <v/>
      </c>
      <c r="N85" s="11">
        <f>IFERROR(M85/J85,0)</f>
        <v/>
      </c>
      <c r="O85" s="11">
        <f>IF((B85=B84),N84,"")</f>
        <v/>
      </c>
      <c r="P85" s="12">
        <f>IF(O85="","",IFERROR((N85-O85)/O85,""))</f>
        <v/>
      </c>
      <c r="Q85" s="13">
        <f>INDEX('Fund Master'!$F$2:$F$7,MATCH(B85,'Fund Master'!$A$2:$A$7,0))</f>
        <v/>
      </c>
      <c r="R85" s="9">
        <f>SUMIFS('Capital Activity'!$E$2:$E$385,'Capital Activity'!$A$2:$A$385,A85,'Capital Activity'!$B$2:$B$385,B85)</f>
        <v/>
      </c>
      <c r="S85" s="6">
        <f>IF(O85="","",IF(ABS(P85)*10000&gt;Q85,"NAV MOVE BREACH",""))</f>
        <v/>
      </c>
      <c r="T85" s="6">
        <f>IF(AND((B85=B84),D85&lt;&gt;"Money Market",E85=E84),"STALE PRICE","")</f>
        <v/>
      </c>
      <c r="U85" s="6">
        <f>IF(F85&lt;0,"NEGATIVE CASH","")</f>
        <v/>
      </c>
      <c r="V85" s="6">
        <f>IF(ABS(R85)&gt;0.05*M85,"LARGE FLOW","")</f>
        <v/>
      </c>
      <c r="W85" s="6">
        <f>(S85&lt;&gt;"")*1+(T85&lt;&gt;"")*1+(U85&lt;&gt;"")*1+(V85&lt;&gt;"")*1</f>
        <v/>
      </c>
      <c r="X85" s="6">
        <f>IF(S85&lt;&gt;"",S85,IF(T85&lt;&gt;"",T85,IF(U85&lt;&gt;"",U85,IF(V85&lt;&gt;"",V85,""))))</f>
        <v/>
      </c>
    </row>
    <row r="86">
      <c r="A86" s="6" t="inlineStr">
        <is>
          <t>2026-04-29</t>
        </is>
      </c>
      <c r="B86" s="6" t="inlineStr">
        <is>
          <t>EQEM</t>
        </is>
      </c>
      <c r="C86" s="6">
        <f>INDEX('Fund Master'!$B$2:$B$7,MATCH(B86,'Fund Master'!$A$2:$A$7,0))</f>
        <v/>
      </c>
      <c r="D86" s="6">
        <f>INDEX('Fund Master'!$C$2:$C$7,MATCH(B86,'Fund Master'!$A$2:$A$7,0))</f>
        <v/>
      </c>
      <c r="E86" s="8" t="n">
        <v>281426063.18</v>
      </c>
      <c r="F86" s="8" t="n">
        <v>8463535.18</v>
      </c>
      <c r="G86" s="8" t="n">
        <v>1983687.01</v>
      </c>
      <c r="H86" s="8" t="n">
        <v>1585282.97</v>
      </c>
      <c r="I86" s="8" t="n">
        <v>219805.74</v>
      </c>
      <c r="J86" s="10" t="n">
        <v>20394736.8421</v>
      </c>
      <c r="K86" s="9">
        <f>E86+F86+G86</f>
        <v/>
      </c>
      <c r="L86" s="9">
        <f>H86+I86</f>
        <v/>
      </c>
      <c r="M86" s="9">
        <f>K86-L86</f>
        <v/>
      </c>
      <c r="N86" s="11">
        <f>IFERROR(M86/J86,0)</f>
        <v/>
      </c>
      <c r="O86" s="11">
        <f>IF((B86=B85),N85,"")</f>
        <v/>
      </c>
      <c r="P86" s="12">
        <f>IF(O86="","",IFERROR((N86-O86)/O86,""))</f>
        <v/>
      </c>
      <c r="Q86" s="13">
        <f>INDEX('Fund Master'!$F$2:$F$7,MATCH(B86,'Fund Master'!$A$2:$A$7,0))</f>
        <v/>
      </c>
      <c r="R86" s="9">
        <f>SUMIFS('Capital Activity'!$E$2:$E$385,'Capital Activity'!$A$2:$A$385,A86,'Capital Activity'!$B$2:$B$385,B86)</f>
        <v/>
      </c>
      <c r="S86" s="6">
        <f>IF(O86="","",IF(ABS(P86)*10000&gt;Q86,"NAV MOVE BREACH",""))</f>
        <v/>
      </c>
      <c r="T86" s="6">
        <f>IF(AND((B86=B85),D86&lt;&gt;"Money Market",E86=E85),"STALE PRICE","")</f>
        <v/>
      </c>
      <c r="U86" s="6">
        <f>IF(F86&lt;0,"NEGATIVE CASH","")</f>
        <v/>
      </c>
      <c r="V86" s="6">
        <f>IF(ABS(R86)&gt;0.05*M86,"LARGE FLOW","")</f>
        <v/>
      </c>
      <c r="W86" s="6">
        <f>(S86&lt;&gt;"")*1+(T86&lt;&gt;"")*1+(U86&lt;&gt;"")*1+(V86&lt;&gt;"")*1</f>
        <v/>
      </c>
      <c r="X86" s="6">
        <f>IF(S86&lt;&gt;"",S86,IF(T86&lt;&gt;"",T86,IF(U86&lt;&gt;"",U86,IF(V86&lt;&gt;"",V86,""))))</f>
        <v/>
      </c>
    </row>
    <row r="87">
      <c r="A87" s="6" t="inlineStr">
        <is>
          <t>2026-04-30</t>
        </is>
      </c>
      <c r="B87" s="6" t="inlineStr">
        <is>
          <t>EQEM</t>
        </is>
      </c>
      <c r="C87" s="6">
        <f>INDEX('Fund Master'!$B$2:$B$7,MATCH(B87,'Fund Master'!$A$2:$A$7,0))</f>
        <v/>
      </c>
      <c r="D87" s="6">
        <f>INDEX('Fund Master'!$C$2:$C$7,MATCH(B87,'Fund Master'!$A$2:$A$7,0))</f>
        <v/>
      </c>
      <c r="E87" s="8" t="n">
        <v>282547938.78</v>
      </c>
      <c r="F87" s="8" t="n">
        <v>8488757.380000001</v>
      </c>
      <c r="G87" s="8" t="n">
        <v>1975391.34</v>
      </c>
      <c r="H87" s="8" t="n">
        <v>1530059.28</v>
      </c>
      <c r="I87" s="8" t="n">
        <v>229896.74</v>
      </c>
      <c r="J87" s="10" t="n">
        <v>20394736.8421</v>
      </c>
      <c r="K87" s="9">
        <f>E87+F87+G87</f>
        <v/>
      </c>
      <c r="L87" s="9">
        <f>H87+I87</f>
        <v/>
      </c>
      <c r="M87" s="9">
        <f>K87-L87</f>
        <v/>
      </c>
      <c r="N87" s="11">
        <f>IFERROR(M87/J87,0)</f>
        <v/>
      </c>
      <c r="O87" s="11">
        <f>IF((B87=B86),N86,"")</f>
        <v/>
      </c>
      <c r="P87" s="12">
        <f>IF(O87="","",IFERROR((N87-O87)/O87,""))</f>
        <v/>
      </c>
      <c r="Q87" s="13">
        <f>INDEX('Fund Master'!$F$2:$F$7,MATCH(B87,'Fund Master'!$A$2:$A$7,0))</f>
        <v/>
      </c>
      <c r="R87" s="9">
        <f>SUMIFS('Capital Activity'!$E$2:$E$385,'Capital Activity'!$A$2:$A$385,A87,'Capital Activity'!$B$2:$B$385,B87)</f>
        <v/>
      </c>
      <c r="S87" s="6">
        <f>IF(O87="","",IF(ABS(P87)*10000&gt;Q87,"NAV MOVE BREACH",""))</f>
        <v/>
      </c>
      <c r="T87" s="6">
        <f>IF(AND((B87=B86),D87&lt;&gt;"Money Market",E87=E86),"STALE PRICE","")</f>
        <v/>
      </c>
      <c r="U87" s="6">
        <f>IF(F87&lt;0,"NEGATIVE CASH","")</f>
        <v/>
      </c>
      <c r="V87" s="6">
        <f>IF(ABS(R87)&gt;0.05*M87,"LARGE FLOW","")</f>
        <v/>
      </c>
      <c r="W87" s="6">
        <f>(S87&lt;&gt;"")*1+(T87&lt;&gt;"")*1+(U87&lt;&gt;"")*1+(V87&lt;&gt;"")*1</f>
        <v/>
      </c>
      <c r="X87" s="6">
        <f>IF(S87&lt;&gt;"",S87,IF(T87&lt;&gt;"",T87,IF(U87&lt;&gt;"",U87,IF(V87&lt;&gt;"",V87,""))))</f>
        <v/>
      </c>
    </row>
    <row r="88">
      <c r="A88" s="6" t="inlineStr">
        <is>
          <t>2026-05-01</t>
        </is>
      </c>
      <c r="B88" s="6" t="inlineStr">
        <is>
          <t>EQEM</t>
        </is>
      </c>
      <c r="C88" s="6">
        <f>INDEX('Fund Master'!$B$2:$B$7,MATCH(B88,'Fund Master'!$A$2:$A$7,0))</f>
        <v/>
      </c>
      <c r="D88" s="6">
        <f>INDEX('Fund Master'!$C$2:$C$7,MATCH(B88,'Fund Master'!$A$2:$A$7,0))</f>
        <v/>
      </c>
      <c r="E88" s="8" t="n">
        <v>284585912.04</v>
      </c>
      <c r="F88" s="8" t="n">
        <v>8383066.36</v>
      </c>
      <c r="G88" s="8" t="n">
        <v>1996423.98</v>
      </c>
      <c r="H88" s="8" t="n">
        <v>1592415.56</v>
      </c>
      <c r="I88" s="8" t="n">
        <v>240060.52</v>
      </c>
      <c r="J88" s="10" t="n">
        <v>20394736.8421</v>
      </c>
      <c r="K88" s="9">
        <f>E88+F88+G88</f>
        <v/>
      </c>
      <c r="L88" s="9">
        <f>H88+I88</f>
        <v/>
      </c>
      <c r="M88" s="9">
        <f>K88-L88</f>
        <v/>
      </c>
      <c r="N88" s="11">
        <f>IFERROR(M88/J88,0)</f>
        <v/>
      </c>
      <c r="O88" s="11">
        <f>IF((B88=B87),N87,"")</f>
        <v/>
      </c>
      <c r="P88" s="12">
        <f>IF(O88="","",IFERROR((N88-O88)/O88,""))</f>
        <v/>
      </c>
      <c r="Q88" s="13">
        <f>INDEX('Fund Master'!$F$2:$F$7,MATCH(B88,'Fund Master'!$A$2:$A$7,0))</f>
        <v/>
      </c>
      <c r="R88" s="9">
        <f>SUMIFS('Capital Activity'!$E$2:$E$385,'Capital Activity'!$A$2:$A$385,A88,'Capital Activity'!$B$2:$B$385,B88)</f>
        <v/>
      </c>
      <c r="S88" s="6">
        <f>IF(O88="","",IF(ABS(P88)*10000&gt;Q88,"NAV MOVE BREACH",""))</f>
        <v/>
      </c>
      <c r="T88" s="6">
        <f>IF(AND((B88=B87),D88&lt;&gt;"Money Market",E88=E87),"STALE PRICE","")</f>
        <v/>
      </c>
      <c r="U88" s="6">
        <f>IF(F88&lt;0,"NEGATIVE CASH","")</f>
        <v/>
      </c>
      <c r="V88" s="6">
        <f>IF(ABS(R88)&gt;0.05*M88,"LARGE FLOW","")</f>
        <v/>
      </c>
      <c r="W88" s="6">
        <f>(S88&lt;&gt;"")*1+(T88&lt;&gt;"")*1+(U88&lt;&gt;"")*1+(V88&lt;&gt;"")*1</f>
        <v/>
      </c>
      <c r="X88" s="6">
        <f>IF(S88&lt;&gt;"",S88,IF(T88&lt;&gt;"",T88,IF(U88&lt;&gt;"",U88,IF(V88&lt;&gt;"",V88,""))))</f>
        <v/>
      </c>
    </row>
    <row r="89">
      <c r="A89" s="6" t="inlineStr">
        <is>
          <t>2026-05-04</t>
        </is>
      </c>
      <c r="B89" s="6" t="inlineStr">
        <is>
          <t>EQEM</t>
        </is>
      </c>
      <c r="C89" s="6">
        <f>INDEX('Fund Master'!$B$2:$B$7,MATCH(B89,'Fund Master'!$A$2:$A$7,0))</f>
        <v/>
      </c>
      <c r="D89" s="6">
        <f>INDEX('Fund Master'!$C$2:$C$7,MATCH(B89,'Fund Master'!$A$2:$A$7,0))</f>
        <v/>
      </c>
      <c r="E89" s="8" t="n">
        <v>282002801.8</v>
      </c>
      <c r="F89" s="8" t="n">
        <v>8403521.76</v>
      </c>
      <c r="G89" s="8" t="n">
        <v>1926645.08</v>
      </c>
      <c r="H89" s="8" t="n">
        <v>1455805.99</v>
      </c>
      <c r="I89" s="8" t="n">
        <v>250132.05</v>
      </c>
      <c r="J89" s="10" t="n">
        <v>20394736.8421</v>
      </c>
      <c r="K89" s="9">
        <f>E89+F89+G89</f>
        <v/>
      </c>
      <c r="L89" s="9">
        <f>H89+I89</f>
        <v/>
      </c>
      <c r="M89" s="9">
        <f>K89-L89</f>
        <v/>
      </c>
      <c r="N89" s="11">
        <f>IFERROR(M89/J89,0)</f>
        <v/>
      </c>
      <c r="O89" s="11">
        <f>IF((B89=B88),N88,"")</f>
        <v/>
      </c>
      <c r="P89" s="12">
        <f>IF(O89="","",IFERROR((N89-O89)/O89,""))</f>
        <v/>
      </c>
      <c r="Q89" s="13">
        <f>INDEX('Fund Master'!$F$2:$F$7,MATCH(B89,'Fund Master'!$A$2:$A$7,0))</f>
        <v/>
      </c>
      <c r="R89" s="9">
        <f>SUMIFS('Capital Activity'!$E$2:$E$385,'Capital Activity'!$A$2:$A$385,A89,'Capital Activity'!$B$2:$B$385,B89)</f>
        <v/>
      </c>
      <c r="S89" s="6">
        <f>IF(O89="","",IF(ABS(P89)*10000&gt;Q89,"NAV MOVE BREACH",""))</f>
        <v/>
      </c>
      <c r="T89" s="6">
        <f>IF(AND((B89=B88),D89&lt;&gt;"Money Market",E89=E88),"STALE PRICE","")</f>
        <v/>
      </c>
      <c r="U89" s="6">
        <f>IF(F89&lt;0,"NEGATIVE CASH","")</f>
        <v/>
      </c>
      <c r="V89" s="6">
        <f>IF(ABS(R89)&gt;0.05*M89,"LARGE FLOW","")</f>
        <v/>
      </c>
      <c r="W89" s="6">
        <f>(S89&lt;&gt;"")*1+(T89&lt;&gt;"")*1+(U89&lt;&gt;"")*1+(V89&lt;&gt;"")*1</f>
        <v/>
      </c>
      <c r="X89" s="6">
        <f>IF(S89&lt;&gt;"",S89,IF(T89&lt;&gt;"",T89,IF(U89&lt;&gt;"",U89,IF(V89&lt;&gt;"",V89,""))))</f>
        <v/>
      </c>
    </row>
    <row r="90">
      <c r="A90" s="6" t="inlineStr">
        <is>
          <t>2026-05-05</t>
        </is>
      </c>
      <c r="B90" s="6" t="inlineStr">
        <is>
          <t>EQEM</t>
        </is>
      </c>
      <c r="C90" s="6">
        <f>INDEX('Fund Master'!$B$2:$B$7,MATCH(B90,'Fund Master'!$A$2:$A$7,0))</f>
        <v/>
      </c>
      <c r="D90" s="6">
        <f>INDEX('Fund Master'!$C$2:$C$7,MATCH(B90,'Fund Master'!$A$2:$A$7,0))</f>
        <v/>
      </c>
      <c r="E90" s="8" t="n">
        <v>283084596.99</v>
      </c>
      <c r="F90" s="8" t="n">
        <v>8282159.77</v>
      </c>
      <c r="G90" s="8" t="n">
        <v>1977422.08</v>
      </c>
      <c r="H90" s="8" t="n">
        <v>1348506.46</v>
      </c>
      <c r="I90" s="8" t="n">
        <v>260242.21</v>
      </c>
      <c r="J90" s="10" t="n">
        <v>20394736.8421</v>
      </c>
      <c r="K90" s="9">
        <f>E90+F90+G90</f>
        <v/>
      </c>
      <c r="L90" s="9">
        <f>H90+I90</f>
        <v/>
      </c>
      <c r="M90" s="9">
        <f>K90-L90</f>
        <v/>
      </c>
      <c r="N90" s="11">
        <f>IFERROR(M90/J90,0)</f>
        <v/>
      </c>
      <c r="O90" s="11">
        <f>IF((B90=B89),N89,"")</f>
        <v/>
      </c>
      <c r="P90" s="12">
        <f>IF(O90="","",IFERROR((N90-O90)/O90,""))</f>
        <v/>
      </c>
      <c r="Q90" s="13">
        <f>INDEX('Fund Master'!$F$2:$F$7,MATCH(B90,'Fund Master'!$A$2:$A$7,0))</f>
        <v/>
      </c>
      <c r="R90" s="9">
        <f>SUMIFS('Capital Activity'!$E$2:$E$385,'Capital Activity'!$A$2:$A$385,A90,'Capital Activity'!$B$2:$B$385,B90)</f>
        <v/>
      </c>
      <c r="S90" s="6">
        <f>IF(O90="","",IF(ABS(P90)*10000&gt;Q90,"NAV MOVE BREACH",""))</f>
        <v/>
      </c>
      <c r="T90" s="6">
        <f>IF(AND((B90=B89),D90&lt;&gt;"Money Market",E90=E89),"STALE PRICE","")</f>
        <v/>
      </c>
      <c r="U90" s="6">
        <f>IF(F90&lt;0,"NEGATIVE CASH","")</f>
        <v/>
      </c>
      <c r="V90" s="6">
        <f>IF(ABS(R90)&gt;0.05*M90,"LARGE FLOW","")</f>
        <v/>
      </c>
      <c r="W90" s="6">
        <f>(S90&lt;&gt;"")*1+(T90&lt;&gt;"")*1+(U90&lt;&gt;"")*1+(V90&lt;&gt;"")*1</f>
        <v/>
      </c>
      <c r="X90" s="6">
        <f>IF(S90&lt;&gt;"",S90,IF(T90&lt;&gt;"",T90,IF(U90&lt;&gt;"",U90,IF(V90&lt;&gt;"",V90,""))))</f>
        <v/>
      </c>
    </row>
    <row r="91">
      <c r="A91" s="6" t="inlineStr">
        <is>
          <t>2026-05-06</t>
        </is>
      </c>
      <c r="B91" s="6" t="inlineStr">
        <is>
          <t>EQEM</t>
        </is>
      </c>
      <c r="C91" s="6">
        <f>INDEX('Fund Master'!$B$2:$B$7,MATCH(B91,'Fund Master'!$A$2:$A$7,0))</f>
        <v/>
      </c>
      <c r="D91" s="6">
        <f>INDEX('Fund Master'!$C$2:$C$7,MATCH(B91,'Fund Master'!$A$2:$A$7,0))</f>
        <v/>
      </c>
      <c r="E91" s="8" t="n">
        <v>280557867.24</v>
      </c>
      <c r="F91" s="8" t="n">
        <v>8216214.5</v>
      </c>
      <c r="G91" s="8" t="n">
        <v>1901837.22</v>
      </c>
      <c r="H91" s="8" t="n">
        <v>1310576.46</v>
      </c>
      <c r="I91" s="8" t="n">
        <v>270262.14</v>
      </c>
      <c r="J91" s="10" t="n">
        <v>20394736.8421</v>
      </c>
      <c r="K91" s="9">
        <f>E91+F91+G91</f>
        <v/>
      </c>
      <c r="L91" s="9">
        <f>H91+I91</f>
        <v/>
      </c>
      <c r="M91" s="9">
        <f>K91-L91</f>
        <v/>
      </c>
      <c r="N91" s="11">
        <f>IFERROR(M91/J91,0)</f>
        <v/>
      </c>
      <c r="O91" s="11">
        <f>IF((B91=B90),N90,"")</f>
        <v/>
      </c>
      <c r="P91" s="12">
        <f>IF(O91="","",IFERROR((N91-O91)/O91,""))</f>
        <v/>
      </c>
      <c r="Q91" s="13">
        <f>INDEX('Fund Master'!$F$2:$F$7,MATCH(B91,'Fund Master'!$A$2:$A$7,0))</f>
        <v/>
      </c>
      <c r="R91" s="9">
        <f>SUMIFS('Capital Activity'!$E$2:$E$385,'Capital Activity'!$A$2:$A$385,A91,'Capital Activity'!$B$2:$B$385,B91)</f>
        <v/>
      </c>
      <c r="S91" s="6">
        <f>IF(O91="","",IF(ABS(P91)*10000&gt;Q91,"NAV MOVE BREACH",""))</f>
        <v/>
      </c>
      <c r="T91" s="6">
        <f>IF(AND((B91=B90),D91&lt;&gt;"Money Market",E91=E90),"STALE PRICE","")</f>
        <v/>
      </c>
      <c r="U91" s="6">
        <f>IF(F91&lt;0,"NEGATIVE CASH","")</f>
        <v/>
      </c>
      <c r="V91" s="6">
        <f>IF(ABS(R91)&gt;0.05*M91,"LARGE FLOW","")</f>
        <v/>
      </c>
      <c r="W91" s="6">
        <f>(S91&lt;&gt;"")*1+(T91&lt;&gt;"")*1+(U91&lt;&gt;"")*1+(V91&lt;&gt;"")*1</f>
        <v/>
      </c>
      <c r="X91" s="6">
        <f>IF(S91&lt;&gt;"",S91,IF(T91&lt;&gt;"",T91,IF(U91&lt;&gt;"",U91,IF(V91&lt;&gt;"",V91,""))))</f>
        <v/>
      </c>
    </row>
    <row r="92">
      <c r="A92" s="6" t="inlineStr">
        <is>
          <t>2026-05-07</t>
        </is>
      </c>
      <c r="B92" s="6" t="inlineStr">
        <is>
          <t>EQEM</t>
        </is>
      </c>
      <c r="C92" s="6">
        <f>INDEX('Fund Master'!$B$2:$B$7,MATCH(B92,'Fund Master'!$A$2:$A$7,0))</f>
        <v/>
      </c>
      <c r="D92" s="6">
        <f>INDEX('Fund Master'!$C$2:$C$7,MATCH(B92,'Fund Master'!$A$2:$A$7,0))</f>
        <v/>
      </c>
      <c r="E92" s="8" t="n">
        <v>283896418.77</v>
      </c>
      <c r="F92" s="8" t="n">
        <v>8121553.06</v>
      </c>
      <c r="G92" s="8" t="n">
        <v>1960566.77</v>
      </c>
      <c r="H92" s="8" t="n">
        <v>1424393.4</v>
      </c>
      <c r="I92" s="8" t="n">
        <v>280401.29</v>
      </c>
      <c r="J92" s="10" t="n">
        <v>20394736.8421</v>
      </c>
      <c r="K92" s="9">
        <f>E92+F92+G92</f>
        <v/>
      </c>
      <c r="L92" s="9">
        <f>H92+I92</f>
        <v/>
      </c>
      <c r="M92" s="9">
        <f>K92-L92</f>
        <v/>
      </c>
      <c r="N92" s="11">
        <f>IFERROR(M92/J92,0)</f>
        <v/>
      </c>
      <c r="O92" s="11">
        <f>IF((B92=B91),N91,"")</f>
        <v/>
      </c>
      <c r="P92" s="12">
        <f>IF(O92="","",IFERROR((N92-O92)/O92,""))</f>
        <v/>
      </c>
      <c r="Q92" s="13">
        <f>INDEX('Fund Master'!$F$2:$F$7,MATCH(B92,'Fund Master'!$A$2:$A$7,0))</f>
        <v/>
      </c>
      <c r="R92" s="9">
        <f>SUMIFS('Capital Activity'!$E$2:$E$385,'Capital Activity'!$A$2:$A$385,A92,'Capital Activity'!$B$2:$B$385,B92)</f>
        <v/>
      </c>
      <c r="S92" s="6">
        <f>IF(O92="","",IF(ABS(P92)*10000&gt;Q92,"NAV MOVE BREACH",""))</f>
        <v/>
      </c>
      <c r="T92" s="6">
        <f>IF(AND((B92=B91),D92&lt;&gt;"Money Market",E92=E91),"STALE PRICE","")</f>
        <v/>
      </c>
      <c r="U92" s="6">
        <f>IF(F92&lt;0,"NEGATIVE CASH","")</f>
        <v/>
      </c>
      <c r="V92" s="6">
        <f>IF(ABS(R92)&gt;0.05*M92,"LARGE FLOW","")</f>
        <v/>
      </c>
      <c r="W92" s="6">
        <f>(S92&lt;&gt;"")*1+(T92&lt;&gt;"")*1+(U92&lt;&gt;"")*1+(V92&lt;&gt;"")*1</f>
        <v/>
      </c>
      <c r="X92" s="6">
        <f>IF(S92&lt;&gt;"",S92,IF(T92&lt;&gt;"",T92,IF(U92&lt;&gt;"",U92,IF(V92&lt;&gt;"",V92,""))))</f>
        <v/>
      </c>
    </row>
    <row r="93">
      <c r="A93" s="6" t="inlineStr">
        <is>
          <t>2026-05-08</t>
        </is>
      </c>
      <c r="B93" s="6" t="inlineStr">
        <is>
          <t>EQEM</t>
        </is>
      </c>
      <c r="C93" s="6">
        <f>INDEX('Fund Master'!$B$2:$B$7,MATCH(B93,'Fund Master'!$A$2:$A$7,0))</f>
        <v/>
      </c>
      <c r="D93" s="6">
        <f>INDEX('Fund Master'!$C$2:$C$7,MATCH(B93,'Fund Master'!$A$2:$A$7,0))</f>
        <v/>
      </c>
      <c r="E93" s="8" t="n">
        <v>286246800</v>
      </c>
      <c r="F93" s="8" t="n">
        <v>8153918.82</v>
      </c>
      <c r="G93" s="8" t="n">
        <v>2002295.76</v>
      </c>
      <c r="H93" s="8" t="n">
        <v>1394692.65</v>
      </c>
      <c r="I93" s="8" t="n">
        <v>290624.39</v>
      </c>
      <c r="J93" s="10" t="n">
        <v>20394736.8421</v>
      </c>
      <c r="K93" s="9">
        <f>E93+F93+G93</f>
        <v/>
      </c>
      <c r="L93" s="9">
        <f>H93+I93</f>
        <v/>
      </c>
      <c r="M93" s="9">
        <f>K93-L93</f>
        <v/>
      </c>
      <c r="N93" s="11">
        <f>IFERROR(M93/J93,0)</f>
        <v/>
      </c>
      <c r="O93" s="11">
        <f>IF((B93=B92),N92,"")</f>
        <v/>
      </c>
      <c r="P93" s="12">
        <f>IF(O93="","",IFERROR((N93-O93)/O93,""))</f>
        <v/>
      </c>
      <c r="Q93" s="13">
        <f>INDEX('Fund Master'!$F$2:$F$7,MATCH(B93,'Fund Master'!$A$2:$A$7,0))</f>
        <v/>
      </c>
      <c r="R93" s="9">
        <f>SUMIFS('Capital Activity'!$E$2:$E$385,'Capital Activity'!$A$2:$A$385,A93,'Capital Activity'!$B$2:$B$385,B93)</f>
        <v/>
      </c>
      <c r="S93" s="6">
        <f>IF(O93="","",IF(ABS(P93)*10000&gt;Q93,"NAV MOVE BREACH",""))</f>
        <v/>
      </c>
      <c r="T93" s="6">
        <f>IF(AND((B93=B92),D93&lt;&gt;"Money Market",E93=E92),"STALE PRICE","")</f>
        <v/>
      </c>
      <c r="U93" s="6">
        <f>IF(F93&lt;0,"NEGATIVE CASH","")</f>
        <v/>
      </c>
      <c r="V93" s="6">
        <f>IF(ABS(R93)&gt;0.05*M93,"LARGE FLOW","")</f>
        <v/>
      </c>
      <c r="W93" s="6">
        <f>(S93&lt;&gt;"")*1+(T93&lt;&gt;"")*1+(U93&lt;&gt;"")*1+(V93&lt;&gt;"")*1</f>
        <v/>
      </c>
      <c r="X93" s="6">
        <f>IF(S93&lt;&gt;"",S93,IF(T93&lt;&gt;"",T93,IF(U93&lt;&gt;"",U93,IF(V93&lt;&gt;"",V93,""))))</f>
        <v/>
      </c>
    </row>
    <row r="94">
      <c r="A94" s="6" t="inlineStr">
        <is>
          <t>2026-05-11</t>
        </is>
      </c>
      <c r="B94" s="6" t="inlineStr">
        <is>
          <t>EQEM</t>
        </is>
      </c>
      <c r="C94" s="6">
        <f>INDEX('Fund Master'!$B$2:$B$7,MATCH(B94,'Fund Master'!$A$2:$A$7,0))</f>
        <v/>
      </c>
      <c r="D94" s="6">
        <f>INDEX('Fund Master'!$C$2:$C$7,MATCH(B94,'Fund Master'!$A$2:$A$7,0))</f>
        <v/>
      </c>
      <c r="E94" s="8" t="n">
        <v>290983883.65</v>
      </c>
      <c r="F94" s="8" t="n">
        <v>8333277.03</v>
      </c>
      <c r="G94" s="8" t="n">
        <v>2059008.51</v>
      </c>
      <c r="H94" s="8" t="n">
        <v>1389009.45</v>
      </c>
      <c r="I94" s="8" t="n">
        <v>301016.68</v>
      </c>
      <c r="J94" s="10" t="n">
        <v>20394736.8421</v>
      </c>
      <c r="K94" s="9">
        <f>E94+F94+G94</f>
        <v/>
      </c>
      <c r="L94" s="9">
        <f>H94+I94</f>
        <v/>
      </c>
      <c r="M94" s="9">
        <f>K94-L94</f>
        <v/>
      </c>
      <c r="N94" s="11">
        <f>IFERROR(M94/J94,0)</f>
        <v/>
      </c>
      <c r="O94" s="11">
        <f>IF((B94=B93),N93,"")</f>
        <v/>
      </c>
      <c r="P94" s="12">
        <f>IF(O94="","",IFERROR((N94-O94)/O94,""))</f>
        <v/>
      </c>
      <c r="Q94" s="13">
        <f>INDEX('Fund Master'!$F$2:$F$7,MATCH(B94,'Fund Master'!$A$2:$A$7,0))</f>
        <v/>
      </c>
      <c r="R94" s="9">
        <f>SUMIFS('Capital Activity'!$E$2:$E$385,'Capital Activity'!$A$2:$A$385,A94,'Capital Activity'!$B$2:$B$385,B94)</f>
        <v/>
      </c>
      <c r="S94" s="6">
        <f>IF(O94="","",IF(ABS(P94)*10000&gt;Q94,"NAV MOVE BREACH",""))</f>
        <v/>
      </c>
      <c r="T94" s="6">
        <f>IF(AND((B94=B93),D94&lt;&gt;"Money Market",E94=E93),"STALE PRICE","")</f>
        <v/>
      </c>
      <c r="U94" s="6">
        <f>IF(F94&lt;0,"NEGATIVE CASH","")</f>
        <v/>
      </c>
      <c r="V94" s="6">
        <f>IF(ABS(R94)&gt;0.05*M94,"LARGE FLOW","")</f>
        <v/>
      </c>
      <c r="W94" s="6">
        <f>(S94&lt;&gt;"")*1+(T94&lt;&gt;"")*1+(U94&lt;&gt;"")*1+(V94&lt;&gt;"")*1</f>
        <v/>
      </c>
      <c r="X94" s="6">
        <f>IF(S94&lt;&gt;"",S94,IF(T94&lt;&gt;"",T94,IF(U94&lt;&gt;"",U94,IF(V94&lt;&gt;"",V94,""))))</f>
        <v/>
      </c>
    </row>
    <row r="95">
      <c r="A95" s="6" t="inlineStr">
        <is>
          <t>2026-05-12</t>
        </is>
      </c>
      <c r="B95" s="6" t="inlineStr">
        <is>
          <t>EQEM</t>
        </is>
      </c>
      <c r="C95" s="6">
        <f>INDEX('Fund Master'!$B$2:$B$7,MATCH(B95,'Fund Master'!$A$2:$A$7,0))</f>
        <v/>
      </c>
      <c r="D95" s="6">
        <f>INDEX('Fund Master'!$C$2:$C$7,MATCH(B95,'Fund Master'!$A$2:$A$7,0))</f>
        <v/>
      </c>
      <c r="E95" s="8" t="n">
        <v>292648989.46</v>
      </c>
      <c r="F95" s="8" t="n">
        <v>8307042.38</v>
      </c>
      <c r="G95" s="8" t="n">
        <v>2091143.4</v>
      </c>
      <c r="H95" s="8" t="n">
        <v>1542725.17</v>
      </c>
      <c r="I95" s="8" t="n">
        <v>311468.42</v>
      </c>
      <c r="J95" s="10" t="n">
        <v>20394736.8421</v>
      </c>
      <c r="K95" s="9">
        <f>E95+F95+G95</f>
        <v/>
      </c>
      <c r="L95" s="9">
        <f>H95+I95</f>
        <v/>
      </c>
      <c r="M95" s="9">
        <f>K95-L95</f>
        <v/>
      </c>
      <c r="N95" s="11">
        <f>IFERROR(M95/J95,0)</f>
        <v/>
      </c>
      <c r="O95" s="11">
        <f>IF((B95=B94),N94,"")</f>
        <v/>
      </c>
      <c r="P95" s="12">
        <f>IF(O95="","",IFERROR((N95-O95)/O95,""))</f>
        <v/>
      </c>
      <c r="Q95" s="13">
        <f>INDEX('Fund Master'!$F$2:$F$7,MATCH(B95,'Fund Master'!$A$2:$A$7,0))</f>
        <v/>
      </c>
      <c r="R95" s="9">
        <f>SUMIFS('Capital Activity'!$E$2:$E$385,'Capital Activity'!$A$2:$A$385,A95,'Capital Activity'!$B$2:$B$385,B95)</f>
        <v/>
      </c>
      <c r="S95" s="6">
        <f>IF(O95="","",IF(ABS(P95)*10000&gt;Q95,"NAV MOVE BREACH",""))</f>
        <v/>
      </c>
      <c r="T95" s="6">
        <f>IF(AND((B95=B94),D95&lt;&gt;"Money Market",E95=E94),"STALE PRICE","")</f>
        <v/>
      </c>
      <c r="U95" s="6">
        <f>IF(F95&lt;0,"NEGATIVE CASH","")</f>
        <v/>
      </c>
      <c r="V95" s="6">
        <f>IF(ABS(R95)&gt;0.05*M95,"LARGE FLOW","")</f>
        <v/>
      </c>
      <c r="W95" s="6">
        <f>(S95&lt;&gt;"")*1+(T95&lt;&gt;"")*1+(U95&lt;&gt;"")*1+(V95&lt;&gt;"")*1</f>
        <v/>
      </c>
      <c r="X95" s="6">
        <f>IF(S95&lt;&gt;"",S95,IF(T95&lt;&gt;"",T95,IF(U95&lt;&gt;"",U95,IF(V95&lt;&gt;"",V95,""))))</f>
        <v/>
      </c>
    </row>
    <row r="96">
      <c r="A96" s="6" t="inlineStr">
        <is>
          <t>2026-05-13</t>
        </is>
      </c>
      <c r="B96" s="6" t="inlineStr">
        <is>
          <t>EQEM</t>
        </is>
      </c>
      <c r="C96" s="6">
        <f>INDEX('Fund Master'!$B$2:$B$7,MATCH(B96,'Fund Master'!$A$2:$A$7,0))</f>
        <v/>
      </c>
      <c r="D96" s="6">
        <f>INDEX('Fund Master'!$C$2:$C$7,MATCH(B96,'Fund Master'!$A$2:$A$7,0))</f>
        <v/>
      </c>
      <c r="E96" s="8" t="n">
        <v>297628995.82</v>
      </c>
      <c r="F96" s="8" t="n">
        <v>8375530.24</v>
      </c>
      <c r="G96" s="8" t="n">
        <v>1981143.18</v>
      </c>
      <c r="H96" s="8" t="n">
        <v>1496969.14</v>
      </c>
      <c r="I96" s="8" t="n">
        <v>322098.03</v>
      </c>
      <c r="J96" s="10" t="n">
        <v>20394736.8421</v>
      </c>
      <c r="K96" s="9">
        <f>E96+F96+G96</f>
        <v/>
      </c>
      <c r="L96" s="9">
        <f>H96+I96</f>
        <v/>
      </c>
      <c r="M96" s="9">
        <f>K96-L96</f>
        <v/>
      </c>
      <c r="N96" s="11">
        <f>IFERROR(M96/J96,0)</f>
        <v/>
      </c>
      <c r="O96" s="11">
        <f>IF((B96=B95),N95,"")</f>
        <v/>
      </c>
      <c r="P96" s="12">
        <f>IF(O96="","",IFERROR((N96-O96)/O96,""))</f>
        <v/>
      </c>
      <c r="Q96" s="13">
        <f>INDEX('Fund Master'!$F$2:$F$7,MATCH(B96,'Fund Master'!$A$2:$A$7,0))</f>
        <v/>
      </c>
      <c r="R96" s="9">
        <f>SUMIFS('Capital Activity'!$E$2:$E$385,'Capital Activity'!$A$2:$A$385,A96,'Capital Activity'!$B$2:$B$385,B96)</f>
        <v/>
      </c>
      <c r="S96" s="6">
        <f>IF(O96="","",IF(ABS(P96)*10000&gt;Q96,"NAV MOVE BREACH",""))</f>
        <v/>
      </c>
      <c r="T96" s="6">
        <f>IF(AND((B96=B95),D96&lt;&gt;"Money Market",E96=E95),"STALE PRICE","")</f>
        <v/>
      </c>
      <c r="U96" s="6">
        <f>IF(F96&lt;0,"NEGATIVE CASH","")</f>
        <v/>
      </c>
      <c r="V96" s="6">
        <f>IF(ABS(R96)&gt;0.05*M96,"LARGE FLOW","")</f>
        <v/>
      </c>
      <c r="W96" s="6">
        <f>(S96&lt;&gt;"")*1+(T96&lt;&gt;"")*1+(U96&lt;&gt;"")*1+(V96&lt;&gt;"")*1</f>
        <v/>
      </c>
      <c r="X96" s="6">
        <f>IF(S96&lt;&gt;"",S96,IF(T96&lt;&gt;"",T96,IF(U96&lt;&gt;"",U96,IF(V96&lt;&gt;"",V96,""))))</f>
        <v/>
      </c>
    </row>
    <row r="97">
      <c r="A97" s="6" t="inlineStr">
        <is>
          <t>2026-05-14</t>
        </is>
      </c>
      <c r="B97" s="6" t="inlineStr">
        <is>
          <t>EQEM</t>
        </is>
      </c>
      <c r="C97" s="6">
        <f>INDEX('Fund Master'!$B$2:$B$7,MATCH(B97,'Fund Master'!$A$2:$A$7,0))</f>
        <v/>
      </c>
      <c r="D97" s="6">
        <f>INDEX('Fund Master'!$C$2:$C$7,MATCH(B97,'Fund Master'!$A$2:$A$7,0))</f>
        <v/>
      </c>
      <c r="E97" s="8" t="n">
        <v>297628995.82</v>
      </c>
      <c r="F97" s="8" t="n">
        <v>8678875.92</v>
      </c>
      <c r="G97" s="8" t="n">
        <v>2005413.69</v>
      </c>
      <c r="H97" s="8" t="n">
        <v>1481996.81</v>
      </c>
      <c r="I97" s="8" t="n">
        <v>332732.51</v>
      </c>
      <c r="J97" s="10" t="n">
        <v>20394736.8421</v>
      </c>
      <c r="K97" s="9">
        <f>E97+F97+G97</f>
        <v/>
      </c>
      <c r="L97" s="9">
        <f>H97+I97</f>
        <v/>
      </c>
      <c r="M97" s="9">
        <f>K97-L97</f>
        <v/>
      </c>
      <c r="N97" s="11">
        <f>IFERROR(M97/J97,0)</f>
        <v/>
      </c>
      <c r="O97" s="11">
        <f>IF((B97=B96),N96,"")</f>
        <v/>
      </c>
      <c r="P97" s="12">
        <f>IF(O97="","",IFERROR((N97-O97)/O97,""))</f>
        <v/>
      </c>
      <c r="Q97" s="13">
        <f>INDEX('Fund Master'!$F$2:$F$7,MATCH(B97,'Fund Master'!$A$2:$A$7,0))</f>
        <v/>
      </c>
      <c r="R97" s="9">
        <f>SUMIFS('Capital Activity'!$E$2:$E$385,'Capital Activity'!$A$2:$A$385,A97,'Capital Activity'!$B$2:$B$385,B97)</f>
        <v/>
      </c>
      <c r="S97" s="6">
        <f>IF(O97="","",IF(ABS(P97)*10000&gt;Q97,"NAV MOVE BREACH",""))</f>
        <v/>
      </c>
      <c r="T97" s="6">
        <f>IF(AND((B97=B96),D97&lt;&gt;"Money Market",E97=E96),"STALE PRICE","")</f>
        <v/>
      </c>
      <c r="U97" s="6">
        <f>IF(F97&lt;0,"NEGATIVE CASH","")</f>
        <v/>
      </c>
      <c r="V97" s="6">
        <f>IF(ABS(R97)&gt;0.05*M97,"LARGE FLOW","")</f>
        <v/>
      </c>
      <c r="W97" s="6">
        <f>(S97&lt;&gt;"")*1+(T97&lt;&gt;"")*1+(U97&lt;&gt;"")*1+(V97&lt;&gt;"")*1</f>
        <v/>
      </c>
      <c r="X97" s="6">
        <f>IF(S97&lt;&gt;"",S97,IF(T97&lt;&gt;"",T97,IF(U97&lt;&gt;"",U97,IF(V97&lt;&gt;"",V97,""))))</f>
        <v/>
      </c>
    </row>
    <row r="98">
      <c r="A98" s="6" t="inlineStr">
        <is>
          <t>2026-05-15</t>
        </is>
      </c>
      <c r="B98" s="6" t="inlineStr">
        <is>
          <t>EQEM</t>
        </is>
      </c>
      <c r="C98" s="6">
        <f>INDEX('Fund Master'!$B$2:$B$7,MATCH(B98,'Fund Master'!$A$2:$A$7,0))</f>
        <v/>
      </c>
      <c r="D98" s="6">
        <f>INDEX('Fund Master'!$C$2:$C$7,MATCH(B98,'Fund Master'!$A$2:$A$7,0))</f>
        <v/>
      </c>
      <c r="E98" s="8" t="n">
        <v>298807030.13</v>
      </c>
      <c r="F98" s="8" t="n">
        <v>8847443.83</v>
      </c>
      <c r="G98" s="8" t="n">
        <v>1906394.97</v>
      </c>
      <c r="H98" s="8" t="n">
        <v>1569204.55</v>
      </c>
      <c r="I98" s="8" t="n">
        <v>343404.19</v>
      </c>
      <c r="J98" s="10" t="n">
        <v>20394736.8421</v>
      </c>
      <c r="K98" s="9">
        <f>E98+F98+G98</f>
        <v/>
      </c>
      <c r="L98" s="9">
        <f>H98+I98</f>
        <v/>
      </c>
      <c r="M98" s="9">
        <f>K98-L98</f>
        <v/>
      </c>
      <c r="N98" s="11">
        <f>IFERROR(M98/J98,0)</f>
        <v/>
      </c>
      <c r="O98" s="11">
        <f>IF((B98=B97),N97,"")</f>
        <v/>
      </c>
      <c r="P98" s="12">
        <f>IF(O98="","",IFERROR((N98-O98)/O98,""))</f>
        <v/>
      </c>
      <c r="Q98" s="13">
        <f>INDEX('Fund Master'!$F$2:$F$7,MATCH(B98,'Fund Master'!$A$2:$A$7,0))</f>
        <v/>
      </c>
      <c r="R98" s="9">
        <f>SUMIFS('Capital Activity'!$E$2:$E$385,'Capital Activity'!$A$2:$A$385,A98,'Capital Activity'!$B$2:$B$385,B98)</f>
        <v/>
      </c>
      <c r="S98" s="6">
        <f>IF(O98="","",IF(ABS(P98)*10000&gt;Q98,"NAV MOVE BREACH",""))</f>
        <v/>
      </c>
      <c r="T98" s="6">
        <f>IF(AND((B98=B97),D98&lt;&gt;"Money Market",E98=E97),"STALE PRICE","")</f>
        <v/>
      </c>
      <c r="U98" s="6">
        <f>IF(F98&lt;0,"NEGATIVE CASH","")</f>
        <v/>
      </c>
      <c r="V98" s="6">
        <f>IF(ABS(R98)&gt;0.05*M98,"LARGE FLOW","")</f>
        <v/>
      </c>
      <c r="W98" s="6">
        <f>(S98&lt;&gt;"")*1+(T98&lt;&gt;"")*1+(U98&lt;&gt;"")*1+(V98&lt;&gt;"")*1</f>
        <v/>
      </c>
      <c r="X98" s="6">
        <f>IF(S98&lt;&gt;"",S98,IF(T98&lt;&gt;"",T98,IF(U98&lt;&gt;"",U98,IF(V98&lt;&gt;"",V98,""))))</f>
        <v/>
      </c>
    </row>
    <row r="99">
      <c r="A99" s="6" t="inlineStr">
        <is>
          <t>2026-05-18</t>
        </is>
      </c>
      <c r="B99" s="6" t="inlineStr">
        <is>
          <t>EQEM</t>
        </is>
      </c>
      <c r="C99" s="6">
        <f>INDEX('Fund Master'!$B$2:$B$7,MATCH(B99,'Fund Master'!$A$2:$A$7,0))</f>
        <v/>
      </c>
      <c r="D99" s="6">
        <f>INDEX('Fund Master'!$C$2:$C$7,MATCH(B99,'Fund Master'!$A$2:$A$7,0))</f>
        <v/>
      </c>
      <c r="E99" s="8" t="n">
        <v>301513906.92</v>
      </c>
      <c r="F99" s="8" t="n">
        <v>9338379.630000001</v>
      </c>
      <c r="G99" s="8" t="n">
        <v>1936825.35</v>
      </c>
      <c r="H99" s="8" t="n">
        <v>1601381.96</v>
      </c>
      <c r="I99" s="8" t="n">
        <v>354172.54</v>
      </c>
      <c r="J99" s="10" t="n">
        <v>20394736.8421</v>
      </c>
      <c r="K99" s="9">
        <f>E99+F99+G99</f>
        <v/>
      </c>
      <c r="L99" s="9">
        <f>H99+I99</f>
        <v/>
      </c>
      <c r="M99" s="9">
        <f>K99-L99</f>
        <v/>
      </c>
      <c r="N99" s="11">
        <f>IFERROR(M99/J99,0)</f>
        <v/>
      </c>
      <c r="O99" s="11">
        <f>IF((B99=B98),N98,"")</f>
        <v/>
      </c>
      <c r="P99" s="12">
        <f>IF(O99="","",IFERROR((N99-O99)/O99,""))</f>
        <v/>
      </c>
      <c r="Q99" s="13">
        <f>INDEX('Fund Master'!$F$2:$F$7,MATCH(B99,'Fund Master'!$A$2:$A$7,0))</f>
        <v/>
      </c>
      <c r="R99" s="9">
        <f>SUMIFS('Capital Activity'!$E$2:$E$385,'Capital Activity'!$A$2:$A$385,A99,'Capital Activity'!$B$2:$B$385,B99)</f>
        <v/>
      </c>
      <c r="S99" s="6">
        <f>IF(O99="","",IF(ABS(P99)*10000&gt;Q99,"NAV MOVE BREACH",""))</f>
        <v/>
      </c>
      <c r="T99" s="6">
        <f>IF(AND((B99=B98),D99&lt;&gt;"Money Market",E99=E98),"STALE PRICE","")</f>
        <v/>
      </c>
      <c r="U99" s="6">
        <f>IF(F99&lt;0,"NEGATIVE CASH","")</f>
        <v/>
      </c>
      <c r="V99" s="6">
        <f>IF(ABS(R99)&gt;0.05*M99,"LARGE FLOW","")</f>
        <v/>
      </c>
      <c r="W99" s="6">
        <f>(S99&lt;&gt;"")*1+(T99&lt;&gt;"")*1+(U99&lt;&gt;"")*1+(V99&lt;&gt;"")*1</f>
        <v/>
      </c>
      <c r="X99" s="6">
        <f>IF(S99&lt;&gt;"",S99,IF(T99&lt;&gt;"",T99,IF(U99&lt;&gt;"",U99,IF(V99&lt;&gt;"",V99,""))))</f>
        <v/>
      </c>
    </row>
    <row r="100">
      <c r="A100" s="6" t="inlineStr">
        <is>
          <t>2026-05-19</t>
        </is>
      </c>
      <c r="B100" s="6" t="inlineStr">
        <is>
          <t>EQEM</t>
        </is>
      </c>
      <c r="C100" s="6">
        <f>INDEX('Fund Master'!$B$2:$B$7,MATCH(B100,'Fund Master'!$A$2:$A$7,0))</f>
        <v/>
      </c>
      <c r="D100" s="6">
        <f>INDEX('Fund Master'!$C$2:$C$7,MATCH(B100,'Fund Master'!$A$2:$A$7,0))</f>
        <v/>
      </c>
      <c r="E100" s="8" t="n">
        <v>305079218.85</v>
      </c>
      <c r="F100" s="8" t="n">
        <v>9292099.15</v>
      </c>
      <c r="G100" s="8" t="n">
        <v>1964967.74</v>
      </c>
      <c r="H100" s="8" t="n">
        <v>1585344.22</v>
      </c>
      <c r="I100" s="8" t="n">
        <v>365068.23</v>
      </c>
      <c r="J100" s="10" t="n">
        <v>20394736.8421</v>
      </c>
      <c r="K100" s="9">
        <f>E100+F100+G100</f>
        <v/>
      </c>
      <c r="L100" s="9">
        <f>H100+I100</f>
        <v/>
      </c>
      <c r="M100" s="9">
        <f>K100-L100</f>
        <v/>
      </c>
      <c r="N100" s="11">
        <f>IFERROR(M100/J100,0)</f>
        <v/>
      </c>
      <c r="O100" s="11">
        <f>IF((B100=B99),N99,"")</f>
        <v/>
      </c>
      <c r="P100" s="12">
        <f>IF(O100="","",IFERROR((N100-O100)/O100,""))</f>
        <v/>
      </c>
      <c r="Q100" s="13">
        <f>INDEX('Fund Master'!$F$2:$F$7,MATCH(B100,'Fund Master'!$A$2:$A$7,0))</f>
        <v/>
      </c>
      <c r="R100" s="9">
        <f>SUMIFS('Capital Activity'!$E$2:$E$385,'Capital Activity'!$A$2:$A$385,A100,'Capital Activity'!$B$2:$B$385,B100)</f>
        <v/>
      </c>
      <c r="S100" s="6">
        <f>IF(O100="","",IF(ABS(P100)*10000&gt;Q100,"NAV MOVE BREACH",""))</f>
        <v/>
      </c>
      <c r="T100" s="6">
        <f>IF(AND((B100=B99),D100&lt;&gt;"Money Market",E100=E99),"STALE PRICE","")</f>
        <v/>
      </c>
      <c r="U100" s="6">
        <f>IF(F100&lt;0,"NEGATIVE CASH","")</f>
        <v/>
      </c>
      <c r="V100" s="6">
        <f>IF(ABS(R100)&gt;0.05*M100,"LARGE FLOW","")</f>
        <v/>
      </c>
      <c r="W100" s="6">
        <f>(S100&lt;&gt;"")*1+(T100&lt;&gt;"")*1+(U100&lt;&gt;"")*1+(V100&lt;&gt;"")*1</f>
        <v/>
      </c>
      <c r="X100" s="6">
        <f>IF(S100&lt;&gt;"",S100,IF(T100&lt;&gt;"",T100,IF(U100&lt;&gt;"",U100,IF(V100&lt;&gt;"",V100,""))))</f>
        <v/>
      </c>
    </row>
    <row r="101">
      <c r="A101" s="6" t="inlineStr">
        <is>
          <t>2026-05-20</t>
        </is>
      </c>
      <c r="B101" s="6" t="inlineStr">
        <is>
          <t>EQEM</t>
        </is>
      </c>
      <c r="C101" s="6">
        <f>INDEX('Fund Master'!$B$2:$B$7,MATCH(B101,'Fund Master'!$A$2:$A$7,0))</f>
        <v/>
      </c>
      <c r="D101" s="6">
        <f>INDEX('Fund Master'!$C$2:$C$7,MATCH(B101,'Fund Master'!$A$2:$A$7,0))</f>
        <v/>
      </c>
      <c r="E101" s="8" t="n">
        <v>309571680.95</v>
      </c>
      <c r="F101" s="8" t="n">
        <v>9334198.529999999</v>
      </c>
      <c r="G101" s="8" t="n">
        <v>1973852.03</v>
      </c>
      <c r="H101" s="8" t="n">
        <v>1535969.89</v>
      </c>
      <c r="I101" s="8" t="n">
        <v>376124.36</v>
      </c>
      <c r="J101" s="10" t="n">
        <v>20394736.8421</v>
      </c>
      <c r="K101" s="9">
        <f>E101+F101+G101</f>
        <v/>
      </c>
      <c r="L101" s="9">
        <f>H101+I101</f>
        <v/>
      </c>
      <c r="M101" s="9">
        <f>K101-L101</f>
        <v/>
      </c>
      <c r="N101" s="11">
        <f>IFERROR(M101/J101,0)</f>
        <v/>
      </c>
      <c r="O101" s="11">
        <f>IF((B101=B100),N100,"")</f>
        <v/>
      </c>
      <c r="P101" s="12">
        <f>IF(O101="","",IFERROR((N101-O101)/O101,""))</f>
        <v/>
      </c>
      <c r="Q101" s="13">
        <f>INDEX('Fund Master'!$F$2:$F$7,MATCH(B101,'Fund Master'!$A$2:$A$7,0))</f>
        <v/>
      </c>
      <c r="R101" s="9">
        <f>SUMIFS('Capital Activity'!$E$2:$E$385,'Capital Activity'!$A$2:$A$385,A101,'Capital Activity'!$B$2:$B$385,B101)</f>
        <v/>
      </c>
      <c r="S101" s="6">
        <f>IF(O101="","",IF(ABS(P101)*10000&gt;Q101,"NAV MOVE BREACH",""))</f>
        <v/>
      </c>
      <c r="T101" s="6">
        <f>IF(AND((B101=B100),D101&lt;&gt;"Money Market",E101=E100),"STALE PRICE","")</f>
        <v/>
      </c>
      <c r="U101" s="6">
        <f>IF(F101&lt;0,"NEGATIVE CASH","")</f>
        <v/>
      </c>
      <c r="V101" s="6">
        <f>IF(ABS(R101)&gt;0.05*M101,"LARGE FLOW","")</f>
        <v/>
      </c>
      <c r="W101" s="6">
        <f>(S101&lt;&gt;"")*1+(T101&lt;&gt;"")*1+(U101&lt;&gt;"")*1+(V101&lt;&gt;"")*1</f>
        <v/>
      </c>
      <c r="X101" s="6">
        <f>IF(S101&lt;&gt;"",S101,IF(T101&lt;&gt;"",T101,IF(U101&lt;&gt;"",U101,IF(V101&lt;&gt;"",V101,""))))</f>
        <v/>
      </c>
    </row>
    <row r="102">
      <c r="A102" s="6" t="inlineStr">
        <is>
          <t>2026-05-21</t>
        </is>
      </c>
      <c r="B102" s="6" t="inlineStr">
        <is>
          <t>EQEM</t>
        </is>
      </c>
      <c r="C102" s="6">
        <f>INDEX('Fund Master'!$B$2:$B$7,MATCH(B102,'Fund Master'!$A$2:$A$7,0))</f>
        <v/>
      </c>
      <c r="D102" s="6">
        <f>INDEX('Fund Master'!$C$2:$C$7,MATCH(B102,'Fund Master'!$A$2:$A$7,0))</f>
        <v/>
      </c>
      <c r="E102" s="8" t="n">
        <v>312914386.63</v>
      </c>
      <c r="F102" s="8" t="n">
        <v>9261852.439999999</v>
      </c>
      <c r="G102" s="8" t="n">
        <v>2060472.3</v>
      </c>
      <c r="H102" s="8" t="n">
        <v>1654362.71</v>
      </c>
      <c r="I102" s="8" t="n">
        <v>387299.87</v>
      </c>
      <c r="J102" s="10" t="n">
        <v>20394736.8421</v>
      </c>
      <c r="K102" s="9">
        <f>E102+F102+G102</f>
        <v/>
      </c>
      <c r="L102" s="9">
        <f>H102+I102</f>
        <v/>
      </c>
      <c r="M102" s="9">
        <f>K102-L102</f>
        <v/>
      </c>
      <c r="N102" s="11">
        <f>IFERROR(M102/J102,0)</f>
        <v/>
      </c>
      <c r="O102" s="11">
        <f>IF((B102=B101),N101,"")</f>
        <v/>
      </c>
      <c r="P102" s="12">
        <f>IF(O102="","",IFERROR((N102-O102)/O102,""))</f>
        <v/>
      </c>
      <c r="Q102" s="13">
        <f>INDEX('Fund Master'!$F$2:$F$7,MATCH(B102,'Fund Master'!$A$2:$A$7,0))</f>
        <v/>
      </c>
      <c r="R102" s="9">
        <f>SUMIFS('Capital Activity'!$E$2:$E$385,'Capital Activity'!$A$2:$A$385,A102,'Capital Activity'!$B$2:$B$385,B102)</f>
        <v/>
      </c>
      <c r="S102" s="6">
        <f>IF(O102="","",IF(ABS(P102)*10000&gt;Q102,"NAV MOVE BREACH",""))</f>
        <v/>
      </c>
      <c r="T102" s="6">
        <f>IF(AND((B102=B101),D102&lt;&gt;"Money Market",E102=E101),"STALE PRICE","")</f>
        <v/>
      </c>
      <c r="U102" s="6">
        <f>IF(F102&lt;0,"NEGATIVE CASH","")</f>
        <v/>
      </c>
      <c r="V102" s="6">
        <f>IF(ABS(R102)&gt;0.05*M102,"LARGE FLOW","")</f>
        <v/>
      </c>
      <c r="W102" s="6">
        <f>(S102&lt;&gt;"")*1+(T102&lt;&gt;"")*1+(U102&lt;&gt;"")*1+(V102&lt;&gt;"")*1</f>
        <v/>
      </c>
      <c r="X102" s="6">
        <f>IF(S102&lt;&gt;"",S102,IF(T102&lt;&gt;"",T102,IF(U102&lt;&gt;"",U102,IF(V102&lt;&gt;"",V102,""))))</f>
        <v/>
      </c>
    </row>
    <row r="103">
      <c r="A103" s="6" t="inlineStr">
        <is>
          <t>2026-05-22</t>
        </is>
      </c>
      <c r="B103" s="6" t="inlineStr">
        <is>
          <t>EQEM</t>
        </is>
      </c>
      <c r="C103" s="6">
        <f>INDEX('Fund Master'!$B$2:$B$7,MATCH(B103,'Fund Master'!$A$2:$A$7,0))</f>
        <v/>
      </c>
      <c r="D103" s="6">
        <f>INDEX('Fund Master'!$C$2:$C$7,MATCH(B103,'Fund Master'!$A$2:$A$7,0))</f>
        <v/>
      </c>
      <c r="E103" s="8" t="n">
        <v>309587152.69</v>
      </c>
      <c r="F103" s="8" t="n">
        <v>8932173.25</v>
      </c>
      <c r="G103" s="8" t="n">
        <v>1906402.66</v>
      </c>
      <c r="H103" s="8" t="n">
        <v>1747929.26</v>
      </c>
      <c r="I103" s="8" t="n">
        <v>398356.55</v>
      </c>
      <c r="J103" s="10" t="n">
        <v>20394736.8421</v>
      </c>
      <c r="K103" s="9">
        <f>E103+F103+G103</f>
        <v/>
      </c>
      <c r="L103" s="9">
        <f>H103+I103</f>
        <v/>
      </c>
      <c r="M103" s="9">
        <f>K103-L103</f>
        <v/>
      </c>
      <c r="N103" s="11">
        <f>IFERROR(M103/J103,0)</f>
        <v/>
      </c>
      <c r="O103" s="11">
        <f>IF((B103=B102),N102,"")</f>
        <v/>
      </c>
      <c r="P103" s="12">
        <f>IF(O103="","",IFERROR((N103-O103)/O103,""))</f>
        <v/>
      </c>
      <c r="Q103" s="13">
        <f>INDEX('Fund Master'!$F$2:$F$7,MATCH(B103,'Fund Master'!$A$2:$A$7,0))</f>
        <v/>
      </c>
      <c r="R103" s="9">
        <f>SUMIFS('Capital Activity'!$E$2:$E$385,'Capital Activity'!$A$2:$A$385,A103,'Capital Activity'!$B$2:$B$385,B103)</f>
        <v/>
      </c>
      <c r="S103" s="6">
        <f>IF(O103="","",IF(ABS(P103)*10000&gt;Q103,"NAV MOVE BREACH",""))</f>
        <v/>
      </c>
      <c r="T103" s="6">
        <f>IF(AND((B103=B102),D103&lt;&gt;"Money Market",E103=E102),"STALE PRICE","")</f>
        <v/>
      </c>
      <c r="U103" s="6">
        <f>IF(F103&lt;0,"NEGATIVE CASH","")</f>
        <v/>
      </c>
      <c r="V103" s="6">
        <f>IF(ABS(R103)&gt;0.05*M103,"LARGE FLOW","")</f>
        <v/>
      </c>
      <c r="W103" s="6">
        <f>(S103&lt;&gt;"")*1+(T103&lt;&gt;"")*1+(U103&lt;&gt;"")*1+(V103&lt;&gt;"")*1</f>
        <v/>
      </c>
      <c r="X103" s="6">
        <f>IF(S103&lt;&gt;"",S103,IF(T103&lt;&gt;"",T103,IF(U103&lt;&gt;"",U103,IF(V103&lt;&gt;"",V103,""))))</f>
        <v/>
      </c>
    </row>
    <row r="104">
      <c r="A104" s="6" t="inlineStr">
        <is>
          <t>2026-05-26</t>
        </is>
      </c>
      <c r="B104" s="6" t="inlineStr">
        <is>
          <t>EQEM</t>
        </is>
      </c>
      <c r="C104" s="6">
        <f>INDEX('Fund Master'!$B$2:$B$7,MATCH(B104,'Fund Master'!$A$2:$A$7,0))</f>
        <v/>
      </c>
      <c r="D104" s="6">
        <f>INDEX('Fund Master'!$C$2:$C$7,MATCH(B104,'Fund Master'!$A$2:$A$7,0))</f>
        <v/>
      </c>
      <c r="E104" s="8" t="n">
        <v>310862515.77</v>
      </c>
      <c r="F104" s="8" t="n">
        <v>8759046.460000001</v>
      </c>
      <c r="G104" s="8" t="n">
        <v>2096726.42</v>
      </c>
      <c r="H104" s="8" t="n">
        <v>1764770.76</v>
      </c>
      <c r="I104" s="8" t="n">
        <v>409458.79</v>
      </c>
      <c r="J104" s="10" t="n">
        <v>20394736.8421</v>
      </c>
      <c r="K104" s="9">
        <f>E104+F104+G104</f>
        <v/>
      </c>
      <c r="L104" s="9">
        <f>H104+I104</f>
        <v/>
      </c>
      <c r="M104" s="9">
        <f>K104-L104</f>
        <v/>
      </c>
      <c r="N104" s="11">
        <f>IFERROR(M104/J104,0)</f>
        <v/>
      </c>
      <c r="O104" s="11">
        <f>IF((B104=B103),N103,"")</f>
        <v/>
      </c>
      <c r="P104" s="12">
        <f>IF(O104="","",IFERROR((N104-O104)/O104,""))</f>
        <v/>
      </c>
      <c r="Q104" s="13">
        <f>INDEX('Fund Master'!$F$2:$F$7,MATCH(B104,'Fund Master'!$A$2:$A$7,0))</f>
        <v/>
      </c>
      <c r="R104" s="9">
        <f>SUMIFS('Capital Activity'!$E$2:$E$385,'Capital Activity'!$A$2:$A$385,A104,'Capital Activity'!$B$2:$B$385,B104)</f>
        <v/>
      </c>
      <c r="S104" s="6">
        <f>IF(O104="","",IF(ABS(P104)*10000&gt;Q104,"NAV MOVE BREACH",""))</f>
        <v/>
      </c>
      <c r="T104" s="6">
        <f>IF(AND((B104=B103),D104&lt;&gt;"Money Market",E104=E103),"STALE PRICE","")</f>
        <v/>
      </c>
      <c r="U104" s="6">
        <f>IF(F104&lt;0,"NEGATIVE CASH","")</f>
        <v/>
      </c>
      <c r="V104" s="6">
        <f>IF(ABS(R104)&gt;0.05*M104,"LARGE FLOW","")</f>
        <v/>
      </c>
      <c r="W104" s="6">
        <f>(S104&lt;&gt;"")*1+(T104&lt;&gt;"")*1+(U104&lt;&gt;"")*1+(V104&lt;&gt;"")*1</f>
        <v/>
      </c>
      <c r="X104" s="6">
        <f>IF(S104&lt;&gt;"",S104,IF(T104&lt;&gt;"",T104,IF(U104&lt;&gt;"",U104,IF(V104&lt;&gt;"",V104,""))))</f>
        <v/>
      </c>
    </row>
    <row r="105">
      <c r="A105" s="6" t="inlineStr">
        <is>
          <t>2026-05-27</t>
        </is>
      </c>
      <c r="B105" s="6" t="inlineStr">
        <is>
          <t>EQEM</t>
        </is>
      </c>
      <c r="C105" s="6">
        <f>INDEX('Fund Master'!$B$2:$B$7,MATCH(B105,'Fund Master'!$A$2:$A$7,0))</f>
        <v/>
      </c>
      <c r="D105" s="6">
        <f>INDEX('Fund Master'!$C$2:$C$7,MATCH(B105,'Fund Master'!$A$2:$A$7,0))</f>
        <v/>
      </c>
      <c r="E105" s="8" t="n">
        <v>313018076.64</v>
      </c>
      <c r="F105" s="8" t="n">
        <v>8861830.67</v>
      </c>
      <c r="G105" s="8" t="n">
        <v>2051881.53</v>
      </c>
      <c r="H105" s="8" t="n">
        <v>1812426.66</v>
      </c>
      <c r="I105" s="8" t="n">
        <v>420638</v>
      </c>
      <c r="J105" s="10" t="n">
        <v>20394736.8421</v>
      </c>
      <c r="K105" s="9">
        <f>E105+F105+G105</f>
        <v/>
      </c>
      <c r="L105" s="9">
        <f>H105+I105</f>
        <v/>
      </c>
      <c r="M105" s="9">
        <f>K105-L105</f>
        <v/>
      </c>
      <c r="N105" s="11">
        <f>IFERROR(M105/J105,0)</f>
        <v/>
      </c>
      <c r="O105" s="11">
        <f>IF((B105=B104),N104,"")</f>
        <v/>
      </c>
      <c r="P105" s="12">
        <f>IF(O105="","",IFERROR((N105-O105)/O105,""))</f>
        <v/>
      </c>
      <c r="Q105" s="13">
        <f>INDEX('Fund Master'!$F$2:$F$7,MATCH(B105,'Fund Master'!$A$2:$A$7,0))</f>
        <v/>
      </c>
      <c r="R105" s="9">
        <f>SUMIFS('Capital Activity'!$E$2:$E$385,'Capital Activity'!$A$2:$A$385,A105,'Capital Activity'!$B$2:$B$385,B105)</f>
        <v/>
      </c>
      <c r="S105" s="6">
        <f>IF(O105="","",IF(ABS(P105)*10000&gt;Q105,"NAV MOVE BREACH",""))</f>
        <v/>
      </c>
      <c r="T105" s="6">
        <f>IF(AND((B105=B104),D105&lt;&gt;"Money Market",E105=E104),"STALE PRICE","")</f>
        <v/>
      </c>
      <c r="U105" s="6">
        <f>IF(F105&lt;0,"NEGATIVE CASH","")</f>
        <v/>
      </c>
      <c r="V105" s="6">
        <f>IF(ABS(R105)&gt;0.05*M105,"LARGE FLOW","")</f>
        <v/>
      </c>
      <c r="W105" s="6">
        <f>(S105&lt;&gt;"")*1+(T105&lt;&gt;"")*1+(U105&lt;&gt;"")*1+(V105&lt;&gt;"")*1</f>
        <v/>
      </c>
      <c r="X105" s="6">
        <f>IF(S105&lt;&gt;"",S105,IF(T105&lt;&gt;"",T105,IF(U105&lt;&gt;"",U105,IF(V105&lt;&gt;"",V105,""))))</f>
        <v/>
      </c>
    </row>
    <row r="106">
      <c r="A106" s="6" t="inlineStr">
        <is>
          <t>2026-05-28</t>
        </is>
      </c>
      <c r="B106" s="6" t="inlineStr">
        <is>
          <t>EQEM</t>
        </is>
      </c>
      <c r="C106" s="6">
        <f>INDEX('Fund Master'!$B$2:$B$7,MATCH(B106,'Fund Master'!$A$2:$A$7,0))</f>
        <v/>
      </c>
      <c r="D106" s="6">
        <f>INDEX('Fund Master'!$C$2:$C$7,MATCH(B106,'Fund Master'!$A$2:$A$7,0))</f>
        <v/>
      </c>
      <c r="E106" s="8" t="n">
        <v>320062427.24</v>
      </c>
      <c r="F106" s="8" t="n">
        <v>8963090.18</v>
      </c>
      <c r="G106" s="8" t="n">
        <v>2022041.85</v>
      </c>
      <c r="H106" s="8" t="n">
        <v>1843552.3</v>
      </c>
      <c r="I106" s="8" t="n">
        <v>432068.81</v>
      </c>
      <c r="J106" s="10" t="n">
        <v>20394736.8421</v>
      </c>
      <c r="K106" s="9">
        <f>E106+F106+G106</f>
        <v/>
      </c>
      <c r="L106" s="9">
        <f>H106+I106</f>
        <v/>
      </c>
      <c r="M106" s="9">
        <f>K106-L106</f>
        <v/>
      </c>
      <c r="N106" s="11">
        <f>IFERROR(M106/J106,0)</f>
        <v/>
      </c>
      <c r="O106" s="11">
        <f>IF((B106=B105),N105,"")</f>
        <v/>
      </c>
      <c r="P106" s="12">
        <f>IF(O106="","",IFERROR((N106-O106)/O106,""))</f>
        <v/>
      </c>
      <c r="Q106" s="13">
        <f>INDEX('Fund Master'!$F$2:$F$7,MATCH(B106,'Fund Master'!$A$2:$A$7,0))</f>
        <v/>
      </c>
      <c r="R106" s="9">
        <f>SUMIFS('Capital Activity'!$E$2:$E$385,'Capital Activity'!$A$2:$A$385,A106,'Capital Activity'!$B$2:$B$385,B106)</f>
        <v/>
      </c>
      <c r="S106" s="6">
        <f>IF(O106="","",IF(ABS(P106)*10000&gt;Q106,"NAV MOVE BREACH",""))</f>
        <v/>
      </c>
      <c r="T106" s="6">
        <f>IF(AND((B106=B105),D106&lt;&gt;"Money Market",E106=E105),"STALE PRICE","")</f>
        <v/>
      </c>
      <c r="U106" s="6">
        <f>IF(F106&lt;0,"NEGATIVE CASH","")</f>
        <v/>
      </c>
      <c r="V106" s="6">
        <f>IF(ABS(R106)&gt;0.05*M106,"LARGE FLOW","")</f>
        <v/>
      </c>
      <c r="W106" s="6">
        <f>(S106&lt;&gt;"")*1+(T106&lt;&gt;"")*1+(U106&lt;&gt;"")*1+(V106&lt;&gt;"")*1</f>
        <v/>
      </c>
      <c r="X106" s="6">
        <f>IF(S106&lt;&gt;"",S106,IF(T106&lt;&gt;"",T106,IF(U106&lt;&gt;"",U106,IF(V106&lt;&gt;"",V106,""))))</f>
        <v/>
      </c>
    </row>
    <row r="107">
      <c r="A107" s="6" t="inlineStr">
        <is>
          <t>2026-05-29</t>
        </is>
      </c>
      <c r="B107" s="6" t="inlineStr">
        <is>
          <t>EQEM</t>
        </is>
      </c>
      <c r="C107" s="6">
        <f>INDEX('Fund Master'!$B$2:$B$7,MATCH(B107,'Fund Master'!$A$2:$A$7,0))</f>
        <v/>
      </c>
      <c r="D107" s="6">
        <f>INDEX('Fund Master'!$C$2:$C$7,MATCH(B107,'Fund Master'!$A$2:$A$7,0))</f>
        <v/>
      </c>
      <c r="E107" s="8" t="n">
        <v>312542719</v>
      </c>
      <c r="F107" s="8" t="n">
        <v>9039336.699999999</v>
      </c>
      <c r="G107" s="8" t="n">
        <v>1962682.76</v>
      </c>
      <c r="H107" s="8" t="n">
        <v>1768218.49</v>
      </c>
      <c r="I107" s="8" t="n">
        <v>443231.05</v>
      </c>
      <c r="J107" s="10" t="n">
        <v>20394736.8421</v>
      </c>
      <c r="K107" s="9">
        <f>E107+F107+G107</f>
        <v/>
      </c>
      <c r="L107" s="9">
        <f>H107+I107</f>
        <v/>
      </c>
      <c r="M107" s="9">
        <f>K107-L107</f>
        <v/>
      </c>
      <c r="N107" s="11">
        <f>IFERROR(M107/J107,0)</f>
        <v/>
      </c>
      <c r="O107" s="11">
        <f>IF((B107=B106),N106,"")</f>
        <v/>
      </c>
      <c r="P107" s="12">
        <f>IF(O107="","",IFERROR((N107-O107)/O107,""))</f>
        <v/>
      </c>
      <c r="Q107" s="13">
        <f>INDEX('Fund Master'!$F$2:$F$7,MATCH(B107,'Fund Master'!$A$2:$A$7,0))</f>
        <v/>
      </c>
      <c r="R107" s="9">
        <f>SUMIFS('Capital Activity'!$E$2:$E$385,'Capital Activity'!$A$2:$A$385,A107,'Capital Activity'!$B$2:$B$385,B107)</f>
        <v/>
      </c>
      <c r="S107" s="6">
        <f>IF(O107="","",IF(ABS(P107)*10000&gt;Q107,"NAV MOVE BREACH",""))</f>
        <v/>
      </c>
      <c r="T107" s="6">
        <f>IF(AND((B107=B106),D107&lt;&gt;"Money Market",E107=E106),"STALE PRICE","")</f>
        <v/>
      </c>
      <c r="U107" s="6">
        <f>IF(F107&lt;0,"NEGATIVE CASH","")</f>
        <v/>
      </c>
      <c r="V107" s="6">
        <f>IF(ABS(R107)&gt;0.05*M107,"LARGE FLOW","")</f>
        <v/>
      </c>
      <c r="W107" s="6">
        <f>(S107&lt;&gt;"")*1+(T107&lt;&gt;"")*1+(U107&lt;&gt;"")*1+(V107&lt;&gt;"")*1</f>
        <v/>
      </c>
      <c r="X107" s="6">
        <f>IF(S107&lt;&gt;"",S107,IF(T107&lt;&gt;"",T107,IF(U107&lt;&gt;"",U107,IF(V107&lt;&gt;"",V107,""))))</f>
        <v/>
      </c>
    </row>
    <row r="108">
      <c r="A108" s="6" t="inlineStr">
        <is>
          <t>2026-06-01</t>
        </is>
      </c>
      <c r="B108" s="6" t="inlineStr">
        <is>
          <t>EQEM</t>
        </is>
      </c>
      <c r="C108" s="6">
        <f>INDEX('Fund Master'!$B$2:$B$7,MATCH(B108,'Fund Master'!$A$2:$A$7,0))</f>
        <v/>
      </c>
      <c r="D108" s="6">
        <f>INDEX('Fund Master'!$C$2:$C$7,MATCH(B108,'Fund Master'!$A$2:$A$7,0))</f>
        <v/>
      </c>
      <c r="E108" s="8" t="n">
        <v>316207091.16</v>
      </c>
      <c r="F108" s="8" t="n">
        <v>9159227.59</v>
      </c>
      <c r="G108" s="8" t="n">
        <v>1887799.27</v>
      </c>
      <c r="H108" s="8" t="n">
        <v>1690666.63</v>
      </c>
      <c r="I108" s="8" t="n">
        <v>454524.16</v>
      </c>
      <c r="J108" s="10" t="n">
        <v>20394736.8421</v>
      </c>
      <c r="K108" s="9">
        <f>E108+F108+G108</f>
        <v/>
      </c>
      <c r="L108" s="9">
        <f>H108+I108</f>
        <v/>
      </c>
      <c r="M108" s="9">
        <f>K108-L108</f>
        <v/>
      </c>
      <c r="N108" s="11">
        <f>IFERROR(M108/J108,0)</f>
        <v/>
      </c>
      <c r="O108" s="11">
        <f>IF((B108=B107),N107,"")</f>
        <v/>
      </c>
      <c r="P108" s="12">
        <f>IF(O108="","",IFERROR((N108-O108)/O108,""))</f>
        <v/>
      </c>
      <c r="Q108" s="13">
        <f>INDEX('Fund Master'!$F$2:$F$7,MATCH(B108,'Fund Master'!$A$2:$A$7,0))</f>
        <v/>
      </c>
      <c r="R108" s="9">
        <f>SUMIFS('Capital Activity'!$E$2:$E$385,'Capital Activity'!$A$2:$A$385,A108,'Capital Activity'!$B$2:$B$385,B108)</f>
        <v/>
      </c>
      <c r="S108" s="6">
        <f>IF(O108="","",IF(ABS(P108)*10000&gt;Q108,"NAV MOVE BREACH",""))</f>
        <v/>
      </c>
      <c r="T108" s="6">
        <f>IF(AND((B108=B107),D108&lt;&gt;"Money Market",E108=E107),"STALE PRICE","")</f>
        <v/>
      </c>
      <c r="U108" s="6">
        <f>IF(F108&lt;0,"NEGATIVE CASH","")</f>
        <v/>
      </c>
      <c r="V108" s="6">
        <f>IF(ABS(R108)&gt;0.05*M108,"LARGE FLOW","")</f>
        <v/>
      </c>
      <c r="W108" s="6">
        <f>(S108&lt;&gt;"")*1+(T108&lt;&gt;"")*1+(U108&lt;&gt;"")*1+(V108&lt;&gt;"")*1</f>
        <v/>
      </c>
      <c r="X108" s="6">
        <f>IF(S108&lt;&gt;"",S108,IF(T108&lt;&gt;"",T108,IF(U108&lt;&gt;"",U108,IF(V108&lt;&gt;"",V108,""))))</f>
        <v/>
      </c>
    </row>
    <row r="109">
      <c r="A109" s="6" t="inlineStr">
        <is>
          <t>2026-06-02</t>
        </is>
      </c>
      <c r="B109" s="6" t="inlineStr">
        <is>
          <t>EQEM</t>
        </is>
      </c>
      <c r="C109" s="6">
        <f>INDEX('Fund Master'!$B$2:$B$7,MATCH(B109,'Fund Master'!$A$2:$A$7,0))</f>
        <v/>
      </c>
      <c r="D109" s="6">
        <f>INDEX('Fund Master'!$C$2:$C$7,MATCH(B109,'Fund Master'!$A$2:$A$7,0))</f>
        <v/>
      </c>
      <c r="E109" s="8" t="n">
        <v>315121147.82</v>
      </c>
      <c r="F109" s="8" t="n">
        <v>8843568.970000001</v>
      </c>
      <c r="G109" s="8" t="n">
        <v>1862730.72</v>
      </c>
      <c r="H109" s="8" t="n">
        <v>1664234.58</v>
      </c>
      <c r="I109" s="8" t="n">
        <v>465778.48</v>
      </c>
      <c r="J109" s="10" t="n">
        <v>20394736.8421</v>
      </c>
      <c r="K109" s="9">
        <f>E109+F109+G109</f>
        <v/>
      </c>
      <c r="L109" s="9">
        <f>H109+I109</f>
        <v/>
      </c>
      <c r="M109" s="9">
        <f>K109-L109</f>
        <v/>
      </c>
      <c r="N109" s="11">
        <f>IFERROR(M109/J109,0)</f>
        <v/>
      </c>
      <c r="O109" s="11">
        <f>IF((B109=B108),N108,"")</f>
        <v/>
      </c>
      <c r="P109" s="12">
        <f>IF(O109="","",IFERROR((N109-O109)/O109,""))</f>
        <v/>
      </c>
      <c r="Q109" s="13">
        <f>INDEX('Fund Master'!$F$2:$F$7,MATCH(B109,'Fund Master'!$A$2:$A$7,0))</f>
        <v/>
      </c>
      <c r="R109" s="9">
        <f>SUMIFS('Capital Activity'!$E$2:$E$385,'Capital Activity'!$A$2:$A$385,A109,'Capital Activity'!$B$2:$B$385,B109)</f>
        <v/>
      </c>
      <c r="S109" s="6">
        <f>IF(O109="","",IF(ABS(P109)*10000&gt;Q109,"NAV MOVE BREACH",""))</f>
        <v/>
      </c>
      <c r="T109" s="6">
        <f>IF(AND((B109=B108),D109&lt;&gt;"Money Market",E109=E108),"STALE PRICE","")</f>
        <v/>
      </c>
      <c r="U109" s="6">
        <f>IF(F109&lt;0,"NEGATIVE CASH","")</f>
        <v/>
      </c>
      <c r="V109" s="6">
        <f>IF(ABS(R109)&gt;0.05*M109,"LARGE FLOW","")</f>
        <v/>
      </c>
      <c r="W109" s="6">
        <f>(S109&lt;&gt;"")*1+(T109&lt;&gt;"")*1+(U109&lt;&gt;"")*1+(V109&lt;&gt;"")*1</f>
        <v/>
      </c>
      <c r="X109" s="6">
        <f>IF(S109&lt;&gt;"",S109,IF(T109&lt;&gt;"",T109,IF(U109&lt;&gt;"",U109,IF(V109&lt;&gt;"",V109,""))))</f>
        <v/>
      </c>
    </row>
    <row r="110">
      <c r="A110" s="6" t="inlineStr">
        <is>
          <t>2026-06-03</t>
        </is>
      </c>
      <c r="B110" s="6" t="inlineStr">
        <is>
          <t>EQEM</t>
        </is>
      </c>
      <c r="C110" s="6">
        <f>INDEX('Fund Master'!$B$2:$B$7,MATCH(B110,'Fund Master'!$A$2:$A$7,0))</f>
        <v/>
      </c>
      <c r="D110" s="6">
        <f>INDEX('Fund Master'!$C$2:$C$7,MATCH(B110,'Fund Master'!$A$2:$A$7,0))</f>
        <v/>
      </c>
      <c r="E110" s="8" t="n">
        <v>314165359.09</v>
      </c>
      <c r="F110" s="8" t="n">
        <v>8947980.039999999</v>
      </c>
      <c r="G110" s="8" t="n">
        <v>1996491.61</v>
      </c>
      <c r="H110" s="8" t="n">
        <v>1744129.47</v>
      </c>
      <c r="I110" s="8" t="n">
        <v>476998.67</v>
      </c>
      <c r="J110" s="10" t="n">
        <v>20394736.8421</v>
      </c>
      <c r="K110" s="9">
        <f>E110+F110+G110</f>
        <v/>
      </c>
      <c r="L110" s="9">
        <f>H110+I110</f>
        <v/>
      </c>
      <c r="M110" s="9">
        <f>K110-L110</f>
        <v/>
      </c>
      <c r="N110" s="11">
        <f>IFERROR(M110/J110,0)</f>
        <v/>
      </c>
      <c r="O110" s="11">
        <f>IF((B110=B109),N109,"")</f>
        <v/>
      </c>
      <c r="P110" s="12">
        <f>IF(O110="","",IFERROR((N110-O110)/O110,""))</f>
        <v/>
      </c>
      <c r="Q110" s="13">
        <f>INDEX('Fund Master'!$F$2:$F$7,MATCH(B110,'Fund Master'!$A$2:$A$7,0))</f>
        <v/>
      </c>
      <c r="R110" s="9">
        <f>SUMIFS('Capital Activity'!$E$2:$E$385,'Capital Activity'!$A$2:$A$385,A110,'Capital Activity'!$B$2:$B$385,B110)</f>
        <v/>
      </c>
      <c r="S110" s="6">
        <f>IF(O110="","",IF(ABS(P110)*10000&gt;Q110,"NAV MOVE BREACH",""))</f>
        <v/>
      </c>
      <c r="T110" s="6">
        <f>IF(AND((B110=B109),D110&lt;&gt;"Money Market",E110=E109),"STALE PRICE","")</f>
        <v/>
      </c>
      <c r="U110" s="6">
        <f>IF(F110&lt;0,"NEGATIVE CASH","")</f>
        <v/>
      </c>
      <c r="V110" s="6">
        <f>IF(ABS(R110)&gt;0.05*M110,"LARGE FLOW","")</f>
        <v/>
      </c>
      <c r="W110" s="6">
        <f>(S110&lt;&gt;"")*1+(T110&lt;&gt;"")*1+(U110&lt;&gt;"")*1+(V110&lt;&gt;"")*1</f>
        <v/>
      </c>
      <c r="X110" s="6">
        <f>IF(S110&lt;&gt;"",S110,IF(T110&lt;&gt;"",T110,IF(U110&lt;&gt;"",U110,IF(V110&lt;&gt;"",V110,""))))</f>
        <v/>
      </c>
    </row>
    <row r="111">
      <c r="A111" s="6" t="inlineStr">
        <is>
          <t>2026-06-04</t>
        </is>
      </c>
      <c r="B111" s="6" t="inlineStr">
        <is>
          <t>EQEM</t>
        </is>
      </c>
      <c r="C111" s="6">
        <f>INDEX('Fund Master'!$B$2:$B$7,MATCH(B111,'Fund Master'!$A$2:$A$7,0))</f>
        <v/>
      </c>
      <c r="D111" s="6">
        <f>INDEX('Fund Master'!$C$2:$C$7,MATCH(B111,'Fund Master'!$A$2:$A$7,0))</f>
        <v/>
      </c>
      <c r="E111" s="8" t="n">
        <v>325546639.25</v>
      </c>
      <c r="F111" s="8" t="n">
        <v>9283705.869999999</v>
      </c>
      <c r="G111" s="8" t="n">
        <v>2069906.9</v>
      </c>
      <c r="H111" s="8" t="n">
        <v>1805429.19</v>
      </c>
      <c r="I111" s="8" t="n">
        <v>488625.34</v>
      </c>
      <c r="J111" s="10" t="n">
        <v>20394736.8421</v>
      </c>
      <c r="K111" s="9">
        <f>E111+F111+G111</f>
        <v/>
      </c>
      <c r="L111" s="9">
        <f>H111+I111</f>
        <v/>
      </c>
      <c r="M111" s="9">
        <f>K111-L111</f>
        <v/>
      </c>
      <c r="N111" s="11">
        <f>IFERROR(M111/J111,0)</f>
        <v/>
      </c>
      <c r="O111" s="11">
        <f>IF((B111=B110),N110,"")</f>
        <v/>
      </c>
      <c r="P111" s="12">
        <f>IF(O111="","",IFERROR((N111-O111)/O111,""))</f>
        <v/>
      </c>
      <c r="Q111" s="13">
        <f>INDEX('Fund Master'!$F$2:$F$7,MATCH(B111,'Fund Master'!$A$2:$A$7,0))</f>
        <v/>
      </c>
      <c r="R111" s="9">
        <f>SUMIFS('Capital Activity'!$E$2:$E$385,'Capital Activity'!$A$2:$A$385,A111,'Capital Activity'!$B$2:$B$385,B111)</f>
        <v/>
      </c>
      <c r="S111" s="6">
        <f>IF(O111="","",IF(ABS(P111)*10000&gt;Q111,"NAV MOVE BREACH",""))</f>
        <v/>
      </c>
      <c r="T111" s="6">
        <f>IF(AND((B111=B110),D111&lt;&gt;"Money Market",E111=E110),"STALE PRICE","")</f>
        <v/>
      </c>
      <c r="U111" s="6">
        <f>IF(F111&lt;0,"NEGATIVE CASH","")</f>
        <v/>
      </c>
      <c r="V111" s="6">
        <f>IF(ABS(R111)&gt;0.05*M111,"LARGE FLOW","")</f>
        <v/>
      </c>
      <c r="W111" s="6">
        <f>(S111&lt;&gt;"")*1+(T111&lt;&gt;"")*1+(U111&lt;&gt;"")*1+(V111&lt;&gt;"")*1</f>
        <v/>
      </c>
      <c r="X111" s="6">
        <f>IF(S111&lt;&gt;"",S111,IF(T111&lt;&gt;"",T111,IF(U111&lt;&gt;"",U111,IF(V111&lt;&gt;"",V111,""))))</f>
        <v/>
      </c>
    </row>
    <row r="112">
      <c r="A112" s="6" t="inlineStr">
        <is>
          <t>2026-06-05</t>
        </is>
      </c>
      <c r="B112" s="6" t="inlineStr">
        <is>
          <t>EQEM</t>
        </is>
      </c>
      <c r="C112" s="6">
        <f>INDEX('Fund Master'!$B$2:$B$7,MATCH(B112,'Fund Master'!$A$2:$A$7,0))</f>
        <v/>
      </c>
      <c r="D112" s="6">
        <f>INDEX('Fund Master'!$C$2:$C$7,MATCH(B112,'Fund Master'!$A$2:$A$7,0))</f>
        <v/>
      </c>
      <c r="E112" s="8" t="n">
        <v>322997196.24</v>
      </c>
      <c r="F112" s="8" t="n">
        <v>9105022.33</v>
      </c>
      <c r="G112" s="8" t="n">
        <v>2051157.89</v>
      </c>
      <c r="H112" s="8" t="n">
        <v>1749164.47</v>
      </c>
      <c r="I112" s="8" t="n">
        <v>500160.95</v>
      </c>
      <c r="J112" s="10" t="n">
        <v>20394736.8421</v>
      </c>
      <c r="K112" s="9">
        <f>E112+F112+G112</f>
        <v/>
      </c>
      <c r="L112" s="9">
        <f>H112+I112</f>
        <v/>
      </c>
      <c r="M112" s="9">
        <f>K112-L112</f>
        <v/>
      </c>
      <c r="N112" s="11">
        <f>IFERROR(M112/J112,0)</f>
        <v/>
      </c>
      <c r="O112" s="11">
        <f>IF((B112=B111),N111,"")</f>
        <v/>
      </c>
      <c r="P112" s="12">
        <f>IF(O112="","",IFERROR((N112-O112)/O112,""))</f>
        <v/>
      </c>
      <c r="Q112" s="13">
        <f>INDEX('Fund Master'!$F$2:$F$7,MATCH(B112,'Fund Master'!$A$2:$A$7,0))</f>
        <v/>
      </c>
      <c r="R112" s="9">
        <f>SUMIFS('Capital Activity'!$E$2:$E$385,'Capital Activity'!$A$2:$A$385,A112,'Capital Activity'!$B$2:$B$385,B112)</f>
        <v/>
      </c>
      <c r="S112" s="6">
        <f>IF(O112="","",IF(ABS(P112)*10000&gt;Q112,"NAV MOVE BREACH",""))</f>
        <v/>
      </c>
      <c r="T112" s="6">
        <f>IF(AND((B112=B111),D112&lt;&gt;"Money Market",E112=E111),"STALE PRICE","")</f>
        <v/>
      </c>
      <c r="U112" s="6">
        <f>IF(F112&lt;0,"NEGATIVE CASH","")</f>
        <v/>
      </c>
      <c r="V112" s="6">
        <f>IF(ABS(R112)&gt;0.05*M112,"LARGE FLOW","")</f>
        <v/>
      </c>
      <c r="W112" s="6">
        <f>(S112&lt;&gt;"")*1+(T112&lt;&gt;"")*1+(U112&lt;&gt;"")*1+(V112&lt;&gt;"")*1</f>
        <v/>
      </c>
      <c r="X112" s="6">
        <f>IF(S112&lt;&gt;"",S112,IF(T112&lt;&gt;"",T112,IF(U112&lt;&gt;"",U112,IF(V112&lt;&gt;"",V112,""))))</f>
        <v/>
      </c>
    </row>
    <row r="113">
      <c r="A113" s="6" t="inlineStr">
        <is>
          <t>2026-06-08</t>
        </is>
      </c>
      <c r="B113" s="6" t="inlineStr">
        <is>
          <t>EQEM</t>
        </is>
      </c>
      <c r="C113" s="6">
        <f>INDEX('Fund Master'!$B$2:$B$7,MATCH(B113,'Fund Master'!$A$2:$A$7,0))</f>
        <v/>
      </c>
      <c r="D113" s="6">
        <f>INDEX('Fund Master'!$C$2:$C$7,MATCH(B113,'Fund Master'!$A$2:$A$7,0))</f>
        <v/>
      </c>
      <c r="E113" s="8" t="n">
        <v>321908798.71</v>
      </c>
      <c r="F113" s="8" t="n">
        <v>9364830.460000001</v>
      </c>
      <c r="G113" s="8" t="n">
        <v>1839437.22</v>
      </c>
      <c r="H113" s="8" t="n">
        <v>1827598.1</v>
      </c>
      <c r="I113" s="8" t="n">
        <v>511657.7</v>
      </c>
      <c r="J113" s="10" t="n">
        <v>20394736.8421</v>
      </c>
      <c r="K113" s="9">
        <f>E113+F113+G113</f>
        <v/>
      </c>
      <c r="L113" s="9">
        <f>H113+I113</f>
        <v/>
      </c>
      <c r="M113" s="9">
        <f>K113-L113</f>
        <v/>
      </c>
      <c r="N113" s="11">
        <f>IFERROR(M113/J113,0)</f>
        <v/>
      </c>
      <c r="O113" s="11">
        <f>IF((B113=B112),N112,"")</f>
        <v/>
      </c>
      <c r="P113" s="12">
        <f>IF(O113="","",IFERROR((N113-O113)/O113,""))</f>
        <v/>
      </c>
      <c r="Q113" s="13">
        <f>INDEX('Fund Master'!$F$2:$F$7,MATCH(B113,'Fund Master'!$A$2:$A$7,0))</f>
        <v/>
      </c>
      <c r="R113" s="9">
        <f>SUMIFS('Capital Activity'!$E$2:$E$385,'Capital Activity'!$A$2:$A$385,A113,'Capital Activity'!$B$2:$B$385,B113)</f>
        <v/>
      </c>
      <c r="S113" s="6">
        <f>IF(O113="","",IF(ABS(P113)*10000&gt;Q113,"NAV MOVE BREACH",""))</f>
        <v/>
      </c>
      <c r="T113" s="6">
        <f>IF(AND((B113=B112),D113&lt;&gt;"Money Market",E113=E112),"STALE PRICE","")</f>
        <v/>
      </c>
      <c r="U113" s="6">
        <f>IF(F113&lt;0,"NEGATIVE CASH","")</f>
        <v/>
      </c>
      <c r="V113" s="6">
        <f>IF(ABS(R113)&gt;0.05*M113,"LARGE FLOW","")</f>
        <v/>
      </c>
      <c r="W113" s="6">
        <f>(S113&lt;&gt;"")*1+(T113&lt;&gt;"")*1+(U113&lt;&gt;"")*1+(V113&lt;&gt;"")*1</f>
        <v/>
      </c>
      <c r="X113" s="6">
        <f>IF(S113&lt;&gt;"",S113,IF(T113&lt;&gt;"",T113,IF(U113&lt;&gt;"",U113,IF(V113&lt;&gt;"",V113,""))))</f>
        <v/>
      </c>
    </row>
    <row r="114">
      <c r="A114" s="6" t="inlineStr">
        <is>
          <t>2026-06-09</t>
        </is>
      </c>
      <c r="B114" s="6" t="inlineStr">
        <is>
          <t>EQEM</t>
        </is>
      </c>
      <c r="C114" s="6">
        <f>INDEX('Fund Master'!$B$2:$B$7,MATCH(B114,'Fund Master'!$A$2:$A$7,0))</f>
        <v/>
      </c>
      <c r="D114" s="6">
        <f>INDEX('Fund Master'!$C$2:$C$7,MATCH(B114,'Fund Master'!$A$2:$A$7,0))</f>
        <v/>
      </c>
      <c r="E114" s="8" t="n">
        <v>320428782.35</v>
      </c>
      <c r="F114" s="8" t="n">
        <v>9250362.26</v>
      </c>
      <c r="G114" s="8" t="n">
        <v>1722738.44</v>
      </c>
      <c r="H114" s="8" t="n">
        <v>1759379.12</v>
      </c>
      <c r="I114" s="8" t="n">
        <v>523101.58</v>
      </c>
      <c r="J114" s="10" t="n">
        <v>20394736.8421</v>
      </c>
      <c r="K114" s="9">
        <f>E114+F114+G114</f>
        <v/>
      </c>
      <c r="L114" s="9">
        <f>H114+I114</f>
        <v/>
      </c>
      <c r="M114" s="9">
        <f>K114-L114</f>
        <v/>
      </c>
      <c r="N114" s="11">
        <f>IFERROR(M114/J114,0)</f>
        <v/>
      </c>
      <c r="O114" s="11">
        <f>IF((B114=B113),N113,"")</f>
        <v/>
      </c>
      <c r="P114" s="12">
        <f>IF(O114="","",IFERROR((N114-O114)/O114,""))</f>
        <v/>
      </c>
      <c r="Q114" s="13">
        <f>INDEX('Fund Master'!$F$2:$F$7,MATCH(B114,'Fund Master'!$A$2:$A$7,0))</f>
        <v/>
      </c>
      <c r="R114" s="9">
        <f>SUMIFS('Capital Activity'!$E$2:$E$385,'Capital Activity'!$A$2:$A$385,A114,'Capital Activity'!$B$2:$B$385,B114)</f>
        <v/>
      </c>
      <c r="S114" s="6">
        <f>IF(O114="","",IF(ABS(P114)*10000&gt;Q114,"NAV MOVE BREACH",""))</f>
        <v/>
      </c>
      <c r="T114" s="6">
        <f>IF(AND((B114=B113),D114&lt;&gt;"Money Market",E114=E113),"STALE PRICE","")</f>
        <v/>
      </c>
      <c r="U114" s="6">
        <f>IF(F114&lt;0,"NEGATIVE CASH","")</f>
        <v/>
      </c>
      <c r="V114" s="6">
        <f>IF(ABS(R114)&gt;0.05*M114,"LARGE FLOW","")</f>
        <v/>
      </c>
      <c r="W114" s="6">
        <f>(S114&lt;&gt;"")*1+(T114&lt;&gt;"")*1+(U114&lt;&gt;"")*1+(V114&lt;&gt;"")*1</f>
        <v/>
      </c>
      <c r="X114" s="6">
        <f>IF(S114&lt;&gt;"",S114,IF(T114&lt;&gt;"",T114,IF(U114&lt;&gt;"",U114,IF(V114&lt;&gt;"",V114,""))))</f>
        <v/>
      </c>
    </row>
    <row r="115">
      <c r="A115" s="6" t="inlineStr">
        <is>
          <t>2026-06-10</t>
        </is>
      </c>
      <c r="B115" s="6" t="inlineStr">
        <is>
          <t>EQEM</t>
        </is>
      </c>
      <c r="C115" s="6">
        <f>INDEX('Fund Master'!$B$2:$B$7,MATCH(B115,'Fund Master'!$A$2:$A$7,0))</f>
        <v/>
      </c>
      <c r="D115" s="6">
        <f>INDEX('Fund Master'!$C$2:$C$7,MATCH(B115,'Fund Master'!$A$2:$A$7,0))</f>
        <v/>
      </c>
      <c r="E115" s="8" t="n">
        <v>324690324.14</v>
      </c>
      <c r="F115" s="8" t="n">
        <v>9621104.41</v>
      </c>
      <c r="G115" s="8" t="n">
        <v>1801886.78</v>
      </c>
      <c r="H115" s="8" t="n">
        <v>1694795.85</v>
      </c>
      <c r="I115" s="8" t="n">
        <v>534697.66</v>
      </c>
      <c r="J115" s="10" t="n">
        <v>20394736.8421</v>
      </c>
      <c r="K115" s="9">
        <f>E115+F115+G115</f>
        <v/>
      </c>
      <c r="L115" s="9">
        <f>H115+I115</f>
        <v/>
      </c>
      <c r="M115" s="9">
        <f>K115-L115</f>
        <v/>
      </c>
      <c r="N115" s="11">
        <f>IFERROR(M115/J115,0)</f>
        <v/>
      </c>
      <c r="O115" s="11">
        <f>IF((B115=B114),N114,"")</f>
        <v/>
      </c>
      <c r="P115" s="12">
        <f>IF(O115="","",IFERROR((N115-O115)/O115,""))</f>
        <v/>
      </c>
      <c r="Q115" s="13">
        <f>INDEX('Fund Master'!$F$2:$F$7,MATCH(B115,'Fund Master'!$A$2:$A$7,0))</f>
        <v/>
      </c>
      <c r="R115" s="9">
        <f>SUMIFS('Capital Activity'!$E$2:$E$385,'Capital Activity'!$A$2:$A$385,A115,'Capital Activity'!$B$2:$B$385,B115)</f>
        <v/>
      </c>
      <c r="S115" s="6">
        <f>IF(O115="","",IF(ABS(P115)*10000&gt;Q115,"NAV MOVE BREACH",""))</f>
        <v/>
      </c>
      <c r="T115" s="6">
        <f>IF(AND((B115=B114),D115&lt;&gt;"Money Market",E115=E114),"STALE PRICE","")</f>
        <v/>
      </c>
      <c r="U115" s="6">
        <f>IF(F115&lt;0,"NEGATIVE CASH","")</f>
        <v/>
      </c>
      <c r="V115" s="6">
        <f>IF(ABS(R115)&gt;0.05*M115,"LARGE FLOW","")</f>
        <v/>
      </c>
      <c r="W115" s="6">
        <f>(S115&lt;&gt;"")*1+(T115&lt;&gt;"")*1+(U115&lt;&gt;"")*1+(V115&lt;&gt;"")*1</f>
        <v/>
      </c>
      <c r="X115" s="6">
        <f>IF(S115&lt;&gt;"",S115,IF(T115&lt;&gt;"",T115,IF(U115&lt;&gt;"",U115,IF(V115&lt;&gt;"",V115,""))))</f>
        <v/>
      </c>
    </row>
    <row r="116">
      <c r="A116" s="6" t="inlineStr">
        <is>
          <t>2026-06-11</t>
        </is>
      </c>
      <c r="B116" s="6" t="inlineStr">
        <is>
          <t>EQEM</t>
        </is>
      </c>
      <c r="C116" s="6">
        <f>INDEX('Fund Master'!$B$2:$B$7,MATCH(B116,'Fund Master'!$A$2:$A$7,0))</f>
        <v/>
      </c>
      <c r="D116" s="6">
        <f>INDEX('Fund Master'!$C$2:$C$7,MATCH(B116,'Fund Master'!$A$2:$A$7,0))</f>
        <v/>
      </c>
      <c r="E116" s="8" t="n">
        <v>319199879.16</v>
      </c>
      <c r="F116" s="8" t="n">
        <v>9594966.970000001</v>
      </c>
      <c r="G116" s="8" t="n">
        <v>1753006.41</v>
      </c>
      <c r="H116" s="8" t="n">
        <v>1637422.95</v>
      </c>
      <c r="I116" s="8" t="n">
        <v>546097.66</v>
      </c>
      <c r="J116" s="10" t="n">
        <v>20394736.8421</v>
      </c>
      <c r="K116" s="9">
        <f>E116+F116+G116</f>
        <v/>
      </c>
      <c r="L116" s="9">
        <f>H116+I116</f>
        <v/>
      </c>
      <c r="M116" s="9">
        <f>K116-L116</f>
        <v/>
      </c>
      <c r="N116" s="11">
        <f>IFERROR(M116/J116,0)</f>
        <v/>
      </c>
      <c r="O116" s="11">
        <f>IF((B116=B115),N115,"")</f>
        <v/>
      </c>
      <c r="P116" s="12">
        <f>IF(O116="","",IFERROR((N116-O116)/O116,""))</f>
        <v/>
      </c>
      <c r="Q116" s="13">
        <f>INDEX('Fund Master'!$F$2:$F$7,MATCH(B116,'Fund Master'!$A$2:$A$7,0))</f>
        <v/>
      </c>
      <c r="R116" s="9">
        <f>SUMIFS('Capital Activity'!$E$2:$E$385,'Capital Activity'!$A$2:$A$385,A116,'Capital Activity'!$B$2:$B$385,B116)</f>
        <v/>
      </c>
      <c r="S116" s="6">
        <f>IF(O116="","",IF(ABS(P116)*10000&gt;Q116,"NAV MOVE BREACH",""))</f>
        <v/>
      </c>
      <c r="T116" s="6">
        <f>IF(AND((B116=B115),D116&lt;&gt;"Money Market",E116=E115),"STALE PRICE","")</f>
        <v/>
      </c>
      <c r="U116" s="6">
        <f>IF(F116&lt;0,"NEGATIVE CASH","")</f>
        <v/>
      </c>
      <c r="V116" s="6">
        <f>IF(ABS(R116)&gt;0.05*M116,"LARGE FLOW","")</f>
        <v/>
      </c>
      <c r="W116" s="6">
        <f>(S116&lt;&gt;"")*1+(T116&lt;&gt;"")*1+(U116&lt;&gt;"")*1+(V116&lt;&gt;"")*1</f>
        <v/>
      </c>
      <c r="X116" s="6">
        <f>IF(S116&lt;&gt;"",S116,IF(T116&lt;&gt;"",T116,IF(U116&lt;&gt;"",U116,IF(V116&lt;&gt;"",V116,""))))</f>
        <v/>
      </c>
    </row>
    <row r="117">
      <c r="A117" s="6" t="inlineStr">
        <is>
          <t>2026-06-12</t>
        </is>
      </c>
      <c r="B117" s="6" t="inlineStr">
        <is>
          <t>EQEM</t>
        </is>
      </c>
      <c r="C117" s="6">
        <f>INDEX('Fund Master'!$B$2:$B$7,MATCH(B117,'Fund Master'!$A$2:$A$7,0))</f>
        <v/>
      </c>
      <c r="D117" s="6">
        <f>INDEX('Fund Master'!$C$2:$C$7,MATCH(B117,'Fund Master'!$A$2:$A$7,0))</f>
        <v/>
      </c>
      <c r="E117" s="8" t="n">
        <v>317650634.15</v>
      </c>
      <c r="F117" s="8" t="n">
        <v>9769354.66</v>
      </c>
      <c r="G117" s="8" t="n">
        <v>1662082.04</v>
      </c>
      <c r="H117" s="8" t="n">
        <v>1676432.24</v>
      </c>
      <c r="I117" s="8" t="n">
        <v>557442.33</v>
      </c>
      <c r="J117" s="10" t="n">
        <v>20394736.8421</v>
      </c>
      <c r="K117" s="9">
        <f>E117+F117+G117</f>
        <v/>
      </c>
      <c r="L117" s="9">
        <f>H117+I117</f>
        <v/>
      </c>
      <c r="M117" s="9">
        <f>K117-L117</f>
        <v/>
      </c>
      <c r="N117" s="11">
        <f>IFERROR(M117/J117,0)</f>
        <v/>
      </c>
      <c r="O117" s="11">
        <f>IF((B117=B116),N116,"")</f>
        <v/>
      </c>
      <c r="P117" s="12">
        <f>IF(O117="","",IFERROR((N117-O117)/O117,""))</f>
        <v/>
      </c>
      <c r="Q117" s="13">
        <f>INDEX('Fund Master'!$F$2:$F$7,MATCH(B117,'Fund Master'!$A$2:$A$7,0))</f>
        <v/>
      </c>
      <c r="R117" s="9">
        <f>SUMIFS('Capital Activity'!$E$2:$E$385,'Capital Activity'!$A$2:$A$385,A117,'Capital Activity'!$B$2:$B$385,B117)</f>
        <v/>
      </c>
      <c r="S117" s="6">
        <f>IF(O117="","",IF(ABS(P117)*10000&gt;Q117,"NAV MOVE BREACH",""))</f>
        <v/>
      </c>
      <c r="T117" s="6">
        <f>IF(AND((B117=B116),D117&lt;&gt;"Money Market",E117=E116),"STALE PRICE","")</f>
        <v/>
      </c>
      <c r="U117" s="6">
        <f>IF(F117&lt;0,"NEGATIVE CASH","")</f>
        <v/>
      </c>
      <c r="V117" s="6">
        <f>IF(ABS(R117)&gt;0.05*M117,"LARGE FLOW","")</f>
        <v/>
      </c>
      <c r="W117" s="6">
        <f>(S117&lt;&gt;"")*1+(T117&lt;&gt;"")*1+(U117&lt;&gt;"")*1+(V117&lt;&gt;"")*1</f>
        <v/>
      </c>
      <c r="X117" s="6">
        <f>IF(S117&lt;&gt;"",S117,IF(T117&lt;&gt;"",T117,IF(U117&lt;&gt;"",U117,IF(V117&lt;&gt;"",V117,""))))</f>
        <v/>
      </c>
    </row>
    <row r="118">
      <c r="A118" s="6" t="inlineStr">
        <is>
          <t>2026-06-15</t>
        </is>
      </c>
      <c r="B118" s="6" t="inlineStr">
        <is>
          <t>EQEM</t>
        </is>
      </c>
      <c r="C118" s="6">
        <f>INDEX('Fund Master'!$B$2:$B$7,MATCH(B118,'Fund Master'!$A$2:$A$7,0))</f>
        <v/>
      </c>
      <c r="D118" s="6">
        <f>INDEX('Fund Master'!$C$2:$C$7,MATCH(B118,'Fund Master'!$A$2:$A$7,0))</f>
        <v/>
      </c>
      <c r="E118" s="8" t="n">
        <v>319164513.33</v>
      </c>
      <c r="F118" s="8" t="n">
        <v>9576327.42</v>
      </c>
      <c r="G118" s="8" t="n">
        <v>1740783.28</v>
      </c>
      <c r="H118" s="8" t="n">
        <v>1670258.47</v>
      </c>
      <c r="I118" s="8" t="n">
        <v>568841.0600000001</v>
      </c>
      <c r="J118" s="10" t="n">
        <v>20394736.8421</v>
      </c>
      <c r="K118" s="9">
        <f>E118+F118+G118</f>
        <v/>
      </c>
      <c r="L118" s="9">
        <f>H118+I118</f>
        <v/>
      </c>
      <c r="M118" s="9">
        <f>K118-L118</f>
        <v/>
      </c>
      <c r="N118" s="11">
        <f>IFERROR(M118/J118,0)</f>
        <v/>
      </c>
      <c r="O118" s="11">
        <f>IF((B118=B117),N117,"")</f>
        <v/>
      </c>
      <c r="P118" s="12">
        <f>IF(O118="","",IFERROR((N118-O118)/O118,""))</f>
        <v/>
      </c>
      <c r="Q118" s="13">
        <f>INDEX('Fund Master'!$F$2:$F$7,MATCH(B118,'Fund Master'!$A$2:$A$7,0))</f>
        <v/>
      </c>
      <c r="R118" s="9">
        <f>SUMIFS('Capital Activity'!$E$2:$E$385,'Capital Activity'!$A$2:$A$385,A118,'Capital Activity'!$B$2:$B$385,B118)</f>
        <v/>
      </c>
      <c r="S118" s="6">
        <f>IF(O118="","",IF(ABS(P118)*10000&gt;Q118,"NAV MOVE BREACH",""))</f>
        <v/>
      </c>
      <c r="T118" s="6">
        <f>IF(AND((B118=B117),D118&lt;&gt;"Money Market",E118=E117),"STALE PRICE","")</f>
        <v/>
      </c>
      <c r="U118" s="6">
        <f>IF(F118&lt;0,"NEGATIVE CASH","")</f>
        <v/>
      </c>
      <c r="V118" s="6">
        <f>IF(ABS(R118)&gt;0.05*M118,"LARGE FLOW","")</f>
        <v/>
      </c>
      <c r="W118" s="6">
        <f>(S118&lt;&gt;"")*1+(T118&lt;&gt;"")*1+(U118&lt;&gt;"")*1+(V118&lt;&gt;"")*1</f>
        <v/>
      </c>
      <c r="X118" s="6">
        <f>IF(S118&lt;&gt;"",S118,IF(T118&lt;&gt;"",T118,IF(U118&lt;&gt;"",U118,IF(V118&lt;&gt;"",V118,""))))</f>
        <v/>
      </c>
    </row>
    <row r="119">
      <c r="A119" s="6" t="inlineStr">
        <is>
          <t>2026-06-16</t>
        </is>
      </c>
      <c r="B119" s="6" t="inlineStr">
        <is>
          <t>EQEM</t>
        </is>
      </c>
      <c r="C119" s="6">
        <f>INDEX('Fund Master'!$B$2:$B$7,MATCH(B119,'Fund Master'!$A$2:$A$7,0))</f>
        <v/>
      </c>
      <c r="D119" s="6">
        <f>INDEX('Fund Master'!$C$2:$C$7,MATCH(B119,'Fund Master'!$A$2:$A$7,0))</f>
        <v/>
      </c>
      <c r="E119" s="8" t="n">
        <v>316081125.08</v>
      </c>
      <c r="F119" s="8" t="n">
        <v>9216699.51</v>
      </c>
      <c r="G119" s="8" t="n">
        <v>1605880.84</v>
      </c>
      <c r="H119" s="8" t="n">
        <v>1700094.01</v>
      </c>
      <c r="I119" s="8" t="n">
        <v>580129.67</v>
      </c>
      <c r="J119" s="10" t="n">
        <v>20394736.8421</v>
      </c>
      <c r="K119" s="9">
        <f>E119+F119+G119</f>
        <v/>
      </c>
      <c r="L119" s="9">
        <f>H119+I119</f>
        <v/>
      </c>
      <c r="M119" s="9">
        <f>K119-L119</f>
        <v/>
      </c>
      <c r="N119" s="11">
        <f>IFERROR(M119/J119,0)</f>
        <v/>
      </c>
      <c r="O119" s="11">
        <f>IF((B119=B118),N118,"")</f>
        <v/>
      </c>
      <c r="P119" s="12">
        <f>IF(O119="","",IFERROR((N119-O119)/O119,""))</f>
        <v/>
      </c>
      <c r="Q119" s="13">
        <f>INDEX('Fund Master'!$F$2:$F$7,MATCH(B119,'Fund Master'!$A$2:$A$7,0))</f>
        <v/>
      </c>
      <c r="R119" s="9">
        <f>SUMIFS('Capital Activity'!$E$2:$E$385,'Capital Activity'!$A$2:$A$385,A119,'Capital Activity'!$B$2:$B$385,B119)</f>
        <v/>
      </c>
      <c r="S119" s="6">
        <f>IF(O119="","",IF(ABS(P119)*10000&gt;Q119,"NAV MOVE BREACH",""))</f>
        <v/>
      </c>
      <c r="T119" s="6">
        <f>IF(AND((B119=B118),D119&lt;&gt;"Money Market",E119=E118),"STALE PRICE","")</f>
        <v/>
      </c>
      <c r="U119" s="6">
        <f>IF(F119&lt;0,"NEGATIVE CASH","")</f>
        <v/>
      </c>
      <c r="V119" s="6">
        <f>IF(ABS(R119)&gt;0.05*M119,"LARGE FLOW","")</f>
        <v/>
      </c>
      <c r="W119" s="6">
        <f>(S119&lt;&gt;"")*1+(T119&lt;&gt;"")*1+(U119&lt;&gt;"")*1+(V119&lt;&gt;"")*1</f>
        <v/>
      </c>
      <c r="X119" s="6">
        <f>IF(S119&lt;&gt;"",S119,IF(T119&lt;&gt;"",T119,IF(U119&lt;&gt;"",U119,IF(V119&lt;&gt;"",V119,""))))</f>
        <v/>
      </c>
    </row>
    <row r="120">
      <c r="A120" s="6" t="inlineStr">
        <is>
          <t>2026-06-17</t>
        </is>
      </c>
      <c r="B120" s="6" t="inlineStr">
        <is>
          <t>EQEM</t>
        </is>
      </c>
      <c r="C120" s="6">
        <f>INDEX('Fund Master'!$B$2:$B$7,MATCH(B120,'Fund Master'!$A$2:$A$7,0))</f>
        <v/>
      </c>
      <c r="D120" s="6">
        <f>INDEX('Fund Master'!$C$2:$C$7,MATCH(B120,'Fund Master'!$A$2:$A$7,0))</f>
        <v/>
      </c>
      <c r="E120" s="8" t="n">
        <v>306931521.05</v>
      </c>
      <c r="F120" s="8" t="n">
        <v>9262321.16</v>
      </c>
      <c r="G120" s="8" t="n">
        <v>1574939.69</v>
      </c>
      <c r="H120" s="8" t="n">
        <v>1643757.14</v>
      </c>
      <c r="I120" s="8" t="n">
        <v>591091.51</v>
      </c>
      <c r="J120" s="10" t="n">
        <v>20394736.8421</v>
      </c>
      <c r="K120" s="9">
        <f>E120+F120+G120</f>
        <v/>
      </c>
      <c r="L120" s="9">
        <f>H120+I120</f>
        <v/>
      </c>
      <c r="M120" s="9">
        <f>K120-L120</f>
        <v/>
      </c>
      <c r="N120" s="11">
        <f>IFERROR(M120/J120,0)</f>
        <v/>
      </c>
      <c r="O120" s="11">
        <f>IF((B120=B119),N119,"")</f>
        <v/>
      </c>
      <c r="P120" s="12">
        <f>IF(O120="","",IFERROR((N120-O120)/O120,""))</f>
        <v/>
      </c>
      <c r="Q120" s="13">
        <f>INDEX('Fund Master'!$F$2:$F$7,MATCH(B120,'Fund Master'!$A$2:$A$7,0))</f>
        <v/>
      </c>
      <c r="R120" s="9">
        <f>SUMIFS('Capital Activity'!$E$2:$E$385,'Capital Activity'!$A$2:$A$385,A120,'Capital Activity'!$B$2:$B$385,B120)</f>
        <v/>
      </c>
      <c r="S120" s="6">
        <f>IF(O120="","",IF(ABS(P120)*10000&gt;Q120,"NAV MOVE BREACH",""))</f>
        <v/>
      </c>
      <c r="T120" s="6">
        <f>IF(AND((B120=B119),D120&lt;&gt;"Money Market",E120=E119),"STALE PRICE","")</f>
        <v/>
      </c>
      <c r="U120" s="6">
        <f>IF(F120&lt;0,"NEGATIVE CASH","")</f>
        <v/>
      </c>
      <c r="V120" s="6">
        <f>IF(ABS(R120)&gt;0.05*M120,"LARGE FLOW","")</f>
        <v/>
      </c>
      <c r="W120" s="6">
        <f>(S120&lt;&gt;"")*1+(T120&lt;&gt;"")*1+(U120&lt;&gt;"")*1+(V120&lt;&gt;"")*1</f>
        <v/>
      </c>
      <c r="X120" s="6">
        <f>IF(S120&lt;&gt;"",S120,IF(T120&lt;&gt;"",T120,IF(U120&lt;&gt;"",U120,IF(V120&lt;&gt;"",V120,""))))</f>
        <v/>
      </c>
    </row>
    <row r="121">
      <c r="A121" s="6" t="inlineStr">
        <is>
          <t>2026-06-18</t>
        </is>
      </c>
      <c r="B121" s="6" t="inlineStr">
        <is>
          <t>EQEM</t>
        </is>
      </c>
      <c r="C121" s="6">
        <f>INDEX('Fund Master'!$B$2:$B$7,MATCH(B121,'Fund Master'!$A$2:$A$7,0))</f>
        <v/>
      </c>
      <c r="D121" s="6">
        <f>INDEX('Fund Master'!$C$2:$C$7,MATCH(B121,'Fund Master'!$A$2:$A$7,0))</f>
        <v/>
      </c>
      <c r="E121" s="8" t="n">
        <v>306831189.48</v>
      </c>
      <c r="F121" s="8" t="n">
        <v>9462409.890000001</v>
      </c>
      <c r="G121" s="8" t="n">
        <v>1582836.53</v>
      </c>
      <c r="H121" s="8" t="n">
        <v>1654287.96</v>
      </c>
      <c r="I121" s="8" t="n">
        <v>602049.77</v>
      </c>
      <c r="J121" s="10" t="n">
        <v>20394736.8421</v>
      </c>
      <c r="K121" s="9">
        <f>E121+F121+G121</f>
        <v/>
      </c>
      <c r="L121" s="9">
        <f>H121+I121</f>
        <v/>
      </c>
      <c r="M121" s="9">
        <f>K121-L121</f>
        <v/>
      </c>
      <c r="N121" s="11">
        <f>IFERROR(M121/J121,0)</f>
        <v/>
      </c>
      <c r="O121" s="11">
        <f>IF((B121=B120),N120,"")</f>
        <v/>
      </c>
      <c r="P121" s="12">
        <f>IF(O121="","",IFERROR((N121-O121)/O121,""))</f>
        <v/>
      </c>
      <c r="Q121" s="13">
        <f>INDEX('Fund Master'!$F$2:$F$7,MATCH(B121,'Fund Master'!$A$2:$A$7,0))</f>
        <v/>
      </c>
      <c r="R121" s="9">
        <f>SUMIFS('Capital Activity'!$E$2:$E$385,'Capital Activity'!$A$2:$A$385,A121,'Capital Activity'!$B$2:$B$385,B121)</f>
        <v/>
      </c>
      <c r="S121" s="6">
        <f>IF(O121="","",IF(ABS(P121)*10000&gt;Q121,"NAV MOVE BREACH",""))</f>
        <v/>
      </c>
      <c r="T121" s="6">
        <f>IF(AND((B121=B120),D121&lt;&gt;"Money Market",E121=E120),"STALE PRICE","")</f>
        <v/>
      </c>
      <c r="U121" s="6">
        <f>IF(F121&lt;0,"NEGATIVE CASH","")</f>
        <v/>
      </c>
      <c r="V121" s="6">
        <f>IF(ABS(R121)&gt;0.05*M121,"LARGE FLOW","")</f>
        <v/>
      </c>
      <c r="W121" s="6">
        <f>(S121&lt;&gt;"")*1+(T121&lt;&gt;"")*1+(U121&lt;&gt;"")*1+(V121&lt;&gt;"")*1</f>
        <v/>
      </c>
      <c r="X121" s="6">
        <f>IF(S121&lt;&gt;"",S121,IF(T121&lt;&gt;"",T121,IF(U121&lt;&gt;"",U121,IF(V121&lt;&gt;"",V121,""))))</f>
        <v/>
      </c>
    </row>
    <row r="122">
      <c r="A122" s="6" t="inlineStr">
        <is>
          <t>2026-06-19</t>
        </is>
      </c>
      <c r="B122" s="6" t="inlineStr">
        <is>
          <t>EQEM</t>
        </is>
      </c>
      <c r="C122" s="6">
        <f>INDEX('Fund Master'!$B$2:$B$7,MATCH(B122,'Fund Master'!$A$2:$A$7,0))</f>
        <v/>
      </c>
      <c r="D122" s="6">
        <f>INDEX('Fund Master'!$C$2:$C$7,MATCH(B122,'Fund Master'!$A$2:$A$7,0))</f>
        <v/>
      </c>
      <c r="E122" s="8" t="n">
        <v>308214760.28</v>
      </c>
      <c r="F122" s="8" t="n">
        <v>9188818.539999999</v>
      </c>
      <c r="G122" s="8" t="n">
        <v>1490246.54</v>
      </c>
      <c r="H122" s="8" t="n">
        <v>1716727.91</v>
      </c>
      <c r="I122" s="8" t="n">
        <v>613057.4399999999</v>
      </c>
      <c r="J122" s="10" t="n">
        <v>20394736.8421</v>
      </c>
      <c r="K122" s="9">
        <f>E122+F122+G122</f>
        <v/>
      </c>
      <c r="L122" s="9">
        <f>H122+I122</f>
        <v/>
      </c>
      <c r="M122" s="9">
        <f>K122-L122</f>
        <v/>
      </c>
      <c r="N122" s="11">
        <f>IFERROR(M122/J122,0)</f>
        <v/>
      </c>
      <c r="O122" s="11">
        <f>IF((B122=B121),N121,"")</f>
        <v/>
      </c>
      <c r="P122" s="12">
        <f>IF(O122="","",IFERROR((N122-O122)/O122,""))</f>
        <v/>
      </c>
      <c r="Q122" s="13">
        <f>INDEX('Fund Master'!$F$2:$F$7,MATCH(B122,'Fund Master'!$A$2:$A$7,0))</f>
        <v/>
      </c>
      <c r="R122" s="9">
        <f>SUMIFS('Capital Activity'!$E$2:$E$385,'Capital Activity'!$A$2:$A$385,A122,'Capital Activity'!$B$2:$B$385,B122)</f>
        <v/>
      </c>
      <c r="S122" s="6">
        <f>IF(O122="","",IF(ABS(P122)*10000&gt;Q122,"NAV MOVE BREACH",""))</f>
        <v/>
      </c>
      <c r="T122" s="6">
        <f>IF(AND((B122=B121),D122&lt;&gt;"Money Market",E122=E121),"STALE PRICE","")</f>
        <v/>
      </c>
      <c r="U122" s="6">
        <f>IF(F122&lt;0,"NEGATIVE CASH","")</f>
        <v/>
      </c>
      <c r="V122" s="6">
        <f>IF(ABS(R122)&gt;0.05*M122,"LARGE FLOW","")</f>
        <v/>
      </c>
      <c r="W122" s="6">
        <f>(S122&lt;&gt;"")*1+(T122&lt;&gt;"")*1+(U122&lt;&gt;"")*1+(V122&lt;&gt;"")*1</f>
        <v/>
      </c>
      <c r="X122" s="6">
        <f>IF(S122&lt;&gt;"",S122,IF(T122&lt;&gt;"",T122,IF(U122&lt;&gt;"",U122,IF(V122&lt;&gt;"",V122,""))))</f>
        <v/>
      </c>
    </row>
    <row r="123">
      <c r="A123" s="6" t="inlineStr">
        <is>
          <t>2026-06-22</t>
        </is>
      </c>
      <c r="B123" s="6" t="inlineStr">
        <is>
          <t>EQEM</t>
        </is>
      </c>
      <c r="C123" s="6">
        <f>INDEX('Fund Master'!$B$2:$B$7,MATCH(B123,'Fund Master'!$A$2:$A$7,0))</f>
        <v/>
      </c>
      <c r="D123" s="6">
        <f>INDEX('Fund Master'!$C$2:$C$7,MATCH(B123,'Fund Master'!$A$2:$A$7,0))</f>
        <v/>
      </c>
      <c r="E123" s="8" t="n">
        <v>308355945.78</v>
      </c>
      <c r="F123" s="8" t="n">
        <v>9257335.039999999</v>
      </c>
      <c r="G123" s="8" t="n">
        <v>1450984.04</v>
      </c>
      <c r="H123" s="8" t="n">
        <v>1659915.53</v>
      </c>
      <c r="I123" s="8" t="n">
        <v>624070.15</v>
      </c>
      <c r="J123" s="10" t="n">
        <v>20394736.8421</v>
      </c>
      <c r="K123" s="9">
        <f>E123+F123+G123</f>
        <v/>
      </c>
      <c r="L123" s="9">
        <f>H123+I123</f>
        <v/>
      </c>
      <c r="M123" s="9">
        <f>K123-L123</f>
        <v/>
      </c>
      <c r="N123" s="11">
        <f>IFERROR(M123/J123,0)</f>
        <v/>
      </c>
      <c r="O123" s="11">
        <f>IF((B123=B122),N122,"")</f>
        <v/>
      </c>
      <c r="P123" s="12">
        <f>IF(O123="","",IFERROR((N123-O123)/O123,""))</f>
        <v/>
      </c>
      <c r="Q123" s="13">
        <f>INDEX('Fund Master'!$F$2:$F$7,MATCH(B123,'Fund Master'!$A$2:$A$7,0))</f>
        <v/>
      </c>
      <c r="R123" s="9">
        <f>SUMIFS('Capital Activity'!$E$2:$E$385,'Capital Activity'!$A$2:$A$385,A123,'Capital Activity'!$B$2:$B$385,B123)</f>
        <v/>
      </c>
      <c r="S123" s="6">
        <f>IF(O123="","",IF(ABS(P123)*10000&gt;Q123,"NAV MOVE BREACH",""))</f>
        <v/>
      </c>
      <c r="T123" s="6">
        <f>IF(AND((B123=B122),D123&lt;&gt;"Money Market",E123=E122),"STALE PRICE","")</f>
        <v/>
      </c>
      <c r="U123" s="6">
        <f>IF(F123&lt;0,"NEGATIVE CASH","")</f>
        <v/>
      </c>
      <c r="V123" s="6">
        <f>IF(ABS(R123)&gt;0.05*M123,"LARGE FLOW","")</f>
        <v/>
      </c>
      <c r="W123" s="6">
        <f>(S123&lt;&gt;"")*1+(T123&lt;&gt;"")*1+(U123&lt;&gt;"")*1+(V123&lt;&gt;"")*1</f>
        <v/>
      </c>
      <c r="X123" s="6">
        <f>IF(S123&lt;&gt;"",S123,IF(T123&lt;&gt;"",T123,IF(U123&lt;&gt;"",U123,IF(V123&lt;&gt;"",V123,""))))</f>
        <v/>
      </c>
    </row>
    <row r="124">
      <c r="A124" s="6" t="inlineStr">
        <is>
          <t>2026-06-23</t>
        </is>
      </c>
      <c r="B124" s="6" t="inlineStr">
        <is>
          <t>EQEM</t>
        </is>
      </c>
      <c r="C124" s="6">
        <f>INDEX('Fund Master'!$B$2:$B$7,MATCH(B124,'Fund Master'!$A$2:$A$7,0))</f>
        <v/>
      </c>
      <c r="D124" s="6">
        <f>INDEX('Fund Master'!$C$2:$C$7,MATCH(B124,'Fund Master'!$A$2:$A$7,0))</f>
        <v/>
      </c>
      <c r="E124" s="8" t="n">
        <v>310180037.27</v>
      </c>
      <c r="F124" s="8" t="n">
        <v>8995232.699999999</v>
      </c>
      <c r="G124" s="8" t="n">
        <v>1536181.04</v>
      </c>
      <c r="H124" s="8" t="n">
        <v>1704916.5</v>
      </c>
      <c r="I124" s="8" t="n">
        <v>635148.01</v>
      </c>
      <c r="J124" s="10" t="n">
        <v>20394736.8421</v>
      </c>
      <c r="K124" s="9">
        <f>E124+F124+G124</f>
        <v/>
      </c>
      <c r="L124" s="9">
        <f>H124+I124</f>
        <v/>
      </c>
      <c r="M124" s="9">
        <f>K124-L124</f>
        <v/>
      </c>
      <c r="N124" s="11">
        <f>IFERROR(M124/J124,0)</f>
        <v/>
      </c>
      <c r="O124" s="11">
        <f>IF((B124=B123),N123,"")</f>
        <v/>
      </c>
      <c r="P124" s="12">
        <f>IF(O124="","",IFERROR((N124-O124)/O124,""))</f>
        <v/>
      </c>
      <c r="Q124" s="13">
        <f>INDEX('Fund Master'!$F$2:$F$7,MATCH(B124,'Fund Master'!$A$2:$A$7,0))</f>
        <v/>
      </c>
      <c r="R124" s="9">
        <f>SUMIFS('Capital Activity'!$E$2:$E$385,'Capital Activity'!$A$2:$A$385,A124,'Capital Activity'!$B$2:$B$385,B124)</f>
        <v/>
      </c>
      <c r="S124" s="6">
        <f>IF(O124="","",IF(ABS(P124)*10000&gt;Q124,"NAV MOVE BREACH",""))</f>
        <v/>
      </c>
      <c r="T124" s="6">
        <f>IF(AND((B124=B123),D124&lt;&gt;"Money Market",E124=E123),"STALE PRICE","")</f>
        <v/>
      </c>
      <c r="U124" s="6">
        <f>IF(F124&lt;0,"NEGATIVE CASH","")</f>
        <v/>
      </c>
      <c r="V124" s="6">
        <f>IF(ABS(R124)&gt;0.05*M124,"LARGE FLOW","")</f>
        <v/>
      </c>
      <c r="W124" s="6">
        <f>(S124&lt;&gt;"")*1+(T124&lt;&gt;"")*1+(U124&lt;&gt;"")*1+(V124&lt;&gt;"")*1</f>
        <v/>
      </c>
      <c r="X124" s="6">
        <f>IF(S124&lt;&gt;"",S124,IF(T124&lt;&gt;"",T124,IF(U124&lt;&gt;"",U124,IF(V124&lt;&gt;"",V124,""))))</f>
        <v/>
      </c>
    </row>
    <row r="125">
      <c r="A125" s="6" t="inlineStr">
        <is>
          <t>2026-06-24</t>
        </is>
      </c>
      <c r="B125" s="6" t="inlineStr">
        <is>
          <t>EQEM</t>
        </is>
      </c>
      <c r="C125" s="6">
        <f>INDEX('Fund Master'!$B$2:$B$7,MATCH(B125,'Fund Master'!$A$2:$A$7,0))</f>
        <v/>
      </c>
      <c r="D125" s="6">
        <f>INDEX('Fund Master'!$C$2:$C$7,MATCH(B125,'Fund Master'!$A$2:$A$7,0))</f>
        <v/>
      </c>
      <c r="E125" s="8" t="n">
        <v>317474430.23</v>
      </c>
      <c r="F125" s="8" t="n">
        <v>9399992.300000001</v>
      </c>
      <c r="G125" s="8" t="n">
        <v>1432043.54</v>
      </c>
      <c r="H125" s="8" t="n">
        <v>1647514.49</v>
      </c>
      <c r="I125" s="8" t="n">
        <v>646486.38</v>
      </c>
      <c r="J125" s="10" t="n">
        <v>20394736.8421</v>
      </c>
      <c r="K125" s="9">
        <f>E125+F125+G125</f>
        <v/>
      </c>
      <c r="L125" s="9">
        <f>H125+I125</f>
        <v/>
      </c>
      <c r="M125" s="9">
        <f>K125-L125</f>
        <v/>
      </c>
      <c r="N125" s="11">
        <f>IFERROR(M125/J125,0)</f>
        <v/>
      </c>
      <c r="O125" s="11">
        <f>IF((B125=B124),N124,"")</f>
        <v/>
      </c>
      <c r="P125" s="12">
        <f>IF(O125="","",IFERROR((N125-O125)/O125,""))</f>
        <v/>
      </c>
      <c r="Q125" s="13">
        <f>INDEX('Fund Master'!$F$2:$F$7,MATCH(B125,'Fund Master'!$A$2:$A$7,0))</f>
        <v/>
      </c>
      <c r="R125" s="9">
        <f>SUMIFS('Capital Activity'!$E$2:$E$385,'Capital Activity'!$A$2:$A$385,A125,'Capital Activity'!$B$2:$B$385,B125)</f>
        <v/>
      </c>
      <c r="S125" s="6">
        <f>IF(O125="","",IF(ABS(P125)*10000&gt;Q125,"NAV MOVE BREACH",""))</f>
        <v/>
      </c>
      <c r="T125" s="6">
        <f>IF(AND((B125=B124),D125&lt;&gt;"Money Market",E125=E124),"STALE PRICE","")</f>
        <v/>
      </c>
      <c r="U125" s="6">
        <f>IF(F125&lt;0,"NEGATIVE CASH","")</f>
        <v/>
      </c>
      <c r="V125" s="6">
        <f>IF(ABS(R125)&gt;0.05*M125,"LARGE FLOW","")</f>
        <v/>
      </c>
      <c r="W125" s="6">
        <f>(S125&lt;&gt;"")*1+(T125&lt;&gt;"")*1+(U125&lt;&gt;"")*1+(V125&lt;&gt;"")*1</f>
        <v/>
      </c>
      <c r="X125" s="6">
        <f>IF(S125&lt;&gt;"",S125,IF(T125&lt;&gt;"",T125,IF(U125&lt;&gt;"",U125,IF(V125&lt;&gt;"",V125,""))))</f>
        <v/>
      </c>
    </row>
    <row r="126">
      <c r="A126" s="6" t="inlineStr">
        <is>
          <t>2026-06-25</t>
        </is>
      </c>
      <c r="B126" s="6" t="inlineStr">
        <is>
          <t>EQEM</t>
        </is>
      </c>
      <c r="C126" s="6">
        <f>INDEX('Fund Master'!$B$2:$B$7,MATCH(B126,'Fund Master'!$A$2:$A$7,0))</f>
        <v/>
      </c>
      <c r="D126" s="6">
        <f>INDEX('Fund Master'!$C$2:$C$7,MATCH(B126,'Fund Master'!$A$2:$A$7,0))</f>
        <v/>
      </c>
      <c r="E126" s="8" t="n">
        <v>319838734.15</v>
      </c>
      <c r="F126" s="8" t="n">
        <v>9330723.58</v>
      </c>
      <c r="G126" s="8" t="n">
        <v>1457044.75</v>
      </c>
      <c r="H126" s="8" t="n">
        <v>1601799.73</v>
      </c>
      <c r="I126" s="8" t="n">
        <v>657909.1899999999</v>
      </c>
      <c r="J126" s="10" t="n">
        <v>20394736.8421</v>
      </c>
      <c r="K126" s="9">
        <f>E126+F126+G126</f>
        <v/>
      </c>
      <c r="L126" s="9">
        <f>H126+I126</f>
        <v/>
      </c>
      <c r="M126" s="9">
        <f>K126-L126</f>
        <v/>
      </c>
      <c r="N126" s="11">
        <f>IFERROR(M126/J126,0)</f>
        <v/>
      </c>
      <c r="O126" s="11">
        <f>IF((B126=B125),N125,"")</f>
        <v/>
      </c>
      <c r="P126" s="12">
        <f>IF(O126="","",IFERROR((N126-O126)/O126,""))</f>
        <v/>
      </c>
      <c r="Q126" s="13">
        <f>INDEX('Fund Master'!$F$2:$F$7,MATCH(B126,'Fund Master'!$A$2:$A$7,0))</f>
        <v/>
      </c>
      <c r="R126" s="9">
        <f>SUMIFS('Capital Activity'!$E$2:$E$385,'Capital Activity'!$A$2:$A$385,A126,'Capital Activity'!$B$2:$B$385,B126)</f>
        <v/>
      </c>
      <c r="S126" s="6">
        <f>IF(O126="","",IF(ABS(P126)*10000&gt;Q126,"NAV MOVE BREACH",""))</f>
        <v/>
      </c>
      <c r="T126" s="6">
        <f>IF(AND((B126=B125),D126&lt;&gt;"Money Market",E126=E125),"STALE PRICE","")</f>
        <v/>
      </c>
      <c r="U126" s="6">
        <f>IF(F126&lt;0,"NEGATIVE CASH","")</f>
        <v/>
      </c>
      <c r="V126" s="6">
        <f>IF(ABS(R126)&gt;0.05*M126,"LARGE FLOW","")</f>
        <v/>
      </c>
      <c r="W126" s="6">
        <f>(S126&lt;&gt;"")*1+(T126&lt;&gt;"")*1+(U126&lt;&gt;"")*1+(V126&lt;&gt;"")*1</f>
        <v/>
      </c>
      <c r="X126" s="6">
        <f>IF(S126&lt;&gt;"",S126,IF(T126&lt;&gt;"",T126,IF(U126&lt;&gt;"",U126,IF(V126&lt;&gt;"",V126,""))))</f>
        <v/>
      </c>
    </row>
    <row r="127">
      <c r="A127" s="6" t="inlineStr">
        <is>
          <t>2026-06-26</t>
        </is>
      </c>
      <c r="B127" s="6" t="inlineStr">
        <is>
          <t>EQEM</t>
        </is>
      </c>
      <c r="C127" s="6">
        <f>INDEX('Fund Master'!$B$2:$B$7,MATCH(B127,'Fund Master'!$A$2:$A$7,0))</f>
        <v/>
      </c>
      <c r="D127" s="6">
        <f>INDEX('Fund Master'!$C$2:$C$7,MATCH(B127,'Fund Master'!$A$2:$A$7,0))</f>
        <v/>
      </c>
      <c r="E127" s="8" t="n">
        <v>315768701.36</v>
      </c>
      <c r="F127" s="8" t="n">
        <v>8955895.83</v>
      </c>
      <c r="G127" s="8" t="n">
        <v>1364547.41</v>
      </c>
      <c r="H127" s="8" t="n">
        <v>1661266.11</v>
      </c>
      <c r="I127" s="8" t="n">
        <v>669186.65</v>
      </c>
      <c r="J127" s="10" t="n">
        <v>20394736.8421</v>
      </c>
      <c r="K127" s="9">
        <f>E127+F127+G127</f>
        <v/>
      </c>
      <c r="L127" s="9">
        <f>H127+I127</f>
        <v/>
      </c>
      <c r="M127" s="9">
        <f>K127-L127</f>
        <v/>
      </c>
      <c r="N127" s="11">
        <f>IFERROR(M127/J127,0)</f>
        <v/>
      </c>
      <c r="O127" s="11">
        <f>IF((B127=B126),N126,"")</f>
        <v/>
      </c>
      <c r="P127" s="12">
        <f>IF(O127="","",IFERROR((N127-O127)/O127,""))</f>
        <v/>
      </c>
      <c r="Q127" s="13">
        <f>INDEX('Fund Master'!$F$2:$F$7,MATCH(B127,'Fund Master'!$A$2:$A$7,0))</f>
        <v/>
      </c>
      <c r="R127" s="9">
        <f>SUMIFS('Capital Activity'!$E$2:$E$385,'Capital Activity'!$A$2:$A$385,A127,'Capital Activity'!$B$2:$B$385,B127)</f>
        <v/>
      </c>
      <c r="S127" s="6">
        <f>IF(O127="","",IF(ABS(P127)*10000&gt;Q127,"NAV MOVE BREACH",""))</f>
        <v/>
      </c>
      <c r="T127" s="6">
        <f>IF(AND((B127=B126),D127&lt;&gt;"Money Market",E127=E126),"STALE PRICE","")</f>
        <v/>
      </c>
      <c r="U127" s="6">
        <f>IF(F127&lt;0,"NEGATIVE CASH","")</f>
        <v/>
      </c>
      <c r="V127" s="6">
        <f>IF(ABS(R127)&gt;0.05*M127,"LARGE FLOW","")</f>
        <v/>
      </c>
      <c r="W127" s="6">
        <f>(S127&lt;&gt;"")*1+(T127&lt;&gt;"")*1+(U127&lt;&gt;"")*1+(V127&lt;&gt;"")*1</f>
        <v/>
      </c>
      <c r="X127" s="6">
        <f>IF(S127&lt;&gt;"",S127,IF(T127&lt;&gt;"",T127,IF(U127&lt;&gt;"",U127,IF(V127&lt;&gt;"",V127,""))))</f>
        <v/>
      </c>
    </row>
    <row r="128">
      <c r="A128" s="6" t="inlineStr">
        <is>
          <t>2026-06-29</t>
        </is>
      </c>
      <c r="B128" s="6" t="inlineStr">
        <is>
          <t>EQEM</t>
        </is>
      </c>
      <c r="C128" s="6">
        <f>INDEX('Fund Master'!$B$2:$B$7,MATCH(B128,'Fund Master'!$A$2:$A$7,0))</f>
        <v/>
      </c>
      <c r="D128" s="6">
        <f>INDEX('Fund Master'!$C$2:$C$7,MATCH(B128,'Fund Master'!$A$2:$A$7,0))</f>
        <v/>
      </c>
      <c r="E128" s="8" t="n">
        <v>318012696.04</v>
      </c>
      <c r="F128" s="8" t="n">
        <v>9054808.6</v>
      </c>
      <c r="G128" s="8" t="n">
        <v>1308732.02</v>
      </c>
      <c r="H128" s="8" t="n">
        <v>1726521.6</v>
      </c>
      <c r="I128" s="8" t="n">
        <v>680544.24</v>
      </c>
      <c r="J128" s="10" t="n">
        <v>20394736.8421</v>
      </c>
      <c r="K128" s="9">
        <f>E128+F128+G128</f>
        <v/>
      </c>
      <c r="L128" s="9">
        <f>H128+I128</f>
        <v/>
      </c>
      <c r="M128" s="9">
        <f>K128-L128</f>
        <v/>
      </c>
      <c r="N128" s="11">
        <f>IFERROR(M128/J128,0)</f>
        <v/>
      </c>
      <c r="O128" s="11">
        <f>IF((B128=B127),N127,"")</f>
        <v/>
      </c>
      <c r="P128" s="12">
        <f>IF(O128="","",IFERROR((N128-O128)/O128,""))</f>
        <v/>
      </c>
      <c r="Q128" s="13">
        <f>INDEX('Fund Master'!$F$2:$F$7,MATCH(B128,'Fund Master'!$A$2:$A$7,0))</f>
        <v/>
      </c>
      <c r="R128" s="9">
        <f>SUMIFS('Capital Activity'!$E$2:$E$385,'Capital Activity'!$A$2:$A$385,A128,'Capital Activity'!$B$2:$B$385,B128)</f>
        <v/>
      </c>
      <c r="S128" s="6">
        <f>IF(O128="","",IF(ABS(P128)*10000&gt;Q128,"NAV MOVE BREACH",""))</f>
        <v/>
      </c>
      <c r="T128" s="6">
        <f>IF(AND((B128=B127),D128&lt;&gt;"Money Market",E128=E127),"STALE PRICE","")</f>
        <v/>
      </c>
      <c r="U128" s="6">
        <f>IF(F128&lt;0,"NEGATIVE CASH","")</f>
        <v/>
      </c>
      <c r="V128" s="6">
        <f>IF(ABS(R128)&gt;0.05*M128,"LARGE FLOW","")</f>
        <v/>
      </c>
      <c r="W128" s="6">
        <f>(S128&lt;&gt;"")*1+(T128&lt;&gt;"")*1+(U128&lt;&gt;"")*1+(V128&lt;&gt;"")*1</f>
        <v/>
      </c>
      <c r="X128" s="6">
        <f>IF(S128&lt;&gt;"",S128,IF(T128&lt;&gt;"",T128,IF(U128&lt;&gt;"",U128,IF(V128&lt;&gt;"",V128,""))))</f>
        <v/>
      </c>
    </row>
    <row r="129">
      <c r="A129" s="6" t="inlineStr">
        <is>
          <t>2026-06-30</t>
        </is>
      </c>
      <c r="B129" s="6" t="inlineStr">
        <is>
          <t>EQEM</t>
        </is>
      </c>
      <c r="C129" s="6">
        <f>INDEX('Fund Master'!$B$2:$B$7,MATCH(B129,'Fund Master'!$A$2:$A$7,0))</f>
        <v/>
      </c>
      <c r="D129" s="6">
        <f>INDEX('Fund Master'!$C$2:$C$7,MATCH(B129,'Fund Master'!$A$2:$A$7,0))</f>
        <v/>
      </c>
      <c r="E129" s="8" t="n">
        <v>329474249.99</v>
      </c>
      <c r="F129" s="8" t="n">
        <v>9362165.060000001</v>
      </c>
      <c r="G129" s="8" t="n">
        <v>1446777.7</v>
      </c>
      <c r="H129" s="8" t="n">
        <v>1733144.64</v>
      </c>
      <c r="I129" s="8" t="n">
        <v>692311.1800000001</v>
      </c>
      <c r="J129" s="10" t="n">
        <v>20394736.8421</v>
      </c>
      <c r="K129" s="9">
        <f>E129+F129+G129</f>
        <v/>
      </c>
      <c r="L129" s="9">
        <f>H129+I129</f>
        <v/>
      </c>
      <c r="M129" s="9">
        <f>K129-L129</f>
        <v/>
      </c>
      <c r="N129" s="11">
        <f>IFERROR(M129/J129,0)</f>
        <v/>
      </c>
      <c r="O129" s="11">
        <f>IF((B129=B128),N128,"")</f>
        <v/>
      </c>
      <c r="P129" s="12">
        <f>IF(O129="","",IFERROR((N129-O129)/O129,""))</f>
        <v/>
      </c>
      <c r="Q129" s="13">
        <f>INDEX('Fund Master'!$F$2:$F$7,MATCH(B129,'Fund Master'!$A$2:$A$7,0))</f>
        <v/>
      </c>
      <c r="R129" s="9">
        <f>SUMIFS('Capital Activity'!$E$2:$E$385,'Capital Activity'!$A$2:$A$385,A129,'Capital Activity'!$B$2:$B$385,B129)</f>
        <v/>
      </c>
      <c r="S129" s="6">
        <f>IF(O129="","",IF(ABS(P129)*10000&gt;Q129,"NAV MOVE BREACH",""))</f>
        <v/>
      </c>
      <c r="T129" s="6">
        <f>IF(AND((B129=B128),D129&lt;&gt;"Money Market",E129=E128),"STALE PRICE","")</f>
        <v/>
      </c>
      <c r="U129" s="6">
        <f>IF(F129&lt;0,"NEGATIVE CASH","")</f>
        <v/>
      </c>
      <c r="V129" s="6">
        <f>IF(ABS(R129)&gt;0.05*M129,"LARGE FLOW","")</f>
        <v/>
      </c>
      <c r="W129" s="6">
        <f>(S129&lt;&gt;"")*1+(T129&lt;&gt;"")*1+(U129&lt;&gt;"")*1+(V129&lt;&gt;"")*1</f>
        <v/>
      </c>
      <c r="X129" s="6">
        <f>IF(S129&lt;&gt;"",S129,IF(T129&lt;&gt;"",T129,IF(U129&lt;&gt;"",U129,IF(V129&lt;&gt;"",V129,""))))</f>
        <v/>
      </c>
    </row>
    <row r="130">
      <c r="A130" s="6" t="inlineStr">
        <is>
          <t>2026-04-01</t>
        </is>
      </c>
      <c r="B130" s="6" t="inlineStr">
        <is>
          <t>EQGL</t>
        </is>
      </c>
      <c r="C130" s="6">
        <f>INDEX('Fund Master'!$B$2:$B$7,MATCH(B130,'Fund Master'!$A$2:$A$7,0))</f>
        <v/>
      </c>
      <c r="D130" s="6">
        <f>INDEX('Fund Master'!$C$2:$C$7,MATCH(B130,'Fund Master'!$A$2:$A$7,0))</f>
        <v/>
      </c>
      <c r="E130" s="8" t="n">
        <v>623511590.52</v>
      </c>
      <c r="F130" s="8" t="n">
        <v>18653622.08</v>
      </c>
      <c r="G130" s="8" t="n">
        <v>3837991.46</v>
      </c>
      <c r="H130" s="8" t="n">
        <v>3345468.38</v>
      </c>
      <c r="I130" s="8" t="n">
        <v>18556.89</v>
      </c>
      <c r="J130" s="10" t="n">
        <v>25306122.449</v>
      </c>
      <c r="K130" s="9">
        <f>E130+F130+G130</f>
        <v/>
      </c>
      <c r="L130" s="9">
        <f>H130+I130</f>
        <v/>
      </c>
      <c r="M130" s="9">
        <f>K130-L130</f>
        <v/>
      </c>
      <c r="N130" s="11">
        <f>IFERROR(M130/J130,0)</f>
        <v/>
      </c>
      <c r="O130" s="11">
        <f>IF((B130=B129),N129,"")</f>
        <v/>
      </c>
      <c r="P130" s="12">
        <f>IF(O130="","",IFERROR((N130-O130)/O130,""))</f>
        <v/>
      </c>
      <c r="Q130" s="13">
        <f>INDEX('Fund Master'!$F$2:$F$7,MATCH(B130,'Fund Master'!$A$2:$A$7,0))</f>
        <v/>
      </c>
      <c r="R130" s="9">
        <f>SUMIFS('Capital Activity'!$E$2:$E$385,'Capital Activity'!$A$2:$A$385,A130,'Capital Activity'!$B$2:$B$385,B130)</f>
        <v/>
      </c>
      <c r="S130" s="6">
        <f>IF(O130="","",IF(ABS(P130)*10000&gt;Q130,"NAV MOVE BREACH",""))</f>
        <v/>
      </c>
      <c r="T130" s="6">
        <f>IF(AND((B130=B129),D130&lt;&gt;"Money Market",E130=E129),"STALE PRICE","")</f>
        <v/>
      </c>
      <c r="U130" s="6">
        <f>IF(F130&lt;0,"NEGATIVE CASH","")</f>
        <v/>
      </c>
      <c r="V130" s="6">
        <f>IF(ABS(R130)&gt;0.05*M130,"LARGE FLOW","")</f>
        <v/>
      </c>
      <c r="W130" s="6">
        <f>(S130&lt;&gt;"")*1+(T130&lt;&gt;"")*1+(U130&lt;&gt;"")*1+(V130&lt;&gt;"")*1</f>
        <v/>
      </c>
      <c r="X130" s="6">
        <f>IF(S130&lt;&gt;"",S130,IF(T130&lt;&gt;"",T130,IF(U130&lt;&gt;"",U130,IF(V130&lt;&gt;"",V130,""))))</f>
        <v/>
      </c>
    </row>
    <row r="131">
      <c r="A131" s="6" t="inlineStr">
        <is>
          <t>2026-04-02</t>
        </is>
      </c>
      <c r="B131" s="6" t="inlineStr">
        <is>
          <t>EQGL</t>
        </is>
      </c>
      <c r="C131" s="6">
        <f>INDEX('Fund Master'!$B$2:$B$7,MATCH(B131,'Fund Master'!$A$2:$A$7,0))</f>
        <v/>
      </c>
      <c r="D131" s="6">
        <f>INDEX('Fund Master'!$C$2:$C$7,MATCH(B131,'Fund Master'!$A$2:$A$7,0))</f>
        <v/>
      </c>
      <c r="E131" s="8" t="n">
        <v>634467525.28</v>
      </c>
      <c r="F131" s="8" t="n">
        <v>19273538.68</v>
      </c>
      <c r="G131" s="8" t="n">
        <v>3833942.21</v>
      </c>
      <c r="H131" s="8" t="n">
        <v>3486869.56</v>
      </c>
      <c r="I131" s="8" t="n">
        <v>37439.85</v>
      </c>
      <c r="J131" s="10" t="n">
        <v>25306122.449</v>
      </c>
      <c r="K131" s="9">
        <f>E131+F131+G131</f>
        <v/>
      </c>
      <c r="L131" s="9">
        <f>H131+I131</f>
        <v/>
      </c>
      <c r="M131" s="9">
        <f>K131-L131</f>
        <v/>
      </c>
      <c r="N131" s="11">
        <f>IFERROR(M131/J131,0)</f>
        <v/>
      </c>
      <c r="O131" s="11">
        <f>IF((B131=B130),N130,"")</f>
        <v/>
      </c>
      <c r="P131" s="12">
        <f>IF(O131="","",IFERROR((N131-O131)/O131,""))</f>
        <v/>
      </c>
      <c r="Q131" s="13">
        <f>INDEX('Fund Master'!$F$2:$F$7,MATCH(B131,'Fund Master'!$A$2:$A$7,0))</f>
        <v/>
      </c>
      <c r="R131" s="9">
        <f>SUMIFS('Capital Activity'!$E$2:$E$385,'Capital Activity'!$A$2:$A$385,A131,'Capital Activity'!$B$2:$B$385,B131)</f>
        <v/>
      </c>
      <c r="S131" s="6">
        <f>IF(O131="","",IF(ABS(P131)*10000&gt;Q131,"NAV MOVE BREACH",""))</f>
        <v/>
      </c>
      <c r="T131" s="6">
        <f>IF(AND((B131=B130),D131&lt;&gt;"Money Market",E131=E130),"STALE PRICE","")</f>
        <v/>
      </c>
      <c r="U131" s="6">
        <f>IF(F131&lt;0,"NEGATIVE CASH","")</f>
        <v/>
      </c>
      <c r="V131" s="6">
        <f>IF(ABS(R131)&gt;0.05*M131,"LARGE FLOW","")</f>
        <v/>
      </c>
      <c r="W131" s="6">
        <f>(S131&lt;&gt;"")*1+(T131&lt;&gt;"")*1+(U131&lt;&gt;"")*1+(V131&lt;&gt;"")*1</f>
        <v/>
      </c>
      <c r="X131" s="6">
        <f>IF(S131&lt;&gt;"",S131,IF(T131&lt;&gt;"",T131,IF(U131&lt;&gt;"",U131,IF(V131&lt;&gt;"",V131,""))))</f>
        <v/>
      </c>
    </row>
    <row r="132">
      <c r="A132" s="6" t="inlineStr">
        <is>
          <t>2026-04-03</t>
        </is>
      </c>
      <c r="B132" s="6" t="inlineStr">
        <is>
          <t>EQGL</t>
        </is>
      </c>
      <c r="C132" s="6">
        <f>INDEX('Fund Master'!$B$2:$B$7,MATCH(B132,'Fund Master'!$A$2:$A$7,0))</f>
        <v/>
      </c>
      <c r="D132" s="6">
        <f>INDEX('Fund Master'!$C$2:$C$7,MATCH(B132,'Fund Master'!$A$2:$A$7,0))</f>
        <v/>
      </c>
      <c r="E132" s="8" t="n">
        <v>636283108.02</v>
      </c>
      <c r="F132" s="8" t="n">
        <v>18598258.81</v>
      </c>
      <c r="G132" s="8" t="n">
        <v>3581504.71</v>
      </c>
      <c r="H132" s="8" t="n">
        <v>3410981.76</v>
      </c>
      <c r="I132" s="8" t="n">
        <v>56376.85</v>
      </c>
      <c r="J132" s="10" t="n">
        <v>25306122.449</v>
      </c>
      <c r="K132" s="9">
        <f>E132+F132+G132</f>
        <v/>
      </c>
      <c r="L132" s="9">
        <f>H132+I132</f>
        <v/>
      </c>
      <c r="M132" s="9">
        <f>K132-L132</f>
        <v/>
      </c>
      <c r="N132" s="11">
        <f>IFERROR(M132/J132,0)</f>
        <v/>
      </c>
      <c r="O132" s="11">
        <f>IF((B132=B131),N131,"")</f>
        <v/>
      </c>
      <c r="P132" s="12">
        <f>IF(O132="","",IFERROR((N132-O132)/O132,""))</f>
        <v/>
      </c>
      <c r="Q132" s="13">
        <f>INDEX('Fund Master'!$F$2:$F$7,MATCH(B132,'Fund Master'!$A$2:$A$7,0))</f>
        <v/>
      </c>
      <c r="R132" s="9">
        <f>SUMIFS('Capital Activity'!$E$2:$E$385,'Capital Activity'!$A$2:$A$385,A132,'Capital Activity'!$B$2:$B$385,B132)</f>
        <v/>
      </c>
      <c r="S132" s="6">
        <f>IF(O132="","",IF(ABS(P132)*10000&gt;Q132,"NAV MOVE BREACH",""))</f>
        <v/>
      </c>
      <c r="T132" s="6">
        <f>IF(AND((B132=B131),D132&lt;&gt;"Money Market",E132=E131),"STALE PRICE","")</f>
        <v/>
      </c>
      <c r="U132" s="6">
        <f>IF(F132&lt;0,"NEGATIVE CASH","")</f>
        <v/>
      </c>
      <c r="V132" s="6">
        <f>IF(ABS(R132)&gt;0.05*M132,"LARGE FLOW","")</f>
        <v/>
      </c>
      <c r="W132" s="6">
        <f>(S132&lt;&gt;"")*1+(T132&lt;&gt;"")*1+(U132&lt;&gt;"")*1+(V132&lt;&gt;"")*1</f>
        <v/>
      </c>
      <c r="X132" s="6">
        <f>IF(S132&lt;&gt;"",S132,IF(T132&lt;&gt;"",T132,IF(U132&lt;&gt;"",U132,IF(V132&lt;&gt;"",V132,""))))</f>
        <v/>
      </c>
    </row>
    <row r="133">
      <c r="A133" s="6" t="inlineStr">
        <is>
          <t>2026-04-06</t>
        </is>
      </c>
      <c r="B133" s="6" t="inlineStr">
        <is>
          <t>EQGL</t>
        </is>
      </c>
      <c r="C133" s="6">
        <f>INDEX('Fund Master'!$B$2:$B$7,MATCH(B133,'Fund Master'!$A$2:$A$7,0))</f>
        <v/>
      </c>
      <c r="D133" s="6">
        <f>INDEX('Fund Master'!$C$2:$C$7,MATCH(B133,'Fund Master'!$A$2:$A$7,0))</f>
        <v/>
      </c>
      <c r="E133" s="8" t="n">
        <v>630055000.46</v>
      </c>
      <c r="F133" s="8" t="n">
        <v>17882316.72</v>
      </c>
      <c r="G133" s="8" t="n">
        <v>3768073.43</v>
      </c>
      <c r="H133" s="8" t="n">
        <v>3343453.81</v>
      </c>
      <c r="I133" s="8" t="n">
        <v>75128.49000000001</v>
      </c>
      <c r="J133" s="10" t="n">
        <v>25306122.449</v>
      </c>
      <c r="K133" s="9">
        <f>E133+F133+G133</f>
        <v/>
      </c>
      <c r="L133" s="9">
        <f>H133+I133</f>
        <v/>
      </c>
      <c r="M133" s="9">
        <f>K133-L133</f>
        <v/>
      </c>
      <c r="N133" s="11">
        <f>IFERROR(M133/J133,0)</f>
        <v/>
      </c>
      <c r="O133" s="11">
        <f>IF((B133=B132),N132,"")</f>
        <v/>
      </c>
      <c r="P133" s="12">
        <f>IF(O133="","",IFERROR((N133-O133)/O133,""))</f>
        <v/>
      </c>
      <c r="Q133" s="13">
        <f>INDEX('Fund Master'!$F$2:$F$7,MATCH(B133,'Fund Master'!$A$2:$A$7,0))</f>
        <v/>
      </c>
      <c r="R133" s="9">
        <f>SUMIFS('Capital Activity'!$E$2:$E$385,'Capital Activity'!$A$2:$A$385,A133,'Capital Activity'!$B$2:$B$385,B133)</f>
        <v/>
      </c>
      <c r="S133" s="6">
        <f>IF(O133="","",IF(ABS(P133)*10000&gt;Q133,"NAV MOVE BREACH",""))</f>
        <v/>
      </c>
      <c r="T133" s="6">
        <f>IF(AND((B133=B132),D133&lt;&gt;"Money Market",E133=E132),"STALE PRICE","")</f>
        <v/>
      </c>
      <c r="U133" s="6">
        <f>IF(F133&lt;0,"NEGATIVE CASH","")</f>
        <v/>
      </c>
      <c r="V133" s="6">
        <f>IF(ABS(R133)&gt;0.05*M133,"LARGE FLOW","")</f>
        <v/>
      </c>
      <c r="W133" s="6">
        <f>(S133&lt;&gt;"")*1+(T133&lt;&gt;"")*1+(U133&lt;&gt;"")*1+(V133&lt;&gt;"")*1</f>
        <v/>
      </c>
      <c r="X133" s="6">
        <f>IF(S133&lt;&gt;"",S133,IF(T133&lt;&gt;"",T133,IF(U133&lt;&gt;"",U133,IF(V133&lt;&gt;"",V133,""))))</f>
        <v/>
      </c>
    </row>
    <row r="134">
      <c r="A134" s="6" t="inlineStr">
        <is>
          <t>2026-04-07</t>
        </is>
      </c>
      <c r="B134" s="6" t="inlineStr">
        <is>
          <t>EQGL</t>
        </is>
      </c>
      <c r="C134" s="6">
        <f>INDEX('Fund Master'!$B$2:$B$7,MATCH(B134,'Fund Master'!$A$2:$A$7,0))</f>
        <v/>
      </c>
      <c r="D134" s="6">
        <f>INDEX('Fund Master'!$C$2:$C$7,MATCH(B134,'Fund Master'!$A$2:$A$7,0))</f>
        <v/>
      </c>
      <c r="E134" s="8" t="n">
        <v>626408109.8200001</v>
      </c>
      <c r="F134" s="8" t="n">
        <v>17820499.8</v>
      </c>
      <c r="G134" s="8" t="n">
        <v>3573225.02</v>
      </c>
      <c r="H134" s="8" t="n">
        <v>3380582.86</v>
      </c>
      <c r="I134" s="8" t="n">
        <v>93771.59</v>
      </c>
      <c r="J134" s="10" t="n">
        <v>25306122.449</v>
      </c>
      <c r="K134" s="9">
        <f>E134+F134+G134</f>
        <v/>
      </c>
      <c r="L134" s="9">
        <f>H134+I134</f>
        <v/>
      </c>
      <c r="M134" s="9">
        <f>K134-L134</f>
        <v/>
      </c>
      <c r="N134" s="11">
        <f>IFERROR(M134/J134,0)</f>
        <v/>
      </c>
      <c r="O134" s="11">
        <f>IF((B134=B133),N133,"")</f>
        <v/>
      </c>
      <c r="P134" s="12">
        <f>IF(O134="","",IFERROR((N134-O134)/O134,""))</f>
        <v/>
      </c>
      <c r="Q134" s="13">
        <f>INDEX('Fund Master'!$F$2:$F$7,MATCH(B134,'Fund Master'!$A$2:$A$7,0))</f>
        <v/>
      </c>
      <c r="R134" s="9">
        <f>SUMIFS('Capital Activity'!$E$2:$E$385,'Capital Activity'!$A$2:$A$385,A134,'Capital Activity'!$B$2:$B$385,B134)</f>
        <v/>
      </c>
      <c r="S134" s="6">
        <f>IF(O134="","",IF(ABS(P134)*10000&gt;Q134,"NAV MOVE BREACH",""))</f>
        <v/>
      </c>
      <c r="T134" s="6">
        <f>IF(AND((B134=B133),D134&lt;&gt;"Money Market",E134=E133),"STALE PRICE","")</f>
        <v/>
      </c>
      <c r="U134" s="6">
        <f>IF(F134&lt;0,"NEGATIVE CASH","")</f>
        <v/>
      </c>
      <c r="V134" s="6">
        <f>IF(ABS(R134)&gt;0.05*M134,"LARGE FLOW","")</f>
        <v/>
      </c>
      <c r="W134" s="6">
        <f>(S134&lt;&gt;"")*1+(T134&lt;&gt;"")*1+(U134&lt;&gt;"")*1+(V134&lt;&gt;"")*1</f>
        <v/>
      </c>
      <c r="X134" s="6">
        <f>IF(S134&lt;&gt;"",S134,IF(T134&lt;&gt;"",T134,IF(U134&lt;&gt;"",U134,IF(V134&lt;&gt;"",V134,""))))</f>
        <v/>
      </c>
    </row>
    <row r="135">
      <c r="A135" s="6" t="inlineStr">
        <is>
          <t>2026-04-08</t>
        </is>
      </c>
      <c r="B135" s="6" t="inlineStr">
        <is>
          <t>EQGL</t>
        </is>
      </c>
      <c r="C135" s="6">
        <f>INDEX('Fund Master'!$B$2:$B$7,MATCH(B135,'Fund Master'!$A$2:$A$7,0))</f>
        <v/>
      </c>
      <c r="D135" s="6">
        <f>INDEX('Fund Master'!$C$2:$C$7,MATCH(B135,'Fund Master'!$A$2:$A$7,0))</f>
        <v/>
      </c>
      <c r="E135" s="8" t="n">
        <v>622387338.53</v>
      </c>
      <c r="F135" s="8" t="n">
        <v>18397814.76</v>
      </c>
      <c r="G135" s="8" t="n">
        <v>3548273.18</v>
      </c>
      <c r="H135" s="8" t="n">
        <v>3200890.26</v>
      </c>
      <c r="I135" s="8" t="n">
        <v>112295.02</v>
      </c>
      <c r="J135" s="10" t="n">
        <v>25306122.449</v>
      </c>
      <c r="K135" s="9">
        <f>E135+F135+G135</f>
        <v/>
      </c>
      <c r="L135" s="9">
        <f>H135+I135</f>
        <v/>
      </c>
      <c r="M135" s="9">
        <f>K135-L135</f>
        <v/>
      </c>
      <c r="N135" s="11">
        <f>IFERROR(M135/J135,0)</f>
        <v/>
      </c>
      <c r="O135" s="11">
        <f>IF((B135=B134),N134,"")</f>
        <v/>
      </c>
      <c r="P135" s="12">
        <f>IF(O135="","",IFERROR((N135-O135)/O135,""))</f>
        <v/>
      </c>
      <c r="Q135" s="13">
        <f>INDEX('Fund Master'!$F$2:$F$7,MATCH(B135,'Fund Master'!$A$2:$A$7,0))</f>
        <v/>
      </c>
      <c r="R135" s="9">
        <f>SUMIFS('Capital Activity'!$E$2:$E$385,'Capital Activity'!$A$2:$A$385,A135,'Capital Activity'!$B$2:$B$385,B135)</f>
        <v/>
      </c>
      <c r="S135" s="6">
        <f>IF(O135="","",IF(ABS(P135)*10000&gt;Q135,"NAV MOVE BREACH",""))</f>
        <v/>
      </c>
      <c r="T135" s="6">
        <f>IF(AND((B135=B134),D135&lt;&gt;"Money Market",E135=E134),"STALE PRICE","")</f>
        <v/>
      </c>
      <c r="U135" s="6">
        <f>IF(F135&lt;0,"NEGATIVE CASH","")</f>
        <v/>
      </c>
      <c r="V135" s="6">
        <f>IF(ABS(R135)&gt;0.05*M135,"LARGE FLOW","")</f>
        <v/>
      </c>
      <c r="W135" s="6">
        <f>(S135&lt;&gt;"")*1+(T135&lt;&gt;"")*1+(U135&lt;&gt;"")*1+(V135&lt;&gt;"")*1</f>
        <v/>
      </c>
      <c r="X135" s="6">
        <f>IF(S135&lt;&gt;"",S135,IF(T135&lt;&gt;"",T135,IF(U135&lt;&gt;"",U135,IF(V135&lt;&gt;"",V135,""))))</f>
        <v/>
      </c>
    </row>
    <row r="136">
      <c r="A136" s="6" t="inlineStr">
        <is>
          <t>2026-04-09</t>
        </is>
      </c>
      <c r="B136" s="6" t="inlineStr">
        <is>
          <t>EQGL</t>
        </is>
      </c>
      <c r="C136" s="6">
        <f>INDEX('Fund Master'!$B$2:$B$7,MATCH(B136,'Fund Master'!$A$2:$A$7,0))</f>
        <v/>
      </c>
      <c r="D136" s="6">
        <f>INDEX('Fund Master'!$C$2:$C$7,MATCH(B136,'Fund Master'!$A$2:$A$7,0))</f>
        <v/>
      </c>
      <c r="E136" s="8" t="n">
        <v>623941750.62</v>
      </c>
      <c r="F136" s="8" t="n">
        <v>17710131.29</v>
      </c>
      <c r="G136" s="8" t="n">
        <v>3358244.42</v>
      </c>
      <c r="H136" s="8" t="n">
        <v>3238363.67</v>
      </c>
      <c r="I136" s="8" t="n">
        <v>130864.71</v>
      </c>
      <c r="J136" s="10" t="n">
        <v>25306122.449</v>
      </c>
      <c r="K136" s="9">
        <f>E136+F136+G136</f>
        <v/>
      </c>
      <c r="L136" s="9">
        <f>H136+I136</f>
        <v/>
      </c>
      <c r="M136" s="9">
        <f>K136-L136</f>
        <v/>
      </c>
      <c r="N136" s="11">
        <f>IFERROR(M136/J136,0)</f>
        <v/>
      </c>
      <c r="O136" s="11">
        <f>IF((B136=B135),N135,"")</f>
        <v/>
      </c>
      <c r="P136" s="12">
        <f>IF(O136="","",IFERROR((N136-O136)/O136,""))</f>
        <v/>
      </c>
      <c r="Q136" s="13">
        <f>INDEX('Fund Master'!$F$2:$F$7,MATCH(B136,'Fund Master'!$A$2:$A$7,0))</f>
        <v/>
      </c>
      <c r="R136" s="9">
        <f>SUMIFS('Capital Activity'!$E$2:$E$385,'Capital Activity'!$A$2:$A$385,A136,'Capital Activity'!$B$2:$B$385,B136)</f>
        <v/>
      </c>
      <c r="S136" s="6">
        <f>IF(O136="","",IF(ABS(P136)*10000&gt;Q136,"NAV MOVE BREACH",""))</f>
        <v/>
      </c>
      <c r="T136" s="6">
        <f>IF(AND((B136=B135),D136&lt;&gt;"Money Market",E136=E135),"STALE PRICE","")</f>
        <v/>
      </c>
      <c r="U136" s="6">
        <f>IF(F136&lt;0,"NEGATIVE CASH","")</f>
        <v/>
      </c>
      <c r="V136" s="6">
        <f>IF(ABS(R136)&gt;0.05*M136,"LARGE FLOW","")</f>
        <v/>
      </c>
      <c r="W136" s="6">
        <f>(S136&lt;&gt;"")*1+(T136&lt;&gt;"")*1+(U136&lt;&gt;"")*1+(V136&lt;&gt;"")*1</f>
        <v/>
      </c>
      <c r="X136" s="6">
        <f>IF(S136&lt;&gt;"",S136,IF(T136&lt;&gt;"",T136,IF(U136&lt;&gt;"",U136,IF(V136&lt;&gt;"",V136,""))))</f>
        <v/>
      </c>
    </row>
    <row r="137">
      <c r="A137" s="6" t="inlineStr">
        <is>
          <t>2026-04-10</t>
        </is>
      </c>
      <c r="B137" s="6" t="inlineStr">
        <is>
          <t>EQGL</t>
        </is>
      </c>
      <c r="C137" s="6">
        <f>INDEX('Fund Master'!$B$2:$B$7,MATCH(B137,'Fund Master'!$A$2:$A$7,0))</f>
        <v/>
      </c>
      <c r="D137" s="6">
        <f>INDEX('Fund Master'!$C$2:$C$7,MATCH(B137,'Fund Master'!$A$2:$A$7,0))</f>
        <v/>
      </c>
      <c r="E137" s="8" t="n">
        <v>623272803.26</v>
      </c>
      <c r="F137" s="8" t="n">
        <v>17578541.86</v>
      </c>
      <c r="G137" s="8" t="n">
        <v>3133478.53</v>
      </c>
      <c r="H137" s="8" t="n">
        <v>3127213.48</v>
      </c>
      <c r="I137" s="8" t="n">
        <v>149414.5</v>
      </c>
      <c r="J137" s="10" t="n">
        <v>25306122.449</v>
      </c>
      <c r="K137" s="9">
        <f>E137+F137+G137</f>
        <v/>
      </c>
      <c r="L137" s="9">
        <f>H137+I137</f>
        <v/>
      </c>
      <c r="M137" s="9">
        <f>K137-L137</f>
        <v/>
      </c>
      <c r="N137" s="11">
        <f>IFERROR(M137/J137,0)</f>
        <v/>
      </c>
      <c r="O137" s="11">
        <f>IF((B137=B136),N136,"")</f>
        <v/>
      </c>
      <c r="P137" s="12">
        <f>IF(O137="","",IFERROR((N137-O137)/O137,""))</f>
        <v/>
      </c>
      <c r="Q137" s="13">
        <f>INDEX('Fund Master'!$F$2:$F$7,MATCH(B137,'Fund Master'!$A$2:$A$7,0))</f>
        <v/>
      </c>
      <c r="R137" s="9">
        <f>SUMIFS('Capital Activity'!$E$2:$E$385,'Capital Activity'!$A$2:$A$385,A137,'Capital Activity'!$B$2:$B$385,B137)</f>
        <v/>
      </c>
      <c r="S137" s="6">
        <f>IF(O137="","",IF(ABS(P137)*10000&gt;Q137,"NAV MOVE BREACH",""))</f>
        <v/>
      </c>
      <c r="T137" s="6">
        <f>IF(AND((B137=B136),D137&lt;&gt;"Money Market",E137=E136),"STALE PRICE","")</f>
        <v/>
      </c>
      <c r="U137" s="6">
        <f>IF(F137&lt;0,"NEGATIVE CASH","")</f>
        <v/>
      </c>
      <c r="V137" s="6">
        <f>IF(ABS(R137)&gt;0.05*M137,"LARGE FLOW","")</f>
        <v/>
      </c>
      <c r="W137" s="6">
        <f>(S137&lt;&gt;"")*1+(T137&lt;&gt;"")*1+(U137&lt;&gt;"")*1+(V137&lt;&gt;"")*1</f>
        <v/>
      </c>
      <c r="X137" s="6">
        <f>IF(S137&lt;&gt;"",S137,IF(T137&lt;&gt;"",T137,IF(U137&lt;&gt;"",U137,IF(V137&lt;&gt;"",V137,""))))</f>
        <v/>
      </c>
    </row>
    <row r="138">
      <c r="A138" s="6" t="inlineStr">
        <is>
          <t>2026-04-13</t>
        </is>
      </c>
      <c r="B138" s="6" t="inlineStr">
        <is>
          <t>EQGL</t>
        </is>
      </c>
      <c r="C138" s="6">
        <f>INDEX('Fund Master'!$B$2:$B$7,MATCH(B138,'Fund Master'!$A$2:$A$7,0))</f>
        <v/>
      </c>
      <c r="D138" s="6">
        <f>INDEX('Fund Master'!$C$2:$C$7,MATCH(B138,'Fund Master'!$A$2:$A$7,0))</f>
        <v/>
      </c>
      <c r="E138" s="8" t="n">
        <v>625753305.1</v>
      </c>
      <c r="F138" s="8" t="n">
        <v>16986564.04</v>
      </c>
      <c r="G138" s="8" t="n">
        <v>3194620.34</v>
      </c>
      <c r="H138" s="8" t="n">
        <v>3081827.2</v>
      </c>
      <c r="I138" s="8" t="n">
        <v>168038.11</v>
      </c>
      <c r="J138" s="10" t="n">
        <v>25306122.449</v>
      </c>
      <c r="K138" s="9">
        <f>E138+F138+G138</f>
        <v/>
      </c>
      <c r="L138" s="9">
        <f>H138+I138</f>
        <v/>
      </c>
      <c r="M138" s="9">
        <f>K138-L138</f>
        <v/>
      </c>
      <c r="N138" s="11">
        <f>IFERROR(M138/J138,0)</f>
        <v/>
      </c>
      <c r="O138" s="11">
        <f>IF((B138=B137),N137,"")</f>
        <v/>
      </c>
      <c r="P138" s="12">
        <f>IF(O138="","",IFERROR((N138-O138)/O138,""))</f>
        <v/>
      </c>
      <c r="Q138" s="13">
        <f>INDEX('Fund Master'!$F$2:$F$7,MATCH(B138,'Fund Master'!$A$2:$A$7,0))</f>
        <v/>
      </c>
      <c r="R138" s="9">
        <f>SUMIFS('Capital Activity'!$E$2:$E$385,'Capital Activity'!$A$2:$A$385,A138,'Capital Activity'!$B$2:$B$385,B138)</f>
        <v/>
      </c>
      <c r="S138" s="6">
        <f>IF(O138="","",IF(ABS(P138)*10000&gt;Q138,"NAV MOVE BREACH",""))</f>
        <v/>
      </c>
      <c r="T138" s="6">
        <f>IF(AND((B138=B137),D138&lt;&gt;"Money Market",E138=E137),"STALE PRICE","")</f>
        <v/>
      </c>
      <c r="U138" s="6">
        <f>IF(F138&lt;0,"NEGATIVE CASH","")</f>
        <v/>
      </c>
      <c r="V138" s="6">
        <f>IF(ABS(R138)&gt;0.05*M138,"LARGE FLOW","")</f>
        <v/>
      </c>
      <c r="W138" s="6">
        <f>(S138&lt;&gt;"")*1+(T138&lt;&gt;"")*1+(U138&lt;&gt;"")*1+(V138&lt;&gt;"")*1</f>
        <v/>
      </c>
      <c r="X138" s="6">
        <f>IF(S138&lt;&gt;"",S138,IF(T138&lt;&gt;"",T138,IF(U138&lt;&gt;"",U138,IF(V138&lt;&gt;"",V138,""))))</f>
        <v/>
      </c>
    </row>
    <row r="139">
      <c r="A139" s="6" t="inlineStr">
        <is>
          <t>2026-04-14</t>
        </is>
      </c>
      <c r="B139" s="6" t="inlineStr">
        <is>
          <t>EQGL</t>
        </is>
      </c>
      <c r="C139" s="6">
        <f>INDEX('Fund Master'!$B$2:$B$7,MATCH(B139,'Fund Master'!$A$2:$A$7,0))</f>
        <v/>
      </c>
      <c r="D139" s="6">
        <f>INDEX('Fund Master'!$C$2:$C$7,MATCH(B139,'Fund Master'!$A$2:$A$7,0))</f>
        <v/>
      </c>
      <c r="E139" s="8" t="n">
        <v>632975120.71</v>
      </c>
      <c r="F139" s="8" t="n">
        <v>17536292.17</v>
      </c>
      <c r="G139" s="8" t="n">
        <v>3104000.52</v>
      </c>
      <c r="H139" s="8" t="n">
        <v>3070420.86</v>
      </c>
      <c r="I139" s="8" t="n">
        <v>186876.66</v>
      </c>
      <c r="J139" s="10" t="n">
        <v>25306122.449</v>
      </c>
      <c r="K139" s="9">
        <f>E139+F139+G139</f>
        <v/>
      </c>
      <c r="L139" s="9">
        <f>H139+I139</f>
        <v/>
      </c>
      <c r="M139" s="9">
        <f>K139-L139</f>
        <v/>
      </c>
      <c r="N139" s="11">
        <f>IFERROR(M139/J139,0)</f>
        <v/>
      </c>
      <c r="O139" s="11">
        <f>IF((B139=B138),N138,"")</f>
        <v/>
      </c>
      <c r="P139" s="12">
        <f>IF(O139="","",IFERROR((N139-O139)/O139,""))</f>
        <v/>
      </c>
      <c r="Q139" s="13">
        <f>INDEX('Fund Master'!$F$2:$F$7,MATCH(B139,'Fund Master'!$A$2:$A$7,0))</f>
        <v/>
      </c>
      <c r="R139" s="9">
        <f>SUMIFS('Capital Activity'!$E$2:$E$385,'Capital Activity'!$A$2:$A$385,A139,'Capital Activity'!$B$2:$B$385,B139)</f>
        <v/>
      </c>
      <c r="S139" s="6">
        <f>IF(O139="","",IF(ABS(P139)*10000&gt;Q139,"NAV MOVE BREACH",""))</f>
        <v/>
      </c>
      <c r="T139" s="6">
        <f>IF(AND((B139=B138),D139&lt;&gt;"Money Market",E139=E138),"STALE PRICE","")</f>
        <v/>
      </c>
      <c r="U139" s="6">
        <f>IF(F139&lt;0,"NEGATIVE CASH","")</f>
        <v/>
      </c>
      <c r="V139" s="6">
        <f>IF(ABS(R139)&gt;0.05*M139,"LARGE FLOW","")</f>
        <v/>
      </c>
      <c r="W139" s="6">
        <f>(S139&lt;&gt;"")*1+(T139&lt;&gt;"")*1+(U139&lt;&gt;"")*1+(V139&lt;&gt;"")*1</f>
        <v/>
      </c>
      <c r="X139" s="6">
        <f>IF(S139&lt;&gt;"",S139,IF(T139&lt;&gt;"",T139,IF(U139&lt;&gt;"",U139,IF(V139&lt;&gt;"",V139,""))))</f>
        <v/>
      </c>
    </row>
    <row r="140">
      <c r="A140" s="6" t="inlineStr">
        <is>
          <t>2026-04-15</t>
        </is>
      </c>
      <c r="B140" s="6" t="inlineStr">
        <is>
          <t>EQGL</t>
        </is>
      </c>
      <c r="C140" s="6">
        <f>INDEX('Fund Master'!$B$2:$B$7,MATCH(B140,'Fund Master'!$A$2:$A$7,0))</f>
        <v/>
      </c>
      <c r="D140" s="6">
        <f>INDEX('Fund Master'!$C$2:$C$7,MATCH(B140,'Fund Master'!$A$2:$A$7,0))</f>
        <v/>
      </c>
      <c r="E140" s="8" t="n">
        <v>629765356.65</v>
      </c>
      <c r="F140" s="8" t="n">
        <v>17377214.14</v>
      </c>
      <c r="G140" s="8" t="n">
        <v>2921044.84</v>
      </c>
      <c r="H140" s="8" t="n">
        <v>2874051.93</v>
      </c>
      <c r="I140" s="8" t="n">
        <v>205619.67</v>
      </c>
      <c r="J140" s="10" t="n">
        <v>25306122.449</v>
      </c>
      <c r="K140" s="9">
        <f>E140+F140+G140</f>
        <v/>
      </c>
      <c r="L140" s="9">
        <f>H140+I140</f>
        <v/>
      </c>
      <c r="M140" s="9">
        <f>K140-L140</f>
        <v/>
      </c>
      <c r="N140" s="11">
        <f>IFERROR(M140/J140,0)</f>
        <v/>
      </c>
      <c r="O140" s="11">
        <f>IF((B140=B139),N139,"")</f>
        <v/>
      </c>
      <c r="P140" s="12">
        <f>IF(O140="","",IFERROR((N140-O140)/O140,""))</f>
        <v/>
      </c>
      <c r="Q140" s="13">
        <f>INDEX('Fund Master'!$F$2:$F$7,MATCH(B140,'Fund Master'!$A$2:$A$7,0))</f>
        <v/>
      </c>
      <c r="R140" s="9">
        <f>SUMIFS('Capital Activity'!$E$2:$E$385,'Capital Activity'!$A$2:$A$385,A140,'Capital Activity'!$B$2:$B$385,B140)</f>
        <v/>
      </c>
      <c r="S140" s="6">
        <f>IF(O140="","",IF(ABS(P140)*10000&gt;Q140,"NAV MOVE BREACH",""))</f>
        <v/>
      </c>
      <c r="T140" s="6">
        <f>IF(AND((B140=B139),D140&lt;&gt;"Money Market",E140=E139),"STALE PRICE","")</f>
        <v/>
      </c>
      <c r="U140" s="6">
        <f>IF(F140&lt;0,"NEGATIVE CASH","")</f>
        <v/>
      </c>
      <c r="V140" s="6">
        <f>IF(ABS(R140)&gt;0.05*M140,"LARGE FLOW","")</f>
        <v/>
      </c>
      <c r="W140" s="6">
        <f>(S140&lt;&gt;"")*1+(T140&lt;&gt;"")*1+(U140&lt;&gt;"")*1+(V140&lt;&gt;"")*1</f>
        <v/>
      </c>
      <c r="X140" s="6">
        <f>IF(S140&lt;&gt;"",S140,IF(T140&lt;&gt;"",T140,IF(U140&lt;&gt;"",U140,IF(V140&lt;&gt;"",V140,""))))</f>
        <v/>
      </c>
    </row>
    <row r="141">
      <c r="A141" s="6" t="inlineStr">
        <is>
          <t>2026-04-16</t>
        </is>
      </c>
      <c r="B141" s="6" t="inlineStr">
        <is>
          <t>EQGL</t>
        </is>
      </c>
      <c r="C141" s="6">
        <f>INDEX('Fund Master'!$B$2:$B$7,MATCH(B141,'Fund Master'!$A$2:$A$7,0))</f>
        <v/>
      </c>
      <c r="D141" s="6">
        <f>INDEX('Fund Master'!$C$2:$C$7,MATCH(B141,'Fund Master'!$A$2:$A$7,0))</f>
        <v/>
      </c>
      <c r="E141" s="8" t="n">
        <v>629392465.4400001</v>
      </c>
      <c r="F141" s="8" t="n">
        <v>17745894.52</v>
      </c>
      <c r="G141" s="8" t="n">
        <v>2973941.9</v>
      </c>
      <c r="H141" s="8" t="n">
        <v>2774902.13</v>
      </c>
      <c r="I141" s="8" t="n">
        <v>224351.59</v>
      </c>
      <c r="J141" s="10" t="n">
        <v>25306122.449</v>
      </c>
      <c r="K141" s="9">
        <f>E141+F141+G141</f>
        <v/>
      </c>
      <c r="L141" s="9">
        <f>H141+I141</f>
        <v/>
      </c>
      <c r="M141" s="9">
        <f>K141-L141</f>
        <v/>
      </c>
      <c r="N141" s="11">
        <f>IFERROR(M141/J141,0)</f>
        <v/>
      </c>
      <c r="O141" s="11">
        <f>IF((B141=B140),N140,"")</f>
        <v/>
      </c>
      <c r="P141" s="12">
        <f>IF(O141="","",IFERROR((N141-O141)/O141,""))</f>
        <v/>
      </c>
      <c r="Q141" s="13">
        <f>INDEX('Fund Master'!$F$2:$F$7,MATCH(B141,'Fund Master'!$A$2:$A$7,0))</f>
        <v/>
      </c>
      <c r="R141" s="9">
        <f>SUMIFS('Capital Activity'!$E$2:$E$385,'Capital Activity'!$A$2:$A$385,A141,'Capital Activity'!$B$2:$B$385,B141)</f>
        <v/>
      </c>
      <c r="S141" s="6">
        <f>IF(O141="","",IF(ABS(P141)*10000&gt;Q141,"NAV MOVE BREACH",""))</f>
        <v/>
      </c>
      <c r="T141" s="6">
        <f>IF(AND((B141=B140),D141&lt;&gt;"Money Market",E141=E140),"STALE PRICE","")</f>
        <v/>
      </c>
      <c r="U141" s="6">
        <f>IF(F141&lt;0,"NEGATIVE CASH","")</f>
        <v/>
      </c>
      <c r="V141" s="6">
        <f>IF(ABS(R141)&gt;0.05*M141,"LARGE FLOW","")</f>
        <v/>
      </c>
      <c r="W141" s="6">
        <f>(S141&lt;&gt;"")*1+(T141&lt;&gt;"")*1+(U141&lt;&gt;"")*1+(V141&lt;&gt;"")*1</f>
        <v/>
      </c>
      <c r="X141" s="6">
        <f>IF(S141&lt;&gt;"",S141,IF(T141&lt;&gt;"",T141,IF(U141&lt;&gt;"",U141,IF(V141&lt;&gt;"",V141,""))))</f>
        <v/>
      </c>
    </row>
    <row r="142">
      <c r="A142" s="6" t="inlineStr">
        <is>
          <t>2026-04-17</t>
        </is>
      </c>
      <c r="B142" s="6" t="inlineStr">
        <is>
          <t>EQGL</t>
        </is>
      </c>
      <c r="C142" s="6">
        <f>INDEX('Fund Master'!$B$2:$B$7,MATCH(B142,'Fund Master'!$A$2:$A$7,0))</f>
        <v/>
      </c>
      <c r="D142" s="6">
        <f>INDEX('Fund Master'!$C$2:$C$7,MATCH(B142,'Fund Master'!$A$2:$A$7,0))</f>
        <v/>
      </c>
      <c r="E142" s="8" t="n">
        <v>629270308.91</v>
      </c>
      <c r="F142" s="8" t="n">
        <v>18333200.56</v>
      </c>
      <c r="G142" s="8" t="n">
        <v>2577718.02</v>
      </c>
      <c r="H142" s="8" t="n">
        <v>2898491.28</v>
      </c>
      <c r="I142" s="8" t="n">
        <v>243079.87</v>
      </c>
      <c r="J142" s="10" t="n">
        <v>25306122.449</v>
      </c>
      <c r="K142" s="9">
        <f>E142+F142+G142</f>
        <v/>
      </c>
      <c r="L142" s="9">
        <f>H142+I142</f>
        <v/>
      </c>
      <c r="M142" s="9">
        <f>K142-L142</f>
        <v/>
      </c>
      <c r="N142" s="11">
        <f>IFERROR(M142/J142,0)</f>
        <v/>
      </c>
      <c r="O142" s="11">
        <f>IF((B142=B141),N141,"")</f>
        <v/>
      </c>
      <c r="P142" s="12">
        <f>IF(O142="","",IFERROR((N142-O142)/O142,""))</f>
        <v/>
      </c>
      <c r="Q142" s="13">
        <f>INDEX('Fund Master'!$F$2:$F$7,MATCH(B142,'Fund Master'!$A$2:$A$7,0))</f>
        <v/>
      </c>
      <c r="R142" s="9">
        <f>SUMIFS('Capital Activity'!$E$2:$E$385,'Capital Activity'!$A$2:$A$385,A142,'Capital Activity'!$B$2:$B$385,B142)</f>
        <v/>
      </c>
      <c r="S142" s="6">
        <f>IF(O142="","",IF(ABS(P142)*10000&gt;Q142,"NAV MOVE BREACH",""))</f>
        <v/>
      </c>
      <c r="T142" s="6">
        <f>IF(AND((B142=B141),D142&lt;&gt;"Money Market",E142=E141),"STALE PRICE","")</f>
        <v/>
      </c>
      <c r="U142" s="6">
        <f>IF(F142&lt;0,"NEGATIVE CASH","")</f>
        <v/>
      </c>
      <c r="V142" s="6">
        <f>IF(ABS(R142)&gt;0.05*M142,"LARGE FLOW","")</f>
        <v/>
      </c>
      <c r="W142" s="6">
        <f>(S142&lt;&gt;"")*1+(T142&lt;&gt;"")*1+(U142&lt;&gt;"")*1+(V142&lt;&gt;"")*1</f>
        <v/>
      </c>
      <c r="X142" s="6">
        <f>IF(S142&lt;&gt;"",S142,IF(T142&lt;&gt;"",T142,IF(U142&lt;&gt;"",U142,IF(V142&lt;&gt;"",V142,""))))</f>
        <v/>
      </c>
    </row>
    <row r="143">
      <c r="A143" s="6" t="inlineStr">
        <is>
          <t>2026-04-20</t>
        </is>
      </c>
      <c r="B143" s="6" t="inlineStr">
        <is>
          <t>EQGL</t>
        </is>
      </c>
      <c r="C143" s="6">
        <f>INDEX('Fund Master'!$B$2:$B$7,MATCH(B143,'Fund Master'!$A$2:$A$7,0))</f>
        <v/>
      </c>
      <c r="D143" s="6">
        <f>INDEX('Fund Master'!$C$2:$C$7,MATCH(B143,'Fund Master'!$A$2:$A$7,0))</f>
        <v/>
      </c>
      <c r="E143" s="8" t="n">
        <v>630031328.62</v>
      </c>
      <c r="F143" s="8" t="n">
        <v>17604033.75</v>
      </c>
      <c r="G143" s="8" t="n">
        <v>2547619.39</v>
      </c>
      <c r="H143" s="8" t="n">
        <v>2955994.73</v>
      </c>
      <c r="I143" s="8" t="n">
        <v>261830.81</v>
      </c>
      <c r="J143" s="10" t="n">
        <v>25306122.449</v>
      </c>
      <c r="K143" s="9">
        <f>E143+F143+G143</f>
        <v/>
      </c>
      <c r="L143" s="9">
        <f>H143+I143</f>
        <v/>
      </c>
      <c r="M143" s="9">
        <f>K143-L143</f>
        <v/>
      </c>
      <c r="N143" s="11">
        <f>IFERROR(M143/J143,0)</f>
        <v/>
      </c>
      <c r="O143" s="11">
        <f>IF((B143=B142),N142,"")</f>
        <v/>
      </c>
      <c r="P143" s="12">
        <f>IF(O143="","",IFERROR((N143-O143)/O143,""))</f>
        <v/>
      </c>
      <c r="Q143" s="13">
        <f>INDEX('Fund Master'!$F$2:$F$7,MATCH(B143,'Fund Master'!$A$2:$A$7,0))</f>
        <v/>
      </c>
      <c r="R143" s="9">
        <f>SUMIFS('Capital Activity'!$E$2:$E$385,'Capital Activity'!$A$2:$A$385,A143,'Capital Activity'!$B$2:$B$385,B143)</f>
        <v/>
      </c>
      <c r="S143" s="6">
        <f>IF(O143="","",IF(ABS(P143)*10000&gt;Q143,"NAV MOVE BREACH",""))</f>
        <v/>
      </c>
      <c r="T143" s="6">
        <f>IF(AND((B143=B142),D143&lt;&gt;"Money Market",E143=E142),"STALE PRICE","")</f>
        <v/>
      </c>
      <c r="U143" s="6">
        <f>IF(F143&lt;0,"NEGATIVE CASH","")</f>
        <v/>
      </c>
      <c r="V143" s="6">
        <f>IF(ABS(R143)&gt;0.05*M143,"LARGE FLOW","")</f>
        <v/>
      </c>
      <c r="W143" s="6">
        <f>(S143&lt;&gt;"")*1+(T143&lt;&gt;"")*1+(U143&lt;&gt;"")*1+(V143&lt;&gt;"")*1</f>
        <v/>
      </c>
      <c r="X143" s="6">
        <f>IF(S143&lt;&gt;"",S143,IF(T143&lt;&gt;"",T143,IF(U143&lt;&gt;"",U143,IF(V143&lt;&gt;"",V143,""))))</f>
        <v/>
      </c>
    </row>
    <row r="144">
      <c r="A144" s="6" t="inlineStr">
        <is>
          <t>2026-04-21</t>
        </is>
      </c>
      <c r="B144" s="6" t="inlineStr">
        <is>
          <t>EQGL</t>
        </is>
      </c>
      <c r="C144" s="6">
        <f>INDEX('Fund Master'!$B$2:$B$7,MATCH(B144,'Fund Master'!$A$2:$A$7,0))</f>
        <v/>
      </c>
      <c r="D144" s="6">
        <f>INDEX('Fund Master'!$C$2:$C$7,MATCH(B144,'Fund Master'!$A$2:$A$7,0))</f>
        <v/>
      </c>
      <c r="E144" s="8" t="n">
        <v>624554195.6</v>
      </c>
      <c r="F144" s="8" t="n">
        <v>17262969.64</v>
      </c>
      <c r="G144" s="8" t="n">
        <v>2662684.22</v>
      </c>
      <c r="H144" s="8" t="n">
        <v>2979574.49</v>
      </c>
      <c r="I144" s="8" t="n">
        <v>280418.73</v>
      </c>
      <c r="J144" s="10" t="n">
        <v>25306122.449</v>
      </c>
      <c r="K144" s="9">
        <f>E144+F144+G144</f>
        <v/>
      </c>
      <c r="L144" s="9">
        <f>H144+I144</f>
        <v/>
      </c>
      <c r="M144" s="9">
        <f>K144-L144</f>
        <v/>
      </c>
      <c r="N144" s="11">
        <f>IFERROR(M144/J144,0)</f>
        <v/>
      </c>
      <c r="O144" s="11">
        <f>IF((B144=B143),N143,"")</f>
        <v/>
      </c>
      <c r="P144" s="12">
        <f>IF(O144="","",IFERROR((N144-O144)/O144,""))</f>
        <v/>
      </c>
      <c r="Q144" s="13">
        <f>INDEX('Fund Master'!$F$2:$F$7,MATCH(B144,'Fund Master'!$A$2:$A$7,0))</f>
        <v/>
      </c>
      <c r="R144" s="9">
        <f>SUMIFS('Capital Activity'!$E$2:$E$385,'Capital Activity'!$A$2:$A$385,A144,'Capital Activity'!$B$2:$B$385,B144)</f>
        <v/>
      </c>
      <c r="S144" s="6">
        <f>IF(O144="","",IF(ABS(P144)*10000&gt;Q144,"NAV MOVE BREACH",""))</f>
        <v/>
      </c>
      <c r="T144" s="6">
        <f>IF(AND((B144=B143),D144&lt;&gt;"Money Market",E144=E143),"STALE PRICE","")</f>
        <v/>
      </c>
      <c r="U144" s="6">
        <f>IF(F144&lt;0,"NEGATIVE CASH","")</f>
        <v/>
      </c>
      <c r="V144" s="6">
        <f>IF(ABS(R144)&gt;0.05*M144,"LARGE FLOW","")</f>
        <v/>
      </c>
      <c r="W144" s="6">
        <f>(S144&lt;&gt;"")*1+(T144&lt;&gt;"")*1+(U144&lt;&gt;"")*1+(V144&lt;&gt;"")*1</f>
        <v/>
      </c>
      <c r="X144" s="6">
        <f>IF(S144&lt;&gt;"",S144,IF(T144&lt;&gt;"",T144,IF(U144&lt;&gt;"",U144,IF(V144&lt;&gt;"",V144,""))))</f>
        <v/>
      </c>
    </row>
    <row r="145">
      <c r="A145" s="6" t="inlineStr">
        <is>
          <t>2026-04-22</t>
        </is>
      </c>
      <c r="B145" s="6" t="inlineStr">
        <is>
          <t>EQGL</t>
        </is>
      </c>
      <c r="C145" s="6">
        <f>INDEX('Fund Master'!$B$2:$B$7,MATCH(B145,'Fund Master'!$A$2:$A$7,0))</f>
        <v/>
      </c>
      <c r="D145" s="6">
        <f>INDEX('Fund Master'!$C$2:$C$7,MATCH(B145,'Fund Master'!$A$2:$A$7,0))</f>
        <v/>
      </c>
      <c r="E145" s="8" t="n">
        <v>625346038.54</v>
      </c>
      <c r="F145" s="8" t="n">
        <v>17648299.53</v>
      </c>
      <c r="G145" s="8" t="n">
        <v>2560693.84</v>
      </c>
      <c r="H145" s="8" t="n">
        <v>2934175.62</v>
      </c>
      <c r="I145" s="8" t="n">
        <v>299030.22</v>
      </c>
      <c r="J145" s="10" t="n">
        <v>25306122.449</v>
      </c>
      <c r="K145" s="9">
        <f>E145+F145+G145</f>
        <v/>
      </c>
      <c r="L145" s="9">
        <f>H145+I145</f>
        <v/>
      </c>
      <c r="M145" s="9">
        <f>K145-L145</f>
        <v/>
      </c>
      <c r="N145" s="11">
        <f>IFERROR(M145/J145,0)</f>
        <v/>
      </c>
      <c r="O145" s="11">
        <f>IF((B145=B144),N144,"")</f>
        <v/>
      </c>
      <c r="P145" s="12">
        <f>IF(O145="","",IFERROR((N145-O145)/O145,""))</f>
        <v/>
      </c>
      <c r="Q145" s="13">
        <f>INDEX('Fund Master'!$F$2:$F$7,MATCH(B145,'Fund Master'!$A$2:$A$7,0))</f>
        <v/>
      </c>
      <c r="R145" s="9">
        <f>SUMIFS('Capital Activity'!$E$2:$E$385,'Capital Activity'!$A$2:$A$385,A145,'Capital Activity'!$B$2:$B$385,B145)</f>
        <v/>
      </c>
      <c r="S145" s="6">
        <f>IF(O145="","",IF(ABS(P145)*10000&gt;Q145,"NAV MOVE BREACH",""))</f>
        <v/>
      </c>
      <c r="T145" s="6">
        <f>IF(AND((B145=B144),D145&lt;&gt;"Money Market",E145=E144),"STALE PRICE","")</f>
        <v/>
      </c>
      <c r="U145" s="6">
        <f>IF(F145&lt;0,"NEGATIVE CASH","")</f>
        <v/>
      </c>
      <c r="V145" s="6">
        <f>IF(ABS(R145)&gt;0.05*M145,"LARGE FLOW","")</f>
        <v/>
      </c>
      <c r="W145" s="6">
        <f>(S145&lt;&gt;"")*1+(T145&lt;&gt;"")*1+(U145&lt;&gt;"")*1+(V145&lt;&gt;"")*1</f>
        <v/>
      </c>
      <c r="X145" s="6">
        <f>IF(S145&lt;&gt;"",S145,IF(T145&lt;&gt;"",T145,IF(U145&lt;&gt;"",U145,IF(V145&lt;&gt;"",V145,""))))</f>
        <v/>
      </c>
    </row>
    <row r="146">
      <c r="A146" s="6" t="inlineStr">
        <is>
          <t>2026-04-23</t>
        </is>
      </c>
      <c r="B146" s="6" t="inlineStr">
        <is>
          <t>EQGL</t>
        </is>
      </c>
      <c r="C146" s="6">
        <f>INDEX('Fund Master'!$B$2:$B$7,MATCH(B146,'Fund Master'!$A$2:$A$7,0))</f>
        <v/>
      </c>
      <c r="D146" s="6">
        <f>INDEX('Fund Master'!$C$2:$C$7,MATCH(B146,'Fund Master'!$A$2:$A$7,0))</f>
        <v/>
      </c>
      <c r="E146" s="8" t="n">
        <v>627508061.8099999</v>
      </c>
      <c r="F146" s="8" t="n">
        <v>17807603.98</v>
      </c>
      <c r="G146" s="8" t="n">
        <v>2570317.08</v>
      </c>
      <c r="H146" s="8" t="n">
        <v>2908990.74</v>
      </c>
      <c r="I146" s="8" t="n">
        <v>317706.05</v>
      </c>
      <c r="J146" s="10" t="n">
        <v>25306122.449</v>
      </c>
      <c r="K146" s="9">
        <f>E146+F146+G146</f>
        <v/>
      </c>
      <c r="L146" s="9">
        <f>H146+I146</f>
        <v/>
      </c>
      <c r="M146" s="9">
        <f>K146-L146</f>
        <v/>
      </c>
      <c r="N146" s="11">
        <f>IFERROR(M146/J146,0)</f>
        <v/>
      </c>
      <c r="O146" s="11">
        <f>IF((B146=B145),N145,"")</f>
        <v/>
      </c>
      <c r="P146" s="12">
        <f>IF(O146="","",IFERROR((N146-O146)/O146,""))</f>
        <v/>
      </c>
      <c r="Q146" s="13">
        <f>INDEX('Fund Master'!$F$2:$F$7,MATCH(B146,'Fund Master'!$A$2:$A$7,0))</f>
        <v/>
      </c>
      <c r="R146" s="9">
        <f>SUMIFS('Capital Activity'!$E$2:$E$385,'Capital Activity'!$A$2:$A$385,A146,'Capital Activity'!$B$2:$B$385,B146)</f>
        <v/>
      </c>
      <c r="S146" s="6">
        <f>IF(O146="","",IF(ABS(P146)*10000&gt;Q146,"NAV MOVE BREACH",""))</f>
        <v/>
      </c>
      <c r="T146" s="6">
        <f>IF(AND((B146=B145),D146&lt;&gt;"Money Market",E146=E145),"STALE PRICE","")</f>
        <v/>
      </c>
      <c r="U146" s="6">
        <f>IF(F146&lt;0,"NEGATIVE CASH","")</f>
        <v/>
      </c>
      <c r="V146" s="6">
        <f>IF(ABS(R146)&gt;0.05*M146,"LARGE FLOW","")</f>
        <v/>
      </c>
      <c r="W146" s="6">
        <f>(S146&lt;&gt;"")*1+(T146&lt;&gt;"")*1+(U146&lt;&gt;"")*1+(V146&lt;&gt;"")*1</f>
        <v/>
      </c>
      <c r="X146" s="6">
        <f>IF(S146&lt;&gt;"",S146,IF(T146&lt;&gt;"",T146,IF(U146&lt;&gt;"",U146,IF(V146&lt;&gt;"",V146,""))))</f>
        <v/>
      </c>
    </row>
    <row r="147">
      <c r="A147" s="6" t="inlineStr">
        <is>
          <t>2026-04-24</t>
        </is>
      </c>
      <c r="B147" s="6" t="inlineStr">
        <is>
          <t>EQGL</t>
        </is>
      </c>
      <c r="C147" s="6">
        <f>INDEX('Fund Master'!$B$2:$B$7,MATCH(B147,'Fund Master'!$A$2:$A$7,0))</f>
        <v/>
      </c>
      <c r="D147" s="6">
        <f>INDEX('Fund Master'!$C$2:$C$7,MATCH(B147,'Fund Master'!$A$2:$A$7,0))</f>
        <v/>
      </c>
      <c r="E147" s="8" t="n">
        <v>625267946.08</v>
      </c>
      <c r="F147" s="8" t="n">
        <v>17443050.38</v>
      </c>
      <c r="G147" s="8" t="n">
        <v>2536938.18</v>
      </c>
      <c r="H147" s="8" t="n">
        <v>2959239.66</v>
      </c>
      <c r="I147" s="8" t="n">
        <v>336315.22</v>
      </c>
      <c r="J147" s="10" t="n">
        <v>25306122.449</v>
      </c>
      <c r="K147" s="9">
        <f>E147+F147+G147</f>
        <v/>
      </c>
      <c r="L147" s="9">
        <f>H147+I147</f>
        <v/>
      </c>
      <c r="M147" s="9">
        <f>K147-L147</f>
        <v/>
      </c>
      <c r="N147" s="11">
        <f>IFERROR(M147/J147,0)</f>
        <v/>
      </c>
      <c r="O147" s="11">
        <f>IF((B147=B146),N146,"")</f>
        <v/>
      </c>
      <c r="P147" s="12">
        <f>IF(O147="","",IFERROR((N147-O147)/O147,""))</f>
        <v/>
      </c>
      <c r="Q147" s="13">
        <f>INDEX('Fund Master'!$F$2:$F$7,MATCH(B147,'Fund Master'!$A$2:$A$7,0))</f>
        <v/>
      </c>
      <c r="R147" s="9">
        <f>SUMIFS('Capital Activity'!$E$2:$E$385,'Capital Activity'!$A$2:$A$385,A147,'Capital Activity'!$B$2:$B$385,B147)</f>
        <v/>
      </c>
      <c r="S147" s="6">
        <f>IF(O147="","",IF(ABS(P147)*10000&gt;Q147,"NAV MOVE BREACH",""))</f>
        <v/>
      </c>
      <c r="T147" s="6">
        <f>IF(AND((B147=B146),D147&lt;&gt;"Money Market",E147=E146),"STALE PRICE","")</f>
        <v/>
      </c>
      <c r="U147" s="6">
        <f>IF(F147&lt;0,"NEGATIVE CASH","")</f>
        <v/>
      </c>
      <c r="V147" s="6">
        <f>IF(ABS(R147)&gt;0.05*M147,"LARGE FLOW","")</f>
        <v/>
      </c>
      <c r="W147" s="6">
        <f>(S147&lt;&gt;"")*1+(T147&lt;&gt;"")*1+(U147&lt;&gt;"")*1+(V147&lt;&gt;"")*1</f>
        <v/>
      </c>
      <c r="X147" s="6">
        <f>IF(S147&lt;&gt;"",S147,IF(T147&lt;&gt;"",T147,IF(U147&lt;&gt;"",U147,IF(V147&lt;&gt;"",V147,""))))</f>
        <v/>
      </c>
    </row>
    <row r="148">
      <c r="A148" s="6" t="inlineStr">
        <is>
          <t>2026-04-27</t>
        </is>
      </c>
      <c r="B148" s="6" t="inlineStr">
        <is>
          <t>EQGL</t>
        </is>
      </c>
      <c r="C148" s="6">
        <f>INDEX('Fund Master'!$B$2:$B$7,MATCH(B148,'Fund Master'!$A$2:$A$7,0))</f>
        <v/>
      </c>
      <c r="D148" s="6">
        <f>INDEX('Fund Master'!$C$2:$C$7,MATCH(B148,'Fund Master'!$A$2:$A$7,0))</f>
        <v/>
      </c>
      <c r="E148" s="8" t="n">
        <v>627164417.71</v>
      </c>
      <c r="F148" s="8" t="n">
        <v>17467942.2</v>
      </c>
      <c r="G148" s="8" t="n">
        <v>2255820.45</v>
      </c>
      <c r="H148" s="8" t="n">
        <v>2964224.34</v>
      </c>
      <c r="I148" s="8" t="n">
        <v>354980.83</v>
      </c>
      <c r="J148" s="10" t="n">
        <v>25306122.449</v>
      </c>
      <c r="K148" s="9">
        <f>E148+F148+G148</f>
        <v/>
      </c>
      <c r="L148" s="9">
        <f>H148+I148</f>
        <v/>
      </c>
      <c r="M148" s="9">
        <f>K148-L148</f>
        <v/>
      </c>
      <c r="N148" s="11">
        <f>IFERROR(M148/J148,0)</f>
        <v/>
      </c>
      <c r="O148" s="11">
        <f>IF((B148=B147),N147,"")</f>
        <v/>
      </c>
      <c r="P148" s="12">
        <f>IF(O148="","",IFERROR((N148-O148)/O148,""))</f>
        <v/>
      </c>
      <c r="Q148" s="13">
        <f>INDEX('Fund Master'!$F$2:$F$7,MATCH(B148,'Fund Master'!$A$2:$A$7,0))</f>
        <v/>
      </c>
      <c r="R148" s="9">
        <f>SUMIFS('Capital Activity'!$E$2:$E$385,'Capital Activity'!$A$2:$A$385,A148,'Capital Activity'!$B$2:$B$385,B148)</f>
        <v/>
      </c>
      <c r="S148" s="6">
        <f>IF(O148="","",IF(ABS(P148)*10000&gt;Q148,"NAV MOVE BREACH",""))</f>
        <v/>
      </c>
      <c r="T148" s="6">
        <f>IF(AND((B148=B147),D148&lt;&gt;"Money Market",E148=E147),"STALE PRICE","")</f>
        <v/>
      </c>
      <c r="U148" s="6">
        <f>IF(F148&lt;0,"NEGATIVE CASH","")</f>
        <v/>
      </c>
      <c r="V148" s="6">
        <f>IF(ABS(R148)&gt;0.05*M148,"LARGE FLOW","")</f>
        <v/>
      </c>
      <c r="W148" s="6">
        <f>(S148&lt;&gt;"")*1+(T148&lt;&gt;"")*1+(U148&lt;&gt;"")*1+(V148&lt;&gt;"")*1</f>
        <v/>
      </c>
      <c r="X148" s="6">
        <f>IF(S148&lt;&gt;"",S148,IF(T148&lt;&gt;"",T148,IF(U148&lt;&gt;"",U148,IF(V148&lt;&gt;"",V148,""))))</f>
        <v/>
      </c>
    </row>
    <row r="149">
      <c r="A149" s="6" t="inlineStr">
        <is>
          <t>2026-04-28</t>
        </is>
      </c>
      <c r="B149" s="6" t="inlineStr">
        <is>
          <t>EQGL</t>
        </is>
      </c>
      <c r="C149" s="6">
        <f>INDEX('Fund Master'!$B$2:$B$7,MATCH(B149,'Fund Master'!$A$2:$A$7,0))</f>
        <v/>
      </c>
      <c r="D149" s="6">
        <f>INDEX('Fund Master'!$C$2:$C$7,MATCH(B149,'Fund Master'!$A$2:$A$7,0))</f>
        <v/>
      </c>
      <c r="E149" s="8" t="n">
        <v>625962789.12</v>
      </c>
      <c r="F149" s="8" t="n">
        <v>17547728.58</v>
      </c>
      <c r="G149" s="8" t="n">
        <v>2246283.57</v>
      </c>
      <c r="H149" s="8" t="n">
        <v>2782973.22</v>
      </c>
      <c r="I149" s="8" t="n">
        <v>373610.67</v>
      </c>
      <c r="J149" s="10" t="n">
        <v>25306122.449</v>
      </c>
      <c r="K149" s="9">
        <f>E149+F149+G149</f>
        <v/>
      </c>
      <c r="L149" s="9">
        <f>H149+I149</f>
        <v/>
      </c>
      <c r="M149" s="9">
        <f>K149-L149</f>
        <v/>
      </c>
      <c r="N149" s="11">
        <f>IFERROR(M149/J149,0)</f>
        <v/>
      </c>
      <c r="O149" s="11">
        <f>IF((B149=B148),N148,"")</f>
        <v/>
      </c>
      <c r="P149" s="12">
        <f>IF(O149="","",IFERROR((N149-O149)/O149,""))</f>
        <v/>
      </c>
      <c r="Q149" s="13">
        <f>INDEX('Fund Master'!$F$2:$F$7,MATCH(B149,'Fund Master'!$A$2:$A$7,0))</f>
        <v/>
      </c>
      <c r="R149" s="9">
        <f>SUMIFS('Capital Activity'!$E$2:$E$385,'Capital Activity'!$A$2:$A$385,A149,'Capital Activity'!$B$2:$B$385,B149)</f>
        <v/>
      </c>
      <c r="S149" s="6">
        <f>IF(O149="","",IF(ABS(P149)*10000&gt;Q149,"NAV MOVE BREACH",""))</f>
        <v/>
      </c>
      <c r="T149" s="6">
        <f>IF(AND((B149=B148),D149&lt;&gt;"Money Market",E149=E148),"STALE PRICE","")</f>
        <v/>
      </c>
      <c r="U149" s="6">
        <f>IF(F149&lt;0,"NEGATIVE CASH","")</f>
        <v/>
      </c>
      <c r="V149" s="6">
        <f>IF(ABS(R149)&gt;0.05*M149,"LARGE FLOW","")</f>
        <v/>
      </c>
      <c r="W149" s="6">
        <f>(S149&lt;&gt;"")*1+(T149&lt;&gt;"")*1+(U149&lt;&gt;"")*1+(V149&lt;&gt;"")*1</f>
        <v/>
      </c>
      <c r="X149" s="6">
        <f>IF(S149&lt;&gt;"",S149,IF(T149&lt;&gt;"",T149,IF(U149&lt;&gt;"",U149,IF(V149&lt;&gt;"",V149,""))))</f>
        <v/>
      </c>
    </row>
    <row r="150">
      <c r="A150" s="6" t="inlineStr">
        <is>
          <t>2026-04-29</t>
        </is>
      </c>
      <c r="B150" s="6" t="inlineStr">
        <is>
          <t>EQGL</t>
        </is>
      </c>
      <c r="C150" s="6">
        <f>INDEX('Fund Master'!$B$2:$B$7,MATCH(B150,'Fund Master'!$A$2:$A$7,0))</f>
        <v/>
      </c>
      <c r="D150" s="6">
        <f>INDEX('Fund Master'!$C$2:$C$7,MATCH(B150,'Fund Master'!$A$2:$A$7,0))</f>
        <v/>
      </c>
      <c r="E150" s="8" t="n">
        <v>748368624.1</v>
      </c>
      <c r="F150" s="8" t="n">
        <v>17359341.24</v>
      </c>
      <c r="G150" s="8" t="n">
        <v>2478897.72</v>
      </c>
      <c r="H150" s="8" t="n">
        <v>2595269.22</v>
      </c>
      <c r="I150" s="8" t="n">
        <v>392406.35</v>
      </c>
      <c r="J150" s="10" t="n">
        <v>25306122.449</v>
      </c>
      <c r="K150" s="9">
        <f>E150+F150+G150</f>
        <v/>
      </c>
      <c r="L150" s="9">
        <f>H150+I150</f>
        <v/>
      </c>
      <c r="M150" s="9">
        <f>K150-L150</f>
        <v/>
      </c>
      <c r="N150" s="11">
        <f>IFERROR(M150/J150,0)</f>
        <v/>
      </c>
      <c r="O150" s="11">
        <f>IF((B150=B149),N149,"")</f>
        <v/>
      </c>
      <c r="P150" s="12">
        <f>IF(O150="","",IFERROR((N150-O150)/O150,""))</f>
        <v/>
      </c>
      <c r="Q150" s="13">
        <f>INDEX('Fund Master'!$F$2:$F$7,MATCH(B150,'Fund Master'!$A$2:$A$7,0))</f>
        <v/>
      </c>
      <c r="R150" s="9">
        <f>SUMIFS('Capital Activity'!$E$2:$E$385,'Capital Activity'!$A$2:$A$385,A150,'Capital Activity'!$B$2:$B$385,B150)</f>
        <v/>
      </c>
      <c r="S150" s="6">
        <f>IF(O150="","",IF(ABS(P150)*10000&gt;Q150,"NAV MOVE BREACH",""))</f>
        <v/>
      </c>
      <c r="T150" s="6">
        <f>IF(AND((B150=B149),D150&lt;&gt;"Money Market",E150=E149),"STALE PRICE","")</f>
        <v/>
      </c>
      <c r="U150" s="6">
        <f>IF(F150&lt;0,"NEGATIVE CASH","")</f>
        <v/>
      </c>
      <c r="V150" s="6">
        <f>IF(ABS(R150)&gt;0.05*M150,"LARGE FLOW","")</f>
        <v/>
      </c>
      <c r="W150" s="6">
        <f>(S150&lt;&gt;"")*1+(T150&lt;&gt;"")*1+(U150&lt;&gt;"")*1+(V150&lt;&gt;"")*1</f>
        <v/>
      </c>
      <c r="X150" s="6">
        <f>IF(S150&lt;&gt;"",S150,IF(T150&lt;&gt;"",T150,IF(U150&lt;&gt;"",U150,IF(V150&lt;&gt;"",V150,""))))</f>
        <v/>
      </c>
    </row>
    <row r="151">
      <c r="A151" s="6" t="inlineStr">
        <is>
          <t>2026-04-30</t>
        </is>
      </c>
      <c r="B151" s="6" t="inlineStr">
        <is>
          <t>EQGL</t>
        </is>
      </c>
      <c r="C151" s="6">
        <f>INDEX('Fund Master'!$B$2:$B$7,MATCH(B151,'Fund Master'!$A$2:$A$7,0))</f>
        <v/>
      </c>
      <c r="D151" s="6">
        <f>INDEX('Fund Master'!$C$2:$C$7,MATCH(B151,'Fund Master'!$A$2:$A$7,0))</f>
        <v/>
      </c>
      <c r="E151" s="8" t="n">
        <v>624779872.11</v>
      </c>
      <c r="F151" s="8" t="n">
        <v>16961380.61</v>
      </c>
      <c r="G151" s="8" t="n">
        <v>2467326.12</v>
      </c>
      <c r="H151" s="8" t="n">
        <v>2492015.73</v>
      </c>
      <c r="I151" s="8" t="n">
        <v>411000.99</v>
      </c>
      <c r="J151" s="10" t="n">
        <v>25306122.449</v>
      </c>
      <c r="K151" s="9">
        <f>E151+F151+G151</f>
        <v/>
      </c>
      <c r="L151" s="9">
        <f>H151+I151</f>
        <v/>
      </c>
      <c r="M151" s="9">
        <f>K151-L151</f>
        <v/>
      </c>
      <c r="N151" s="11">
        <f>IFERROR(M151/J151,0)</f>
        <v/>
      </c>
      <c r="O151" s="11">
        <f>IF((B151=B150),N150,"")</f>
        <v/>
      </c>
      <c r="P151" s="12">
        <f>IF(O151="","",IFERROR((N151-O151)/O151,""))</f>
        <v/>
      </c>
      <c r="Q151" s="13">
        <f>INDEX('Fund Master'!$F$2:$F$7,MATCH(B151,'Fund Master'!$A$2:$A$7,0))</f>
        <v/>
      </c>
      <c r="R151" s="9">
        <f>SUMIFS('Capital Activity'!$E$2:$E$385,'Capital Activity'!$A$2:$A$385,A151,'Capital Activity'!$B$2:$B$385,B151)</f>
        <v/>
      </c>
      <c r="S151" s="6">
        <f>IF(O151="","",IF(ABS(P151)*10000&gt;Q151,"NAV MOVE BREACH",""))</f>
        <v/>
      </c>
      <c r="T151" s="6">
        <f>IF(AND((B151=B150),D151&lt;&gt;"Money Market",E151=E150),"STALE PRICE","")</f>
        <v/>
      </c>
      <c r="U151" s="6">
        <f>IF(F151&lt;0,"NEGATIVE CASH","")</f>
        <v/>
      </c>
      <c r="V151" s="6">
        <f>IF(ABS(R151)&gt;0.05*M151,"LARGE FLOW","")</f>
        <v/>
      </c>
      <c r="W151" s="6">
        <f>(S151&lt;&gt;"")*1+(T151&lt;&gt;"")*1+(U151&lt;&gt;"")*1+(V151&lt;&gt;"")*1</f>
        <v/>
      </c>
      <c r="X151" s="6">
        <f>IF(S151&lt;&gt;"",S151,IF(T151&lt;&gt;"",T151,IF(U151&lt;&gt;"",U151,IF(V151&lt;&gt;"",V151,""))))</f>
        <v/>
      </c>
    </row>
    <row r="152">
      <c r="A152" s="6" t="inlineStr">
        <is>
          <t>2026-05-01</t>
        </is>
      </c>
      <c r="B152" s="6" t="inlineStr">
        <is>
          <t>EQGL</t>
        </is>
      </c>
      <c r="C152" s="6">
        <f>INDEX('Fund Master'!$B$2:$B$7,MATCH(B152,'Fund Master'!$A$2:$A$7,0))</f>
        <v/>
      </c>
      <c r="D152" s="6">
        <f>INDEX('Fund Master'!$C$2:$C$7,MATCH(B152,'Fund Master'!$A$2:$A$7,0))</f>
        <v/>
      </c>
      <c r="E152" s="8" t="n">
        <v>617604062.3200001</v>
      </c>
      <c r="F152" s="8" t="n">
        <v>16942068.94</v>
      </c>
      <c r="G152" s="8" t="n">
        <v>2302706.41</v>
      </c>
      <c r="H152" s="8" t="n">
        <v>2693133.07</v>
      </c>
      <c r="I152" s="8" t="n">
        <v>429382.06</v>
      </c>
      <c r="J152" s="10" t="n">
        <v>25306122.449</v>
      </c>
      <c r="K152" s="9">
        <f>E152+F152+G152</f>
        <v/>
      </c>
      <c r="L152" s="9">
        <f>H152+I152</f>
        <v/>
      </c>
      <c r="M152" s="9">
        <f>K152-L152</f>
        <v/>
      </c>
      <c r="N152" s="11">
        <f>IFERROR(M152/J152,0)</f>
        <v/>
      </c>
      <c r="O152" s="11">
        <f>IF((B152=B151),N151,"")</f>
        <v/>
      </c>
      <c r="P152" s="12">
        <f>IF(O152="","",IFERROR((N152-O152)/O152,""))</f>
        <v/>
      </c>
      <c r="Q152" s="13">
        <f>INDEX('Fund Master'!$F$2:$F$7,MATCH(B152,'Fund Master'!$A$2:$A$7,0))</f>
        <v/>
      </c>
      <c r="R152" s="9">
        <f>SUMIFS('Capital Activity'!$E$2:$E$385,'Capital Activity'!$A$2:$A$385,A152,'Capital Activity'!$B$2:$B$385,B152)</f>
        <v/>
      </c>
      <c r="S152" s="6">
        <f>IF(O152="","",IF(ABS(P152)*10000&gt;Q152,"NAV MOVE BREACH",""))</f>
        <v/>
      </c>
      <c r="T152" s="6">
        <f>IF(AND((B152=B151),D152&lt;&gt;"Money Market",E152=E151),"STALE PRICE","")</f>
        <v/>
      </c>
      <c r="U152" s="6">
        <f>IF(F152&lt;0,"NEGATIVE CASH","")</f>
        <v/>
      </c>
      <c r="V152" s="6">
        <f>IF(ABS(R152)&gt;0.05*M152,"LARGE FLOW","")</f>
        <v/>
      </c>
      <c r="W152" s="6">
        <f>(S152&lt;&gt;"")*1+(T152&lt;&gt;"")*1+(U152&lt;&gt;"")*1+(V152&lt;&gt;"")*1</f>
        <v/>
      </c>
      <c r="X152" s="6">
        <f>IF(S152&lt;&gt;"",S152,IF(T152&lt;&gt;"",T152,IF(U152&lt;&gt;"",U152,IF(V152&lt;&gt;"",V152,""))))</f>
        <v/>
      </c>
    </row>
    <row r="153">
      <c r="A153" s="6" t="inlineStr">
        <is>
          <t>2026-05-04</t>
        </is>
      </c>
      <c r="B153" s="6" t="inlineStr">
        <is>
          <t>EQGL</t>
        </is>
      </c>
      <c r="C153" s="6">
        <f>INDEX('Fund Master'!$B$2:$B$7,MATCH(B153,'Fund Master'!$A$2:$A$7,0))</f>
        <v/>
      </c>
      <c r="D153" s="6">
        <f>INDEX('Fund Master'!$C$2:$C$7,MATCH(B153,'Fund Master'!$A$2:$A$7,0))</f>
        <v/>
      </c>
      <c r="E153" s="8" t="n">
        <v>623254330.05</v>
      </c>
      <c r="F153" s="8" t="n">
        <v>16636781.76</v>
      </c>
      <c r="G153" s="8" t="n">
        <v>2357796.85</v>
      </c>
      <c r="H153" s="8" t="n">
        <v>2913295.48</v>
      </c>
      <c r="I153" s="8" t="n">
        <v>447931.3</v>
      </c>
      <c r="J153" s="10" t="n">
        <v>25306122.449</v>
      </c>
      <c r="K153" s="9">
        <f>E153+F153+G153</f>
        <v/>
      </c>
      <c r="L153" s="9">
        <f>H153+I153</f>
        <v/>
      </c>
      <c r="M153" s="9">
        <f>K153-L153</f>
        <v/>
      </c>
      <c r="N153" s="11">
        <f>IFERROR(M153/J153,0)</f>
        <v/>
      </c>
      <c r="O153" s="11">
        <f>IF((B153=B152),N152,"")</f>
        <v/>
      </c>
      <c r="P153" s="12">
        <f>IF(O153="","",IFERROR((N153-O153)/O153,""))</f>
        <v/>
      </c>
      <c r="Q153" s="13">
        <f>INDEX('Fund Master'!$F$2:$F$7,MATCH(B153,'Fund Master'!$A$2:$A$7,0))</f>
        <v/>
      </c>
      <c r="R153" s="9">
        <f>SUMIFS('Capital Activity'!$E$2:$E$385,'Capital Activity'!$A$2:$A$385,A153,'Capital Activity'!$B$2:$B$385,B153)</f>
        <v/>
      </c>
      <c r="S153" s="6">
        <f>IF(O153="","",IF(ABS(P153)*10000&gt;Q153,"NAV MOVE BREACH",""))</f>
        <v/>
      </c>
      <c r="T153" s="6">
        <f>IF(AND((B153=B152),D153&lt;&gt;"Money Market",E153=E152),"STALE PRICE","")</f>
        <v/>
      </c>
      <c r="U153" s="6">
        <f>IF(F153&lt;0,"NEGATIVE CASH","")</f>
        <v/>
      </c>
      <c r="V153" s="6">
        <f>IF(ABS(R153)&gt;0.05*M153,"LARGE FLOW","")</f>
        <v/>
      </c>
      <c r="W153" s="6">
        <f>(S153&lt;&gt;"")*1+(T153&lt;&gt;"")*1+(U153&lt;&gt;"")*1+(V153&lt;&gt;"")*1</f>
        <v/>
      </c>
      <c r="X153" s="6">
        <f>IF(S153&lt;&gt;"",S153,IF(T153&lt;&gt;"",T153,IF(U153&lt;&gt;"",U153,IF(V153&lt;&gt;"",V153,""))))</f>
        <v/>
      </c>
    </row>
    <row r="154">
      <c r="A154" s="6" t="inlineStr">
        <is>
          <t>2026-05-05</t>
        </is>
      </c>
      <c r="B154" s="6" t="inlineStr">
        <is>
          <t>EQGL</t>
        </is>
      </c>
      <c r="C154" s="6">
        <f>INDEX('Fund Master'!$B$2:$B$7,MATCH(B154,'Fund Master'!$A$2:$A$7,0))</f>
        <v/>
      </c>
      <c r="D154" s="6">
        <f>INDEX('Fund Master'!$C$2:$C$7,MATCH(B154,'Fund Master'!$A$2:$A$7,0))</f>
        <v/>
      </c>
      <c r="E154" s="8" t="n">
        <v>625160684.76</v>
      </c>
      <c r="F154" s="8" t="n">
        <v>16980927.82</v>
      </c>
      <c r="G154" s="8" t="n">
        <v>2179418.36</v>
      </c>
      <c r="H154" s="8" t="n">
        <v>2724087</v>
      </c>
      <c r="I154" s="8" t="n">
        <v>466537.27</v>
      </c>
      <c r="J154" s="10" t="n">
        <v>25306122.449</v>
      </c>
      <c r="K154" s="9">
        <f>E154+F154+G154</f>
        <v/>
      </c>
      <c r="L154" s="9">
        <f>H154+I154</f>
        <v/>
      </c>
      <c r="M154" s="9">
        <f>K154-L154</f>
        <v/>
      </c>
      <c r="N154" s="11">
        <f>IFERROR(M154/J154,0)</f>
        <v/>
      </c>
      <c r="O154" s="11">
        <f>IF((B154=B153),N153,"")</f>
        <v/>
      </c>
      <c r="P154" s="12">
        <f>IF(O154="","",IFERROR((N154-O154)/O154,""))</f>
        <v/>
      </c>
      <c r="Q154" s="13">
        <f>INDEX('Fund Master'!$F$2:$F$7,MATCH(B154,'Fund Master'!$A$2:$A$7,0))</f>
        <v/>
      </c>
      <c r="R154" s="9">
        <f>SUMIFS('Capital Activity'!$E$2:$E$385,'Capital Activity'!$A$2:$A$385,A154,'Capital Activity'!$B$2:$B$385,B154)</f>
        <v/>
      </c>
      <c r="S154" s="6">
        <f>IF(O154="","",IF(ABS(P154)*10000&gt;Q154,"NAV MOVE BREACH",""))</f>
        <v/>
      </c>
      <c r="T154" s="6">
        <f>IF(AND((B154=B153),D154&lt;&gt;"Money Market",E154=E153),"STALE PRICE","")</f>
        <v/>
      </c>
      <c r="U154" s="6">
        <f>IF(F154&lt;0,"NEGATIVE CASH","")</f>
        <v/>
      </c>
      <c r="V154" s="6">
        <f>IF(ABS(R154)&gt;0.05*M154,"LARGE FLOW","")</f>
        <v/>
      </c>
      <c r="W154" s="6">
        <f>(S154&lt;&gt;"")*1+(T154&lt;&gt;"")*1+(U154&lt;&gt;"")*1+(V154&lt;&gt;"")*1</f>
        <v/>
      </c>
      <c r="X154" s="6">
        <f>IF(S154&lt;&gt;"",S154,IF(T154&lt;&gt;"",T154,IF(U154&lt;&gt;"",U154,IF(V154&lt;&gt;"",V154,""))))</f>
        <v/>
      </c>
    </row>
    <row r="155">
      <c r="A155" s="6" t="inlineStr">
        <is>
          <t>2026-05-06</t>
        </is>
      </c>
      <c r="B155" s="6" t="inlineStr">
        <is>
          <t>EQGL</t>
        </is>
      </c>
      <c r="C155" s="6">
        <f>INDEX('Fund Master'!$B$2:$B$7,MATCH(B155,'Fund Master'!$A$2:$A$7,0))</f>
        <v/>
      </c>
      <c r="D155" s="6">
        <f>INDEX('Fund Master'!$C$2:$C$7,MATCH(B155,'Fund Master'!$A$2:$A$7,0))</f>
        <v/>
      </c>
      <c r="E155" s="8" t="n">
        <v>627008298</v>
      </c>
      <c r="F155" s="8" t="n">
        <v>17161449.15</v>
      </c>
      <c r="G155" s="8" t="n">
        <v>2083527.98</v>
      </c>
      <c r="H155" s="8" t="n">
        <v>2767087.82</v>
      </c>
      <c r="I155" s="8" t="n">
        <v>485198.23</v>
      </c>
      <c r="J155" s="10" t="n">
        <v>25306122.449</v>
      </c>
      <c r="K155" s="9">
        <f>E155+F155+G155</f>
        <v/>
      </c>
      <c r="L155" s="9">
        <f>H155+I155</f>
        <v/>
      </c>
      <c r="M155" s="9">
        <f>K155-L155</f>
        <v/>
      </c>
      <c r="N155" s="11">
        <f>IFERROR(M155/J155,0)</f>
        <v/>
      </c>
      <c r="O155" s="11">
        <f>IF((B155=B154),N154,"")</f>
        <v/>
      </c>
      <c r="P155" s="12">
        <f>IF(O155="","",IFERROR((N155-O155)/O155,""))</f>
        <v/>
      </c>
      <c r="Q155" s="13">
        <f>INDEX('Fund Master'!$F$2:$F$7,MATCH(B155,'Fund Master'!$A$2:$A$7,0))</f>
        <v/>
      </c>
      <c r="R155" s="9">
        <f>SUMIFS('Capital Activity'!$E$2:$E$385,'Capital Activity'!$A$2:$A$385,A155,'Capital Activity'!$B$2:$B$385,B155)</f>
        <v/>
      </c>
      <c r="S155" s="6">
        <f>IF(O155="","",IF(ABS(P155)*10000&gt;Q155,"NAV MOVE BREACH",""))</f>
        <v/>
      </c>
      <c r="T155" s="6">
        <f>IF(AND((B155=B154),D155&lt;&gt;"Money Market",E155=E154),"STALE PRICE","")</f>
        <v/>
      </c>
      <c r="U155" s="6">
        <f>IF(F155&lt;0,"NEGATIVE CASH","")</f>
        <v/>
      </c>
      <c r="V155" s="6">
        <f>IF(ABS(R155)&gt;0.05*M155,"LARGE FLOW","")</f>
        <v/>
      </c>
      <c r="W155" s="6">
        <f>(S155&lt;&gt;"")*1+(T155&lt;&gt;"")*1+(U155&lt;&gt;"")*1+(V155&lt;&gt;"")*1</f>
        <v/>
      </c>
      <c r="X155" s="6">
        <f>IF(S155&lt;&gt;"",S155,IF(T155&lt;&gt;"",T155,IF(U155&lt;&gt;"",U155,IF(V155&lt;&gt;"",V155,""))))</f>
        <v/>
      </c>
    </row>
    <row r="156">
      <c r="A156" s="6" t="inlineStr">
        <is>
          <t>2026-05-07</t>
        </is>
      </c>
      <c r="B156" s="6" t="inlineStr">
        <is>
          <t>EQGL</t>
        </is>
      </c>
      <c r="C156" s="6">
        <f>INDEX('Fund Master'!$B$2:$B$7,MATCH(B156,'Fund Master'!$A$2:$A$7,0))</f>
        <v/>
      </c>
      <c r="D156" s="6">
        <f>INDEX('Fund Master'!$C$2:$C$7,MATCH(B156,'Fund Master'!$A$2:$A$7,0))</f>
        <v/>
      </c>
      <c r="E156" s="8" t="n">
        <v>640002116.77</v>
      </c>
      <c r="F156" s="8" t="n">
        <v>17699047.23</v>
      </c>
      <c r="G156" s="8" t="n">
        <v>1943721.19</v>
      </c>
      <c r="H156" s="8" t="n">
        <v>2925278.59</v>
      </c>
      <c r="I156" s="8" t="n">
        <v>504245.91</v>
      </c>
      <c r="J156" s="10" t="n">
        <v>25306122.449</v>
      </c>
      <c r="K156" s="9">
        <f>E156+F156+G156</f>
        <v/>
      </c>
      <c r="L156" s="9">
        <f>H156+I156</f>
        <v/>
      </c>
      <c r="M156" s="9">
        <f>K156-L156</f>
        <v/>
      </c>
      <c r="N156" s="11">
        <f>IFERROR(M156/J156,0)</f>
        <v/>
      </c>
      <c r="O156" s="11">
        <f>IF((B156=B155),N155,"")</f>
        <v/>
      </c>
      <c r="P156" s="12">
        <f>IF(O156="","",IFERROR((N156-O156)/O156,""))</f>
        <v/>
      </c>
      <c r="Q156" s="13">
        <f>INDEX('Fund Master'!$F$2:$F$7,MATCH(B156,'Fund Master'!$A$2:$A$7,0))</f>
        <v/>
      </c>
      <c r="R156" s="9">
        <f>SUMIFS('Capital Activity'!$E$2:$E$385,'Capital Activity'!$A$2:$A$385,A156,'Capital Activity'!$B$2:$B$385,B156)</f>
        <v/>
      </c>
      <c r="S156" s="6">
        <f>IF(O156="","",IF(ABS(P156)*10000&gt;Q156,"NAV MOVE BREACH",""))</f>
        <v/>
      </c>
      <c r="T156" s="6">
        <f>IF(AND((B156=B155),D156&lt;&gt;"Money Market",E156=E155),"STALE PRICE","")</f>
        <v/>
      </c>
      <c r="U156" s="6">
        <f>IF(F156&lt;0,"NEGATIVE CASH","")</f>
        <v/>
      </c>
      <c r="V156" s="6">
        <f>IF(ABS(R156)&gt;0.05*M156,"LARGE FLOW","")</f>
        <v/>
      </c>
      <c r="W156" s="6">
        <f>(S156&lt;&gt;"")*1+(T156&lt;&gt;"")*1+(U156&lt;&gt;"")*1+(V156&lt;&gt;"")*1</f>
        <v/>
      </c>
      <c r="X156" s="6">
        <f>IF(S156&lt;&gt;"",S156,IF(T156&lt;&gt;"",T156,IF(U156&lt;&gt;"",U156,IF(V156&lt;&gt;"",V156,""))))</f>
        <v/>
      </c>
    </row>
    <row r="157">
      <c r="A157" s="6" t="inlineStr">
        <is>
          <t>2026-05-08</t>
        </is>
      </c>
      <c r="B157" s="6" t="inlineStr">
        <is>
          <t>EQGL</t>
        </is>
      </c>
      <c r="C157" s="6">
        <f>INDEX('Fund Master'!$B$2:$B$7,MATCH(B157,'Fund Master'!$A$2:$A$7,0))</f>
        <v/>
      </c>
      <c r="D157" s="6">
        <f>INDEX('Fund Master'!$C$2:$C$7,MATCH(B157,'Fund Master'!$A$2:$A$7,0))</f>
        <v/>
      </c>
      <c r="E157" s="8" t="n">
        <v>648286657.04</v>
      </c>
      <c r="F157" s="8" t="n">
        <v>17608931.01</v>
      </c>
      <c r="G157" s="8" t="n">
        <v>2118772.32</v>
      </c>
      <c r="H157" s="8" t="n">
        <v>3027369.09</v>
      </c>
      <c r="I157" s="8" t="n">
        <v>523540.16</v>
      </c>
      <c r="J157" s="10" t="n">
        <v>25306122.449</v>
      </c>
      <c r="K157" s="9">
        <f>E157+F157+G157</f>
        <v/>
      </c>
      <c r="L157" s="9">
        <f>H157+I157</f>
        <v/>
      </c>
      <c r="M157" s="9">
        <f>K157-L157</f>
        <v/>
      </c>
      <c r="N157" s="11">
        <f>IFERROR(M157/J157,0)</f>
        <v/>
      </c>
      <c r="O157" s="11">
        <f>IF((B157=B156),N156,"")</f>
        <v/>
      </c>
      <c r="P157" s="12">
        <f>IF(O157="","",IFERROR((N157-O157)/O157,""))</f>
        <v/>
      </c>
      <c r="Q157" s="13">
        <f>INDEX('Fund Master'!$F$2:$F$7,MATCH(B157,'Fund Master'!$A$2:$A$7,0))</f>
        <v/>
      </c>
      <c r="R157" s="9">
        <f>SUMIFS('Capital Activity'!$E$2:$E$385,'Capital Activity'!$A$2:$A$385,A157,'Capital Activity'!$B$2:$B$385,B157)</f>
        <v/>
      </c>
      <c r="S157" s="6">
        <f>IF(O157="","",IF(ABS(P157)*10000&gt;Q157,"NAV MOVE BREACH",""))</f>
        <v/>
      </c>
      <c r="T157" s="6">
        <f>IF(AND((B157=B156),D157&lt;&gt;"Money Market",E157=E156),"STALE PRICE","")</f>
        <v/>
      </c>
      <c r="U157" s="6">
        <f>IF(F157&lt;0,"NEGATIVE CASH","")</f>
        <v/>
      </c>
      <c r="V157" s="6">
        <f>IF(ABS(R157)&gt;0.05*M157,"LARGE FLOW","")</f>
        <v/>
      </c>
      <c r="W157" s="6">
        <f>(S157&lt;&gt;"")*1+(T157&lt;&gt;"")*1+(U157&lt;&gt;"")*1+(V157&lt;&gt;"")*1</f>
        <v/>
      </c>
      <c r="X157" s="6">
        <f>IF(S157&lt;&gt;"",S157,IF(T157&lt;&gt;"",T157,IF(U157&lt;&gt;"",U157,IF(V157&lt;&gt;"",V157,""))))</f>
        <v/>
      </c>
    </row>
    <row r="158">
      <c r="A158" s="6" t="inlineStr">
        <is>
          <t>2026-05-11</t>
        </is>
      </c>
      <c r="B158" s="6" t="inlineStr">
        <is>
          <t>EQGL</t>
        </is>
      </c>
      <c r="C158" s="6">
        <f>INDEX('Fund Master'!$B$2:$B$7,MATCH(B158,'Fund Master'!$A$2:$A$7,0))</f>
        <v/>
      </c>
      <c r="D158" s="6">
        <f>INDEX('Fund Master'!$C$2:$C$7,MATCH(B158,'Fund Master'!$A$2:$A$7,0))</f>
        <v/>
      </c>
      <c r="E158" s="8" t="n">
        <v>646666414.12</v>
      </c>
      <c r="F158" s="8" t="n">
        <v>17272472.04</v>
      </c>
      <c r="G158" s="8" t="n">
        <v>1975424.36</v>
      </c>
      <c r="H158" s="8" t="n">
        <v>2893189.18</v>
      </c>
      <c r="I158" s="8" t="n">
        <v>542786.1800000001</v>
      </c>
      <c r="J158" s="10" t="n">
        <v>25306122.449</v>
      </c>
      <c r="K158" s="9">
        <f>E158+F158+G158</f>
        <v/>
      </c>
      <c r="L158" s="9">
        <f>H158+I158</f>
        <v/>
      </c>
      <c r="M158" s="9">
        <f>K158-L158</f>
        <v/>
      </c>
      <c r="N158" s="11">
        <f>IFERROR(M158/J158,0)</f>
        <v/>
      </c>
      <c r="O158" s="11">
        <f>IF((B158=B157),N157,"")</f>
        <v/>
      </c>
      <c r="P158" s="12">
        <f>IF(O158="","",IFERROR((N158-O158)/O158,""))</f>
        <v/>
      </c>
      <c r="Q158" s="13">
        <f>INDEX('Fund Master'!$F$2:$F$7,MATCH(B158,'Fund Master'!$A$2:$A$7,0))</f>
        <v/>
      </c>
      <c r="R158" s="9">
        <f>SUMIFS('Capital Activity'!$E$2:$E$385,'Capital Activity'!$A$2:$A$385,A158,'Capital Activity'!$B$2:$B$385,B158)</f>
        <v/>
      </c>
      <c r="S158" s="6">
        <f>IF(O158="","",IF(ABS(P158)*10000&gt;Q158,"NAV MOVE BREACH",""))</f>
        <v/>
      </c>
      <c r="T158" s="6">
        <f>IF(AND((B158=B157),D158&lt;&gt;"Money Market",E158=E157),"STALE PRICE","")</f>
        <v/>
      </c>
      <c r="U158" s="6">
        <f>IF(F158&lt;0,"NEGATIVE CASH","")</f>
        <v/>
      </c>
      <c r="V158" s="6">
        <f>IF(ABS(R158)&gt;0.05*M158,"LARGE FLOW","")</f>
        <v/>
      </c>
      <c r="W158" s="6">
        <f>(S158&lt;&gt;"")*1+(T158&lt;&gt;"")*1+(U158&lt;&gt;"")*1+(V158&lt;&gt;"")*1</f>
        <v/>
      </c>
      <c r="X158" s="6">
        <f>IF(S158&lt;&gt;"",S158,IF(T158&lt;&gt;"",T158,IF(U158&lt;&gt;"",U158,IF(V158&lt;&gt;"",V158,""))))</f>
        <v/>
      </c>
    </row>
    <row r="159">
      <c r="A159" s="6" t="inlineStr">
        <is>
          <t>2026-05-12</t>
        </is>
      </c>
      <c r="B159" s="6" t="inlineStr">
        <is>
          <t>EQGL</t>
        </is>
      </c>
      <c r="C159" s="6">
        <f>INDEX('Fund Master'!$B$2:$B$7,MATCH(B159,'Fund Master'!$A$2:$A$7,0))</f>
        <v/>
      </c>
      <c r="D159" s="6">
        <f>INDEX('Fund Master'!$C$2:$C$7,MATCH(B159,'Fund Master'!$A$2:$A$7,0))</f>
        <v/>
      </c>
      <c r="E159" s="8" t="n">
        <v>648763940.52</v>
      </c>
      <c r="F159" s="8" t="n">
        <v>17650485</v>
      </c>
      <c r="G159" s="8" t="n">
        <v>1983856.28</v>
      </c>
      <c r="H159" s="8" t="n">
        <v>3128893.64</v>
      </c>
      <c r="I159" s="8" t="n">
        <v>562094.63</v>
      </c>
      <c r="J159" s="10" t="n">
        <v>25306122.449</v>
      </c>
      <c r="K159" s="9">
        <f>E159+F159+G159</f>
        <v/>
      </c>
      <c r="L159" s="9">
        <f>H159+I159</f>
        <v/>
      </c>
      <c r="M159" s="9">
        <f>K159-L159</f>
        <v/>
      </c>
      <c r="N159" s="11">
        <f>IFERROR(M159/J159,0)</f>
        <v/>
      </c>
      <c r="O159" s="11">
        <f>IF((B159=B158),N158,"")</f>
        <v/>
      </c>
      <c r="P159" s="12">
        <f>IF(O159="","",IFERROR((N159-O159)/O159,""))</f>
        <v/>
      </c>
      <c r="Q159" s="13">
        <f>INDEX('Fund Master'!$F$2:$F$7,MATCH(B159,'Fund Master'!$A$2:$A$7,0))</f>
        <v/>
      </c>
      <c r="R159" s="9">
        <f>SUMIFS('Capital Activity'!$E$2:$E$385,'Capital Activity'!$A$2:$A$385,A159,'Capital Activity'!$B$2:$B$385,B159)</f>
        <v/>
      </c>
      <c r="S159" s="6">
        <f>IF(O159="","",IF(ABS(P159)*10000&gt;Q159,"NAV MOVE BREACH",""))</f>
        <v/>
      </c>
      <c r="T159" s="6">
        <f>IF(AND((B159=B158),D159&lt;&gt;"Money Market",E159=E158),"STALE PRICE","")</f>
        <v/>
      </c>
      <c r="U159" s="6">
        <f>IF(F159&lt;0,"NEGATIVE CASH","")</f>
        <v/>
      </c>
      <c r="V159" s="6">
        <f>IF(ABS(R159)&gt;0.05*M159,"LARGE FLOW","")</f>
        <v/>
      </c>
      <c r="W159" s="6">
        <f>(S159&lt;&gt;"")*1+(T159&lt;&gt;"")*1+(U159&lt;&gt;"")*1+(V159&lt;&gt;"")*1</f>
        <v/>
      </c>
      <c r="X159" s="6">
        <f>IF(S159&lt;&gt;"",S159,IF(T159&lt;&gt;"",T159,IF(U159&lt;&gt;"",U159,IF(V159&lt;&gt;"",V159,""))))</f>
        <v/>
      </c>
    </row>
    <row r="160">
      <c r="A160" s="6" t="inlineStr">
        <is>
          <t>2026-05-13</t>
        </is>
      </c>
      <c r="B160" s="6" t="inlineStr">
        <is>
          <t>EQGL</t>
        </is>
      </c>
      <c r="C160" s="6">
        <f>INDEX('Fund Master'!$B$2:$B$7,MATCH(B160,'Fund Master'!$A$2:$A$7,0))</f>
        <v/>
      </c>
      <c r="D160" s="6">
        <f>INDEX('Fund Master'!$C$2:$C$7,MATCH(B160,'Fund Master'!$A$2:$A$7,0))</f>
        <v/>
      </c>
      <c r="E160" s="8" t="n">
        <v>653358707.86</v>
      </c>
      <c r="F160" s="8" t="n">
        <v>17439472.94</v>
      </c>
      <c r="G160" s="8" t="n">
        <v>1960076.12</v>
      </c>
      <c r="H160" s="8" t="n">
        <v>3226708.14</v>
      </c>
      <c r="I160" s="8" t="n">
        <v>581539.83</v>
      </c>
      <c r="J160" s="10" t="n">
        <v>25306122.449</v>
      </c>
      <c r="K160" s="9">
        <f>E160+F160+G160</f>
        <v/>
      </c>
      <c r="L160" s="9">
        <f>H160+I160</f>
        <v/>
      </c>
      <c r="M160" s="9">
        <f>K160-L160</f>
        <v/>
      </c>
      <c r="N160" s="11">
        <f>IFERROR(M160/J160,0)</f>
        <v/>
      </c>
      <c r="O160" s="11">
        <f>IF((B160=B159),N159,"")</f>
        <v/>
      </c>
      <c r="P160" s="12">
        <f>IF(O160="","",IFERROR((N160-O160)/O160,""))</f>
        <v/>
      </c>
      <c r="Q160" s="13">
        <f>INDEX('Fund Master'!$F$2:$F$7,MATCH(B160,'Fund Master'!$A$2:$A$7,0))</f>
        <v/>
      </c>
      <c r="R160" s="9">
        <f>SUMIFS('Capital Activity'!$E$2:$E$385,'Capital Activity'!$A$2:$A$385,A160,'Capital Activity'!$B$2:$B$385,B160)</f>
        <v/>
      </c>
      <c r="S160" s="6">
        <f>IF(O160="","",IF(ABS(P160)*10000&gt;Q160,"NAV MOVE BREACH",""))</f>
        <v/>
      </c>
      <c r="T160" s="6">
        <f>IF(AND((B160=B159),D160&lt;&gt;"Money Market",E160=E159),"STALE PRICE","")</f>
        <v/>
      </c>
      <c r="U160" s="6">
        <f>IF(F160&lt;0,"NEGATIVE CASH","")</f>
        <v/>
      </c>
      <c r="V160" s="6">
        <f>IF(ABS(R160)&gt;0.05*M160,"LARGE FLOW","")</f>
        <v/>
      </c>
      <c r="W160" s="6">
        <f>(S160&lt;&gt;"")*1+(T160&lt;&gt;"")*1+(U160&lt;&gt;"")*1+(V160&lt;&gt;"")*1</f>
        <v/>
      </c>
      <c r="X160" s="6">
        <f>IF(S160&lt;&gt;"",S160,IF(T160&lt;&gt;"",T160,IF(U160&lt;&gt;"",U160,IF(V160&lt;&gt;"",V160,""))))</f>
        <v/>
      </c>
    </row>
    <row r="161">
      <c r="A161" s="6" t="inlineStr">
        <is>
          <t>2026-05-14</t>
        </is>
      </c>
      <c r="B161" s="6" t="inlineStr">
        <is>
          <t>EQGL</t>
        </is>
      </c>
      <c r="C161" s="6">
        <f>INDEX('Fund Master'!$B$2:$B$7,MATCH(B161,'Fund Master'!$A$2:$A$7,0))</f>
        <v/>
      </c>
      <c r="D161" s="6">
        <f>INDEX('Fund Master'!$C$2:$C$7,MATCH(B161,'Fund Master'!$A$2:$A$7,0))</f>
        <v/>
      </c>
      <c r="E161" s="8" t="n">
        <v>656890512.76</v>
      </c>
      <c r="F161" s="8" t="n">
        <v>17505039.63</v>
      </c>
      <c r="G161" s="8" t="n">
        <v>1970671.54</v>
      </c>
      <c r="H161" s="8" t="n">
        <v>3005329.18</v>
      </c>
      <c r="I161" s="8" t="n">
        <v>601090.14</v>
      </c>
      <c r="J161" s="10" t="n">
        <v>25306122.449</v>
      </c>
      <c r="K161" s="9">
        <f>E161+F161+G161</f>
        <v/>
      </c>
      <c r="L161" s="9">
        <f>H161+I161</f>
        <v/>
      </c>
      <c r="M161" s="9">
        <f>K161-L161</f>
        <v/>
      </c>
      <c r="N161" s="11">
        <f>IFERROR(M161/J161,0)</f>
        <v/>
      </c>
      <c r="O161" s="11">
        <f>IF((B161=B160),N160,"")</f>
        <v/>
      </c>
      <c r="P161" s="12">
        <f>IF(O161="","",IFERROR((N161-O161)/O161,""))</f>
        <v/>
      </c>
      <c r="Q161" s="13">
        <f>INDEX('Fund Master'!$F$2:$F$7,MATCH(B161,'Fund Master'!$A$2:$A$7,0))</f>
        <v/>
      </c>
      <c r="R161" s="9">
        <f>SUMIFS('Capital Activity'!$E$2:$E$385,'Capital Activity'!$A$2:$A$385,A161,'Capital Activity'!$B$2:$B$385,B161)</f>
        <v/>
      </c>
      <c r="S161" s="6">
        <f>IF(O161="","",IF(ABS(P161)*10000&gt;Q161,"NAV MOVE BREACH",""))</f>
        <v/>
      </c>
      <c r="T161" s="6">
        <f>IF(AND((B161=B160),D161&lt;&gt;"Money Market",E161=E160),"STALE PRICE","")</f>
        <v/>
      </c>
      <c r="U161" s="6">
        <f>IF(F161&lt;0,"NEGATIVE CASH","")</f>
        <v/>
      </c>
      <c r="V161" s="6">
        <f>IF(ABS(R161)&gt;0.05*M161,"LARGE FLOW","")</f>
        <v/>
      </c>
      <c r="W161" s="6">
        <f>(S161&lt;&gt;"")*1+(T161&lt;&gt;"")*1+(U161&lt;&gt;"")*1+(V161&lt;&gt;"")*1</f>
        <v/>
      </c>
      <c r="X161" s="6">
        <f>IF(S161&lt;&gt;"",S161,IF(T161&lt;&gt;"",T161,IF(U161&lt;&gt;"",U161,IF(V161&lt;&gt;"",V161,""))))</f>
        <v/>
      </c>
    </row>
    <row r="162">
      <c r="A162" s="6" t="inlineStr">
        <is>
          <t>2026-05-15</t>
        </is>
      </c>
      <c r="B162" s="6" t="inlineStr">
        <is>
          <t>EQGL</t>
        </is>
      </c>
      <c r="C162" s="6">
        <f>INDEX('Fund Master'!$B$2:$B$7,MATCH(B162,'Fund Master'!$A$2:$A$7,0))</f>
        <v/>
      </c>
      <c r="D162" s="6">
        <f>INDEX('Fund Master'!$C$2:$C$7,MATCH(B162,'Fund Master'!$A$2:$A$7,0))</f>
        <v/>
      </c>
      <c r="E162" s="8" t="n">
        <v>658568888.5</v>
      </c>
      <c r="F162" s="8" t="n">
        <v>17057522.67</v>
      </c>
      <c r="G162" s="8" t="n">
        <v>2003079.04</v>
      </c>
      <c r="H162" s="8" t="n">
        <v>3073909.82</v>
      </c>
      <c r="I162" s="8" t="n">
        <v>620690.41</v>
      </c>
      <c r="J162" s="10" t="n">
        <v>25306122.449</v>
      </c>
      <c r="K162" s="9">
        <f>E162+F162+G162</f>
        <v/>
      </c>
      <c r="L162" s="9">
        <f>H162+I162</f>
        <v/>
      </c>
      <c r="M162" s="9">
        <f>K162-L162</f>
        <v/>
      </c>
      <c r="N162" s="11">
        <f>IFERROR(M162/J162,0)</f>
        <v/>
      </c>
      <c r="O162" s="11">
        <f>IF((B162=B161),N161,"")</f>
        <v/>
      </c>
      <c r="P162" s="12">
        <f>IF(O162="","",IFERROR((N162-O162)/O162,""))</f>
        <v/>
      </c>
      <c r="Q162" s="13">
        <f>INDEX('Fund Master'!$F$2:$F$7,MATCH(B162,'Fund Master'!$A$2:$A$7,0))</f>
        <v/>
      </c>
      <c r="R162" s="9">
        <f>SUMIFS('Capital Activity'!$E$2:$E$385,'Capital Activity'!$A$2:$A$385,A162,'Capital Activity'!$B$2:$B$385,B162)</f>
        <v/>
      </c>
      <c r="S162" s="6">
        <f>IF(O162="","",IF(ABS(P162)*10000&gt;Q162,"NAV MOVE BREACH",""))</f>
        <v/>
      </c>
      <c r="T162" s="6">
        <f>IF(AND((B162=B161),D162&lt;&gt;"Money Market",E162=E161),"STALE PRICE","")</f>
        <v/>
      </c>
      <c r="U162" s="6">
        <f>IF(F162&lt;0,"NEGATIVE CASH","")</f>
        <v/>
      </c>
      <c r="V162" s="6">
        <f>IF(ABS(R162)&gt;0.05*M162,"LARGE FLOW","")</f>
        <v/>
      </c>
      <c r="W162" s="6">
        <f>(S162&lt;&gt;"")*1+(T162&lt;&gt;"")*1+(U162&lt;&gt;"")*1+(V162&lt;&gt;"")*1</f>
        <v/>
      </c>
      <c r="X162" s="6">
        <f>IF(S162&lt;&gt;"",S162,IF(T162&lt;&gt;"",T162,IF(U162&lt;&gt;"",U162,IF(V162&lt;&gt;"",V162,""))))</f>
        <v/>
      </c>
    </row>
    <row r="163">
      <c r="A163" s="6" t="inlineStr">
        <is>
          <t>2026-05-18</t>
        </is>
      </c>
      <c r="B163" s="6" t="inlineStr">
        <is>
          <t>EQGL</t>
        </is>
      </c>
      <c r="C163" s="6">
        <f>INDEX('Fund Master'!$B$2:$B$7,MATCH(B163,'Fund Master'!$A$2:$A$7,0))</f>
        <v/>
      </c>
      <c r="D163" s="6">
        <f>INDEX('Fund Master'!$C$2:$C$7,MATCH(B163,'Fund Master'!$A$2:$A$7,0))</f>
        <v/>
      </c>
      <c r="E163" s="8" t="n">
        <v>659122281.24</v>
      </c>
      <c r="F163" s="8" t="n">
        <v>16619841.72</v>
      </c>
      <c r="G163" s="8" t="n">
        <v>2061360.37</v>
      </c>
      <c r="H163" s="8" t="n">
        <v>3165202.95</v>
      </c>
      <c r="I163" s="8" t="n">
        <v>640307.14</v>
      </c>
      <c r="J163" s="10" t="n">
        <v>25306122.449</v>
      </c>
      <c r="K163" s="9">
        <f>E163+F163+G163</f>
        <v/>
      </c>
      <c r="L163" s="9">
        <f>H163+I163</f>
        <v/>
      </c>
      <c r="M163" s="9">
        <f>K163-L163</f>
        <v/>
      </c>
      <c r="N163" s="11">
        <f>IFERROR(M163/J163,0)</f>
        <v/>
      </c>
      <c r="O163" s="11">
        <f>IF((B163=B162),N162,"")</f>
        <v/>
      </c>
      <c r="P163" s="12">
        <f>IF(O163="","",IFERROR((N163-O163)/O163,""))</f>
        <v/>
      </c>
      <c r="Q163" s="13">
        <f>INDEX('Fund Master'!$F$2:$F$7,MATCH(B163,'Fund Master'!$A$2:$A$7,0))</f>
        <v/>
      </c>
      <c r="R163" s="9">
        <f>SUMIFS('Capital Activity'!$E$2:$E$385,'Capital Activity'!$A$2:$A$385,A163,'Capital Activity'!$B$2:$B$385,B163)</f>
        <v/>
      </c>
      <c r="S163" s="6">
        <f>IF(O163="","",IF(ABS(P163)*10000&gt;Q163,"NAV MOVE BREACH",""))</f>
        <v/>
      </c>
      <c r="T163" s="6">
        <f>IF(AND((B163=B162),D163&lt;&gt;"Money Market",E163=E162),"STALE PRICE","")</f>
        <v/>
      </c>
      <c r="U163" s="6">
        <f>IF(F163&lt;0,"NEGATIVE CASH","")</f>
        <v/>
      </c>
      <c r="V163" s="6">
        <f>IF(ABS(R163)&gt;0.05*M163,"LARGE FLOW","")</f>
        <v/>
      </c>
      <c r="W163" s="6">
        <f>(S163&lt;&gt;"")*1+(T163&lt;&gt;"")*1+(U163&lt;&gt;"")*1+(V163&lt;&gt;"")*1</f>
        <v/>
      </c>
      <c r="X163" s="6">
        <f>IF(S163&lt;&gt;"",S163,IF(T163&lt;&gt;"",T163,IF(U163&lt;&gt;"",U163,IF(V163&lt;&gt;"",V163,""))))</f>
        <v/>
      </c>
    </row>
    <row r="164">
      <c r="A164" s="6" t="inlineStr">
        <is>
          <t>2026-05-19</t>
        </is>
      </c>
      <c r="B164" s="6" t="inlineStr">
        <is>
          <t>EQGL</t>
        </is>
      </c>
      <c r="C164" s="6">
        <f>INDEX('Fund Master'!$B$2:$B$7,MATCH(B164,'Fund Master'!$A$2:$A$7,0))</f>
        <v/>
      </c>
      <c r="D164" s="6">
        <f>INDEX('Fund Master'!$C$2:$C$7,MATCH(B164,'Fund Master'!$A$2:$A$7,0))</f>
        <v/>
      </c>
      <c r="E164" s="8" t="n">
        <v>649265527.35</v>
      </c>
      <c r="F164" s="8" t="n">
        <v>16005964.09</v>
      </c>
      <c r="G164" s="8" t="n">
        <v>2110788.75</v>
      </c>
      <c r="H164" s="8" t="n">
        <v>3197929.4</v>
      </c>
      <c r="I164" s="8" t="n">
        <v>659630.52</v>
      </c>
      <c r="J164" s="10" t="n">
        <v>25306122.449</v>
      </c>
      <c r="K164" s="9">
        <f>E164+F164+G164</f>
        <v/>
      </c>
      <c r="L164" s="9">
        <f>H164+I164</f>
        <v/>
      </c>
      <c r="M164" s="9">
        <f>K164-L164</f>
        <v/>
      </c>
      <c r="N164" s="11">
        <f>IFERROR(M164/J164,0)</f>
        <v/>
      </c>
      <c r="O164" s="11">
        <f>IF((B164=B163),N163,"")</f>
        <v/>
      </c>
      <c r="P164" s="12">
        <f>IF(O164="","",IFERROR((N164-O164)/O164,""))</f>
        <v/>
      </c>
      <c r="Q164" s="13">
        <f>INDEX('Fund Master'!$F$2:$F$7,MATCH(B164,'Fund Master'!$A$2:$A$7,0))</f>
        <v/>
      </c>
      <c r="R164" s="9">
        <f>SUMIFS('Capital Activity'!$E$2:$E$385,'Capital Activity'!$A$2:$A$385,A164,'Capital Activity'!$B$2:$B$385,B164)</f>
        <v/>
      </c>
      <c r="S164" s="6">
        <f>IF(O164="","",IF(ABS(P164)*10000&gt;Q164,"NAV MOVE BREACH",""))</f>
        <v/>
      </c>
      <c r="T164" s="6">
        <f>IF(AND((B164=B163),D164&lt;&gt;"Money Market",E164=E163),"STALE PRICE","")</f>
        <v/>
      </c>
      <c r="U164" s="6">
        <f>IF(F164&lt;0,"NEGATIVE CASH","")</f>
        <v/>
      </c>
      <c r="V164" s="6">
        <f>IF(ABS(R164)&gt;0.05*M164,"LARGE FLOW","")</f>
        <v/>
      </c>
      <c r="W164" s="6">
        <f>(S164&lt;&gt;"")*1+(T164&lt;&gt;"")*1+(U164&lt;&gt;"")*1+(V164&lt;&gt;"")*1</f>
        <v/>
      </c>
      <c r="X164" s="6">
        <f>IF(S164&lt;&gt;"",S164,IF(T164&lt;&gt;"",T164,IF(U164&lt;&gt;"",U164,IF(V164&lt;&gt;"",V164,""))))</f>
        <v/>
      </c>
    </row>
    <row r="165">
      <c r="A165" s="6" t="inlineStr">
        <is>
          <t>2026-05-20</t>
        </is>
      </c>
      <c r="B165" s="6" t="inlineStr">
        <is>
          <t>EQGL</t>
        </is>
      </c>
      <c r="C165" s="6">
        <f>INDEX('Fund Master'!$B$2:$B$7,MATCH(B165,'Fund Master'!$A$2:$A$7,0))</f>
        <v/>
      </c>
      <c r="D165" s="6">
        <f>INDEX('Fund Master'!$C$2:$C$7,MATCH(B165,'Fund Master'!$A$2:$A$7,0))</f>
        <v/>
      </c>
      <c r="E165" s="8" t="n">
        <v>653472635.27</v>
      </c>
      <c r="F165" s="8" t="n">
        <v>16554916.11</v>
      </c>
      <c r="G165" s="8" t="n">
        <v>2274085.6</v>
      </c>
      <c r="H165" s="8" t="n">
        <v>3320811.25</v>
      </c>
      <c r="I165" s="8" t="n">
        <v>679079.11</v>
      </c>
      <c r="J165" s="10" t="n">
        <v>25306122.449</v>
      </c>
      <c r="K165" s="9">
        <f>E165+F165+G165</f>
        <v/>
      </c>
      <c r="L165" s="9">
        <f>H165+I165</f>
        <v/>
      </c>
      <c r="M165" s="9">
        <f>K165-L165</f>
        <v/>
      </c>
      <c r="N165" s="11">
        <f>IFERROR(M165/J165,0)</f>
        <v/>
      </c>
      <c r="O165" s="11">
        <f>IF((B165=B164),N164,"")</f>
        <v/>
      </c>
      <c r="P165" s="12">
        <f>IF(O165="","",IFERROR((N165-O165)/O165,""))</f>
        <v/>
      </c>
      <c r="Q165" s="13">
        <f>INDEX('Fund Master'!$F$2:$F$7,MATCH(B165,'Fund Master'!$A$2:$A$7,0))</f>
        <v/>
      </c>
      <c r="R165" s="9">
        <f>SUMIFS('Capital Activity'!$E$2:$E$385,'Capital Activity'!$A$2:$A$385,A165,'Capital Activity'!$B$2:$B$385,B165)</f>
        <v/>
      </c>
      <c r="S165" s="6">
        <f>IF(O165="","",IF(ABS(P165)*10000&gt;Q165,"NAV MOVE BREACH",""))</f>
        <v/>
      </c>
      <c r="T165" s="6">
        <f>IF(AND((B165=B164),D165&lt;&gt;"Money Market",E165=E164),"STALE PRICE","")</f>
        <v/>
      </c>
      <c r="U165" s="6">
        <f>IF(F165&lt;0,"NEGATIVE CASH","")</f>
        <v/>
      </c>
      <c r="V165" s="6">
        <f>IF(ABS(R165)&gt;0.05*M165,"LARGE FLOW","")</f>
        <v/>
      </c>
      <c r="W165" s="6">
        <f>(S165&lt;&gt;"")*1+(T165&lt;&gt;"")*1+(U165&lt;&gt;"")*1+(V165&lt;&gt;"")*1</f>
        <v/>
      </c>
      <c r="X165" s="6">
        <f>IF(S165&lt;&gt;"",S165,IF(T165&lt;&gt;"",T165,IF(U165&lt;&gt;"",U165,IF(V165&lt;&gt;"",V165,""))))</f>
        <v/>
      </c>
    </row>
    <row r="166">
      <c r="A166" s="6" t="inlineStr">
        <is>
          <t>2026-05-21</t>
        </is>
      </c>
      <c r="B166" s="6" t="inlineStr">
        <is>
          <t>EQGL</t>
        </is>
      </c>
      <c r="C166" s="6">
        <f>INDEX('Fund Master'!$B$2:$B$7,MATCH(B166,'Fund Master'!$A$2:$A$7,0))</f>
        <v/>
      </c>
      <c r="D166" s="6">
        <f>INDEX('Fund Master'!$C$2:$C$7,MATCH(B166,'Fund Master'!$A$2:$A$7,0))</f>
        <v/>
      </c>
      <c r="E166" s="8" t="n">
        <v>648048108.38</v>
      </c>
      <c r="F166" s="8" t="n">
        <v>16325410.56</v>
      </c>
      <c r="G166" s="8" t="n">
        <v>2179718.9</v>
      </c>
      <c r="H166" s="8" t="n">
        <v>3305978.95</v>
      </c>
      <c r="I166" s="8" t="n">
        <v>698366.26</v>
      </c>
      <c r="J166" s="10" t="n">
        <v>25306122.449</v>
      </c>
      <c r="K166" s="9">
        <f>E166+F166+G166</f>
        <v/>
      </c>
      <c r="L166" s="9">
        <f>H166+I166</f>
        <v/>
      </c>
      <c r="M166" s="9">
        <f>K166-L166</f>
        <v/>
      </c>
      <c r="N166" s="11">
        <f>IFERROR(M166/J166,0)</f>
        <v/>
      </c>
      <c r="O166" s="11">
        <f>IF((B166=B165),N165,"")</f>
        <v/>
      </c>
      <c r="P166" s="12">
        <f>IF(O166="","",IFERROR((N166-O166)/O166,""))</f>
        <v/>
      </c>
      <c r="Q166" s="13">
        <f>INDEX('Fund Master'!$F$2:$F$7,MATCH(B166,'Fund Master'!$A$2:$A$7,0))</f>
        <v/>
      </c>
      <c r="R166" s="9">
        <f>SUMIFS('Capital Activity'!$E$2:$E$385,'Capital Activity'!$A$2:$A$385,A166,'Capital Activity'!$B$2:$B$385,B166)</f>
        <v/>
      </c>
      <c r="S166" s="6">
        <f>IF(O166="","",IF(ABS(P166)*10000&gt;Q166,"NAV MOVE BREACH",""))</f>
        <v/>
      </c>
      <c r="T166" s="6">
        <f>IF(AND((B166=B165),D166&lt;&gt;"Money Market",E166=E165),"STALE PRICE","")</f>
        <v/>
      </c>
      <c r="U166" s="6">
        <f>IF(F166&lt;0,"NEGATIVE CASH","")</f>
        <v/>
      </c>
      <c r="V166" s="6">
        <f>IF(ABS(R166)&gt;0.05*M166,"LARGE FLOW","")</f>
        <v/>
      </c>
      <c r="W166" s="6">
        <f>(S166&lt;&gt;"")*1+(T166&lt;&gt;"")*1+(U166&lt;&gt;"")*1+(V166&lt;&gt;"")*1</f>
        <v/>
      </c>
      <c r="X166" s="6">
        <f>IF(S166&lt;&gt;"",S166,IF(T166&lt;&gt;"",T166,IF(U166&lt;&gt;"",U166,IF(V166&lt;&gt;"",V166,""))))</f>
        <v/>
      </c>
    </row>
    <row r="167">
      <c r="A167" s="6" t="inlineStr">
        <is>
          <t>2026-05-22</t>
        </is>
      </c>
      <c r="B167" s="6" t="inlineStr">
        <is>
          <t>EQGL</t>
        </is>
      </c>
      <c r="C167" s="6">
        <f>INDEX('Fund Master'!$B$2:$B$7,MATCH(B167,'Fund Master'!$A$2:$A$7,0))</f>
        <v/>
      </c>
      <c r="D167" s="6">
        <f>INDEX('Fund Master'!$C$2:$C$7,MATCH(B167,'Fund Master'!$A$2:$A$7,0))</f>
        <v/>
      </c>
      <c r="E167" s="8" t="n">
        <v>653069743.8</v>
      </c>
      <c r="F167" s="8" t="n">
        <v>15819984.35</v>
      </c>
      <c r="G167" s="8" t="n">
        <v>2122640.18</v>
      </c>
      <c r="H167" s="8" t="n">
        <v>3502275.09</v>
      </c>
      <c r="I167" s="8" t="n">
        <v>717802.86</v>
      </c>
      <c r="J167" s="10" t="n">
        <v>25306122.449</v>
      </c>
      <c r="K167" s="9">
        <f>E167+F167+G167</f>
        <v/>
      </c>
      <c r="L167" s="9">
        <f>H167+I167</f>
        <v/>
      </c>
      <c r="M167" s="9">
        <f>K167-L167</f>
        <v/>
      </c>
      <c r="N167" s="11">
        <f>IFERROR(M167/J167,0)</f>
        <v/>
      </c>
      <c r="O167" s="11">
        <f>IF((B167=B166),N166,"")</f>
        <v/>
      </c>
      <c r="P167" s="12">
        <f>IF(O167="","",IFERROR((N167-O167)/O167,""))</f>
        <v/>
      </c>
      <c r="Q167" s="13">
        <f>INDEX('Fund Master'!$F$2:$F$7,MATCH(B167,'Fund Master'!$A$2:$A$7,0))</f>
        <v/>
      </c>
      <c r="R167" s="9">
        <f>SUMIFS('Capital Activity'!$E$2:$E$385,'Capital Activity'!$A$2:$A$385,A167,'Capital Activity'!$B$2:$B$385,B167)</f>
        <v/>
      </c>
      <c r="S167" s="6">
        <f>IF(O167="","",IF(ABS(P167)*10000&gt;Q167,"NAV MOVE BREACH",""))</f>
        <v/>
      </c>
      <c r="T167" s="6">
        <f>IF(AND((B167=B166),D167&lt;&gt;"Money Market",E167=E166),"STALE PRICE","")</f>
        <v/>
      </c>
      <c r="U167" s="6">
        <f>IF(F167&lt;0,"NEGATIVE CASH","")</f>
        <v/>
      </c>
      <c r="V167" s="6">
        <f>IF(ABS(R167)&gt;0.05*M167,"LARGE FLOW","")</f>
        <v/>
      </c>
      <c r="W167" s="6">
        <f>(S167&lt;&gt;"")*1+(T167&lt;&gt;"")*1+(U167&lt;&gt;"")*1+(V167&lt;&gt;"")*1</f>
        <v/>
      </c>
      <c r="X167" s="6">
        <f>IF(S167&lt;&gt;"",S167,IF(T167&lt;&gt;"",T167,IF(U167&lt;&gt;"",U167,IF(V167&lt;&gt;"",V167,""))))</f>
        <v/>
      </c>
    </row>
    <row r="168">
      <c r="A168" s="6" t="inlineStr">
        <is>
          <t>2026-05-26</t>
        </is>
      </c>
      <c r="B168" s="6" t="inlineStr">
        <is>
          <t>EQGL</t>
        </is>
      </c>
      <c r="C168" s="6">
        <f>INDEX('Fund Master'!$B$2:$B$7,MATCH(B168,'Fund Master'!$A$2:$A$7,0))</f>
        <v/>
      </c>
      <c r="D168" s="6">
        <f>INDEX('Fund Master'!$C$2:$C$7,MATCH(B168,'Fund Master'!$A$2:$A$7,0))</f>
        <v/>
      </c>
      <c r="E168" s="8" t="n">
        <v>648061782.4299999</v>
      </c>
      <c r="F168" s="8" t="n">
        <v>15962924.12</v>
      </c>
      <c r="G168" s="8" t="n">
        <v>1992765.6</v>
      </c>
      <c r="H168" s="8" t="n">
        <v>3509085.3</v>
      </c>
      <c r="I168" s="8" t="n">
        <v>737090.41</v>
      </c>
      <c r="J168" s="10" t="n">
        <v>25306122.449</v>
      </c>
      <c r="K168" s="9">
        <f>E168+F168+G168</f>
        <v/>
      </c>
      <c r="L168" s="9">
        <f>H168+I168</f>
        <v/>
      </c>
      <c r="M168" s="9">
        <f>K168-L168</f>
        <v/>
      </c>
      <c r="N168" s="11">
        <f>IFERROR(M168/J168,0)</f>
        <v/>
      </c>
      <c r="O168" s="11">
        <f>IF((B168=B167),N167,"")</f>
        <v/>
      </c>
      <c r="P168" s="12">
        <f>IF(O168="","",IFERROR((N168-O168)/O168,""))</f>
        <v/>
      </c>
      <c r="Q168" s="13">
        <f>INDEX('Fund Master'!$F$2:$F$7,MATCH(B168,'Fund Master'!$A$2:$A$7,0))</f>
        <v/>
      </c>
      <c r="R168" s="9">
        <f>SUMIFS('Capital Activity'!$E$2:$E$385,'Capital Activity'!$A$2:$A$385,A168,'Capital Activity'!$B$2:$B$385,B168)</f>
        <v/>
      </c>
      <c r="S168" s="6">
        <f>IF(O168="","",IF(ABS(P168)*10000&gt;Q168,"NAV MOVE BREACH",""))</f>
        <v/>
      </c>
      <c r="T168" s="6">
        <f>IF(AND((B168=B167),D168&lt;&gt;"Money Market",E168=E167),"STALE PRICE","")</f>
        <v/>
      </c>
      <c r="U168" s="6">
        <f>IF(F168&lt;0,"NEGATIVE CASH","")</f>
        <v/>
      </c>
      <c r="V168" s="6">
        <f>IF(ABS(R168)&gt;0.05*M168,"LARGE FLOW","")</f>
        <v/>
      </c>
      <c r="W168" s="6">
        <f>(S168&lt;&gt;"")*1+(T168&lt;&gt;"")*1+(U168&lt;&gt;"")*1+(V168&lt;&gt;"")*1</f>
        <v/>
      </c>
      <c r="X168" s="6">
        <f>IF(S168&lt;&gt;"",S168,IF(T168&lt;&gt;"",T168,IF(U168&lt;&gt;"",U168,IF(V168&lt;&gt;"",V168,""))))</f>
        <v/>
      </c>
    </row>
    <row r="169">
      <c r="A169" s="6" t="inlineStr">
        <is>
          <t>2026-05-27</t>
        </is>
      </c>
      <c r="B169" s="6" t="inlineStr">
        <is>
          <t>EQGL</t>
        </is>
      </c>
      <c r="C169" s="6">
        <f>INDEX('Fund Master'!$B$2:$B$7,MATCH(B169,'Fund Master'!$A$2:$A$7,0))</f>
        <v/>
      </c>
      <c r="D169" s="6">
        <f>INDEX('Fund Master'!$C$2:$C$7,MATCH(B169,'Fund Master'!$A$2:$A$7,0))</f>
        <v/>
      </c>
      <c r="E169" s="8" t="n">
        <v>663474885.3</v>
      </c>
      <c r="F169" s="8" t="n">
        <v>16594930.1</v>
      </c>
      <c r="G169" s="8" t="n">
        <v>1990424.66</v>
      </c>
      <c r="H169" s="8" t="n">
        <v>3622233.09</v>
      </c>
      <c r="I169" s="8" t="n">
        <v>756836.6899999999</v>
      </c>
      <c r="J169" s="10" t="n">
        <v>25306122.449</v>
      </c>
      <c r="K169" s="9">
        <f>E169+F169+G169</f>
        <v/>
      </c>
      <c r="L169" s="9">
        <f>H169+I169</f>
        <v/>
      </c>
      <c r="M169" s="9">
        <f>K169-L169</f>
        <v/>
      </c>
      <c r="N169" s="11">
        <f>IFERROR(M169/J169,0)</f>
        <v/>
      </c>
      <c r="O169" s="11">
        <f>IF((B169=B168),N168,"")</f>
        <v/>
      </c>
      <c r="P169" s="12">
        <f>IF(O169="","",IFERROR((N169-O169)/O169,""))</f>
        <v/>
      </c>
      <c r="Q169" s="13">
        <f>INDEX('Fund Master'!$F$2:$F$7,MATCH(B169,'Fund Master'!$A$2:$A$7,0))</f>
        <v/>
      </c>
      <c r="R169" s="9">
        <f>SUMIFS('Capital Activity'!$E$2:$E$385,'Capital Activity'!$A$2:$A$385,A169,'Capital Activity'!$B$2:$B$385,B169)</f>
        <v/>
      </c>
      <c r="S169" s="6">
        <f>IF(O169="","",IF(ABS(P169)*10000&gt;Q169,"NAV MOVE BREACH",""))</f>
        <v/>
      </c>
      <c r="T169" s="6">
        <f>IF(AND((B169=B168),D169&lt;&gt;"Money Market",E169=E168),"STALE PRICE","")</f>
        <v/>
      </c>
      <c r="U169" s="6">
        <f>IF(F169&lt;0,"NEGATIVE CASH","")</f>
        <v/>
      </c>
      <c r="V169" s="6">
        <f>IF(ABS(R169)&gt;0.05*M169,"LARGE FLOW","")</f>
        <v/>
      </c>
      <c r="W169" s="6">
        <f>(S169&lt;&gt;"")*1+(T169&lt;&gt;"")*1+(U169&lt;&gt;"")*1+(V169&lt;&gt;"")*1</f>
        <v/>
      </c>
      <c r="X169" s="6">
        <f>IF(S169&lt;&gt;"",S169,IF(T169&lt;&gt;"",T169,IF(U169&lt;&gt;"",U169,IF(V169&lt;&gt;"",V169,""))))</f>
        <v/>
      </c>
    </row>
    <row r="170">
      <c r="A170" s="6" t="inlineStr">
        <is>
          <t>2026-05-28</t>
        </is>
      </c>
      <c r="B170" s="6" t="inlineStr">
        <is>
          <t>EQGL</t>
        </is>
      </c>
      <c r="C170" s="6">
        <f>INDEX('Fund Master'!$B$2:$B$7,MATCH(B170,'Fund Master'!$A$2:$A$7,0))</f>
        <v/>
      </c>
      <c r="D170" s="6">
        <f>INDEX('Fund Master'!$C$2:$C$7,MATCH(B170,'Fund Master'!$A$2:$A$7,0))</f>
        <v/>
      </c>
      <c r="E170" s="8" t="n">
        <v>657823586.61</v>
      </c>
      <c r="F170" s="8" t="n">
        <v>16408293.19</v>
      </c>
      <c r="G170" s="8" t="n">
        <v>2053196.97</v>
      </c>
      <c r="H170" s="8" t="n">
        <v>3728063.3</v>
      </c>
      <c r="I170" s="8" t="n">
        <v>776414.77</v>
      </c>
      <c r="J170" s="10" t="n">
        <v>25306122.449</v>
      </c>
      <c r="K170" s="9">
        <f>E170+F170+G170</f>
        <v/>
      </c>
      <c r="L170" s="9">
        <f>H170+I170</f>
        <v/>
      </c>
      <c r="M170" s="9">
        <f>K170-L170</f>
        <v/>
      </c>
      <c r="N170" s="11">
        <f>IFERROR(M170/J170,0)</f>
        <v/>
      </c>
      <c r="O170" s="11">
        <f>IF((B170=B169),N169,"")</f>
        <v/>
      </c>
      <c r="P170" s="12">
        <f>IF(O170="","",IFERROR((N170-O170)/O170,""))</f>
        <v/>
      </c>
      <c r="Q170" s="13">
        <f>INDEX('Fund Master'!$F$2:$F$7,MATCH(B170,'Fund Master'!$A$2:$A$7,0))</f>
        <v/>
      </c>
      <c r="R170" s="9">
        <f>SUMIFS('Capital Activity'!$E$2:$E$385,'Capital Activity'!$A$2:$A$385,A170,'Capital Activity'!$B$2:$B$385,B170)</f>
        <v/>
      </c>
      <c r="S170" s="6">
        <f>IF(O170="","",IF(ABS(P170)*10000&gt;Q170,"NAV MOVE BREACH",""))</f>
        <v/>
      </c>
      <c r="T170" s="6">
        <f>IF(AND((B170=B169),D170&lt;&gt;"Money Market",E170=E169),"STALE PRICE","")</f>
        <v/>
      </c>
      <c r="U170" s="6">
        <f>IF(F170&lt;0,"NEGATIVE CASH","")</f>
        <v/>
      </c>
      <c r="V170" s="6">
        <f>IF(ABS(R170)&gt;0.05*M170,"LARGE FLOW","")</f>
        <v/>
      </c>
      <c r="W170" s="6">
        <f>(S170&lt;&gt;"")*1+(T170&lt;&gt;"")*1+(U170&lt;&gt;"")*1+(V170&lt;&gt;"")*1</f>
        <v/>
      </c>
      <c r="X170" s="6">
        <f>IF(S170&lt;&gt;"",S170,IF(T170&lt;&gt;"",T170,IF(U170&lt;&gt;"",U170,IF(V170&lt;&gt;"",V170,""))))</f>
        <v/>
      </c>
    </row>
    <row r="171">
      <c r="A171" s="6" t="inlineStr">
        <is>
          <t>2026-05-29</t>
        </is>
      </c>
      <c r="B171" s="6" t="inlineStr">
        <is>
          <t>EQGL</t>
        </is>
      </c>
      <c r="C171" s="6">
        <f>INDEX('Fund Master'!$B$2:$B$7,MATCH(B171,'Fund Master'!$A$2:$A$7,0))</f>
        <v/>
      </c>
      <c r="D171" s="6">
        <f>INDEX('Fund Master'!$C$2:$C$7,MATCH(B171,'Fund Master'!$A$2:$A$7,0))</f>
        <v/>
      </c>
      <c r="E171" s="8" t="n">
        <v>654518418.8200001</v>
      </c>
      <c r="F171" s="8" t="n">
        <v>16069281.78</v>
      </c>
      <c r="G171" s="8" t="n">
        <v>2320206.25</v>
      </c>
      <c r="H171" s="8" t="n">
        <v>3772948.34</v>
      </c>
      <c r="I171" s="8" t="n">
        <v>795894.49</v>
      </c>
      <c r="J171" s="10" t="n">
        <v>25306122.449</v>
      </c>
      <c r="K171" s="9">
        <f>E171+F171+G171</f>
        <v/>
      </c>
      <c r="L171" s="9">
        <f>H171+I171</f>
        <v/>
      </c>
      <c r="M171" s="9">
        <f>K171-L171</f>
        <v/>
      </c>
      <c r="N171" s="11">
        <f>IFERROR(M171/J171,0)</f>
        <v/>
      </c>
      <c r="O171" s="11">
        <f>IF((B171=B170),N170,"")</f>
        <v/>
      </c>
      <c r="P171" s="12">
        <f>IF(O171="","",IFERROR((N171-O171)/O171,""))</f>
        <v/>
      </c>
      <c r="Q171" s="13">
        <f>INDEX('Fund Master'!$F$2:$F$7,MATCH(B171,'Fund Master'!$A$2:$A$7,0))</f>
        <v/>
      </c>
      <c r="R171" s="9">
        <f>SUMIFS('Capital Activity'!$E$2:$E$385,'Capital Activity'!$A$2:$A$385,A171,'Capital Activity'!$B$2:$B$385,B171)</f>
        <v/>
      </c>
      <c r="S171" s="6">
        <f>IF(O171="","",IF(ABS(P171)*10000&gt;Q171,"NAV MOVE BREACH",""))</f>
        <v/>
      </c>
      <c r="T171" s="6">
        <f>IF(AND((B171=B170),D171&lt;&gt;"Money Market",E171=E170),"STALE PRICE","")</f>
        <v/>
      </c>
      <c r="U171" s="6">
        <f>IF(F171&lt;0,"NEGATIVE CASH","")</f>
        <v/>
      </c>
      <c r="V171" s="6">
        <f>IF(ABS(R171)&gt;0.05*M171,"LARGE FLOW","")</f>
        <v/>
      </c>
      <c r="W171" s="6">
        <f>(S171&lt;&gt;"")*1+(T171&lt;&gt;"")*1+(U171&lt;&gt;"")*1+(V171&lt;&gt;"")*1</f>
        <v/>
      </c>
      <c r="X171" s="6">
        <f>IF(S171&lt;&gt;"",S171,IF(T171&lt;&gt;"",T171,IF(U171&lt;&gt;"",U171,IF(V171&lt;&gt;"",V171,""))))</f>
        <v/>
      </c>
    </row>
    <row r="172">
      <c r="A172" s="6" t="inlineStr">
        <is>
          <t>2026-06-01</t>
        </is>
      </c>
      <c r="B172" s="6" t="inlineStr">
        <is>
          <t>EQGL</t>
        </is>
      </c>
      <c r="C172" s="6">
        <f>INDEX('Fund Master'!$B$2:$B$7,MATCH(B172,'Fund Master'!$A$2:$A$7,0))</f>
        <v/>
      </c>
      <c r="D172" s="6">
        <f>INDEX('Fund Master'!$C$2:$C$7,MATCH(B172,'Fund Master'!$A$2:$A$7,0))</f>
        <v/>
      </c>
      <c r="E172" s="8" t="n">
        <v>669928216.01</v>
      </c>
      <c r="F172" s="8" t="n">
        <v>16862618.99</v>
      </c>
      <c r="G172" s="8" t="n">
        <v>2130544.01</v>
      </c>
      <c r="H172" s="8" t="n">
        <v>3783921.08</v>
      </c>
      <c r="I172" s="8" t="n">
        <v>815832.83</v>
      </c>
      <c r="J172" s="10" t="n">
        <v>25306122.449</v>
      </c>
      <c r="K172" s="9">
        <f>E172+F172+G172</f>
        <v/>
      </c>
      <c r="L172" s="9">
        <f>H172+I172</f>
        <v/>
      </c>
      <c r="M172" s="9">
        <f>K172-L172</f>
        <v/>
      </c>
      <c r="N172" s="11">
        <f>IFERROR(M172/J172,0)</f>
        <v/>
      </c>
      <c r="O172" s="11">
        <f>IF((B172=B171),N171,"")</f>
        <v/>
      </c>
      <c r="P172" s="12">
        <f>IF(O172="","",IFERROR((N172-O172)/O172,""))</f>
        <v/>
      </c>
      <c r="Q172" s="13">
        <f>INDEX('Fund Master'!$F$2:$F$7,MATCH(B172,'Fund Master'!$A$2:$A$7,0))</f>
        <v/>
      </c>
      <c r="R172" s="9">
        <f>SUMIFS('Capital Activity'!$E$2:$E$385,'Capital Activity'!$A$2:$A$385,A172,'Capital Activity'!$B$2:$B$385,B172)</f>
        <v/>
      </c>
      <c r="S172" s="6">
        <f>IF(O172="","",IF(ABS(P172)*10000&gt;Q172,"NAV MOVE BREACH",""))</f>
        <v/>
      </c>
      <c r="T172" s="6">
        <f>IF(AND((B172=B171),D172&lt;&gt;"Money Market",E172=E171),"STALE PRICE","")</f>
        <v/>
      </c>
      <c r="U172" s="6">
        <f>IF(F172&lt;0,"NEGATIVE CASH","")</f>
        <v/>
      </c>
      <c r="V172" s="6">
        <f>IF(ABS(R172)&gt;0.05*M172,"LARGE FLOW","")</f>
        <v/>
      </c>
      <c r="W172" s="6">
        <f>(S172&lt;&gt;"")*1+(T172&lt;&gt;"")*1+(U172&lt;&gt;"")*1+(V172&lt;&gt;"")*1</f>
        <v/>
      </c>
      <c r="X172" s="6">
        <f>IF(S172&lt;&gt;"",S172,IF(T172&lt;&gt;"",T172,IF(U172&lt;&gt;"",U172,IF(V172&lt;&gt;"",V172,""))))</f>
        <v/>
      </c>
    </row>
    <row r="173">
      <c r="A173" s="6" t="inlineStr">
        <is>
          <t>2026-06-02</t>
        </is>
      </c>
      <c r="B173" s="6" t="inlineStr">
        <is>
          <t>EQGL</t>
        </is>
      </c>
      <c r="C173" s="6">
        <f>INDEX('Fund Master'!$B$2:$B$7,MATCH(B173,'Fund Master'!$A$2:$A$7,0))</f>
        <v/>
      </c>
      <c r="D173" s="6">
        <f>INDEX('Fund Master'!$C$2:$C$7,MATCH(B173,'Fund Master'!$A$2:$A$7,0))</f>
        <v/>
      </c>
      <c r="E173" s="8" t="n">
        <v>673332800.38</v>
      </c>
      <c r="F173" s="8" t="n">
        <v>17261266.96</v>
      </c>
      <c r="G173" s="8" t="n">
        <v>2019998.4</v>
      </c>
      <c r="H173" s="8" t="n">
        <v>3793531.72</v>
      </c>
      <c r="I173" s="8" t="n">
        <v>835872.49</v>
      </c>
      <c r="J173" s="10" t="n">
        <v>25306122.449</v>
      </c>
      <c r="K173" s="9">
        <f>E173+F173+G173</f>
        <v/>
      </c>
      <c r="L173" s="9">
        <f>H173+I173</f>
        <v/>
      </c>
      <c r="M173" s="9">
        <f>K173-L173</f>
        <v/>
      </c>
      <c r="N173" s="11">
        <f>IFERROR(M173/J173,0)</f>
        <v/>
      </c>
      <c r="O173" s="11">
        <f>IF((B173=B172),N172,"")</f>
        <v/>
      </c>
      <c r="P173" s="12">
        <f>IF(O173="","",IFERROR((N173-O173)/O173,""))</f>
        <v/>
      </c>
      <c r="Q173" s="13">
        <f>INDEX('Fund Master'!$F$2:$F$7,MATCH(B173,'Fund Master'!$A$2:$A$7,0))</f>
        <v/>
      </c>
      <c r="R173" s="9">
        <f>SUMIFS('Capital Activity'!$E$2:$E$385,'Capital Activity'!$A$2:$A$385,A173,'Capital Activity'!$B$2:$B$385,B173)</f>
        <v/>
      </c>
      <c r="S173" s="6">
        <f>IF(O173="","",IF(ABS(P173)*10000&gt;Q173,"NAV MOVE BREACH",""))</f>
        <v/>
      </c>
      <c r="T173" s="6">
        <f>IF(AND((B173=B172),D173&lt;&gt;"Money Market",E173=E172),"STALE PRICE","")</f>
        <v/>
      </c>
      <c r="U173" s="6">
        <f>IF(F173&lt;0,"NEGATIVE CASH","")</f>
        <v/>
      </c>
      <c r="V173" s="6">
        <f>IF(ABS(R173)&gt;0.05*M173,"LARGE FLOW","")</f>
        <v/>
      </c>
      <c r="W173" s="6">
        <f>(S173&lt;&gt;"")*1+(T173&lt;&gt;"")*1+(U173&lt;&gt;"")*1+(V173&lt;&gt;"")*1</f>
        <v/>
      </c>
      <c r="X173" s="6">
        <f>IF(S173&lt;&gt;"",S173,IF(T173&lt;&gt;"",T173,IF(U173&lt;&gt;"",U173,IF(V173&lt;&gt;"",V173,""))))</f>
        <v/>
      </c>
    </row>
    <row r="174">
      <c r="A174" s="6" t="inlineStr">
        <is>
          <t>2026-06-03</t>
        </is>
      </c>
      <c r="B174" s="6" t="inlineStr">
        <is>
          <t>EQGL</t>
        </is>
      </c>
      <c r="C174" s="6">
        <f>INDEX('Fund Master'!$B$2:$B$7,MATCH(B174,'Fund Master'!$A$2:$A$7,0))</f>
        <v/>
      </c>
      <c r="D174" s="6">
        <f>INDEX('Fund Master'!$C$2:$C$7,MATCH(B174,'Fund Master'!$A$2:$A$7,0))</f>
        <v/>
      </c>
      <c r="E174" s="8" t="n">
        <v>671596780.3200001</v>
      </c>
      <c r="F174" s="8" t="n">
        <v>16713958.8</v>
      </c>
      <c r="G174" s="8" t="n">
        <v>2277907.66</v>
      </c>
      <c r="H174" s="8" t="n">
        <v>3553236.25</v>
      </c>
      <c r="I174" s="8" t="n">
        <v>855860.49</v>
      </c>
      <c r="J174" s="10" t="n">
        <v>25306122.449</v>
      </c>
      <c r="K174" s="9">
        <f>E174+F174+G174</f>
        <v/>
      </c>
      <c r="L174" s="9">
        <f>H174+I174</f>
        <v/>
      </c>
      <c r="M174" s="9">
        <f>K174-L174</f>
        <v/>
      </c>
      <c r="N174" s="11">
        <f>IFERROR(M174/J174,0)</f>
        <v/>
      </c>
      <c r="O174" s="11">
        <f>IF((B174=B173),N173,"")</f>
        <v/>
      </c>
      <c r="P174" s="12">
        <f>IF(O174="","",IFERROR((N174-O174)/O174,""))</f>
        <v/>
      </c>
      <c r="Q174" s="13">
        <f>INDEX('Fund Master'!$F$2:$F$7,MATCH(B174,'Fund Master'!$A$2:$A$7,0))</f>
        <v/>
      </c>
      <c r="R174" s="9">
        <f>SUMIFS('Capital Activity'!$E$2:$E$385,'Capital Activity'!$A$2:$A$385,A174,'Capital Activity'!$B$2:$B$385,B174)</f>
        <v/>
      </c>
      <c r="S174" s="6">
        <f>IF(O174="","",IF(ABS(P174)*10000&gt;Q174,"NAV MOVE BREACH",""))</f>
        <v/>
      </c>
      <c r="T174" s="6">
        <f>IF(AND((B174=B173),D174&lt;&gt;"Money Market",E174=E173),"STALE PRICE","")</f>
        <v/>
      </c>
      <c r="U174" s="6">
        <f>IF(F174&lt;0,"NEGATIVE CASH","")</f>
        <v/>
      </c>
      <c r="V174" s="6">
        <f>IF(ABS(R174)&gt;0.05*M174,"LARGE FLOW","")</f>
        <v/>
      </c>
      <c r="W174" s="6">
        <f>(S174&lt;&gt;"")*1+(T174&lt;&gt;"")*1+(U174&lt;&gt;"")*1+(V174&lt;&gt;"")*1</f>
        <v/>
      </c>
      <c r="X174" s="6">
        <f>IF(S174&lt;&gt;"",S174,IF(T174&lt;&gt;"",T174,IF(U174&lt;&gt;"",U174,IF(V174&lt;&gt;"",V174,""))))</f>
        <v/>
      </c>
    </row>
    <row r="175">
      <c r="A175" s="6" t="inlineStr">
        <is>
          <t>2026-06-04</t>
        </is>
      </c>
      <c r="B175" s="6" t="inlineStr">
        <is>
          <t>EQGL</t>
        </is>
      </c>
      <c r="C175" s="6">
        <f>INDEX('Fund Master'!$B$2:$B$7,MATCH(B175,'Fund Master'!$A$2:$A$7,0))</f>
        <v/>
      </c>
      <c r="D175" s="6">
        <f>INDEX('Fund Master'!$C$2:$C$7,MATCH(B175,'Fund Master'!$A$2:$A$7,0))</f>
        <v/>
      </c>
      <c r="E175" s="8" t="n">
        <v>682378599.1799999</v>
      </c>
      <c r="F175" s="8" t="n">
        <v>16394403.84</v>
      </c>
      <c r="G175" s="8" t="n">
        <v>2504969.54</v>
      </c>
      <c r="H175" s="8" t="n">
        <v>3611955.8</v>
      </c>
      <c r="I175" s="8" t="n">
        <v>876169.38</v>
      </c>
      <c r="J175" s="10" t="n">
        <v>25306122.449</v>
      </c>
      <c r="K175" s="9">
        <f>E175+F175+G175</f>
        <v/>
      </c>
      <c r="L175" s="9">
        <f>H175+I175</f>
        <v/>
      </c>
      <c r="M175" s="9">
        <f>K175-L175</f>
        <v/>
      </c>
      <c r="N175" s="11">
        <f>IFERROR(M175/J175,0)</f>
        <v/>
      </c>
      <c r="O175" s="11">
        <f>IF((B175=B174),N174,"")</f>
        <v/>
      </c>
      <c r="P175" s="12">
        <f>IF(O175="","",IFERROR((N175-O175)/O175,""))</f>
        <v/>
      </c>
      <c r="Q175" s="13">
        <f>INDEX('Fund Master'!$F$2:$F$7,MATCH(B175,'Fund Master'!$A$2:$A$7,0))</f>
        <v/>
      </c>
      <c r="R175" s="9">
        <f>SUMIFS('Capital Activity'!$E$2:$E$385,'Capital Activity'!$A$2:$A$385,A175,'Capital Activity'!$B$2:$B$385,B175)</f>
        <v/>
      </c>
      <c r="S175" s="6">
        <f>IF(O175="","",IF(ABS(P175)*10000&gt;Q175,"NAV MOVE BREACH",""))</f>
        <v/>
      </c>
      <c r="T175" s="6">
        <f>IF(AND((B175=B174),D175&lt;&gt;"Money Market",E175=E174),"STALE PRICE","")</f>
        <v/>
      </c>
      <c r="U175" s="6">
        <f>IF(F175&lt;0,"NEGATIVE CASH","")</f>
        <v/>
      </c>
      <c r="V175" s="6">
        <f>IF(ABS(R175)&gt;0.05*M175,"LARGE FLOW","")</f>
        <v/>
      </c>
      <c r="W175" s="6">
        <f>(S175&lt;&gt;"")*1+(T175&lt;&gt;"")*1+(U175&lt;&gt;"")*1+(V175&lt;&gt;"")*1</f>
        <v/>
      </c>
      <c r="X175" s="6">
        <f>IF(S175&lt;&gt;"",S175,IF(T175&lt;&gt;"",T175,IF(U175&lt;&gt;"",U175,IF(V175&lt;&gt;"",V175,""))))</f>
        <v/>
      </c>
    </row>
    <row r="176">
      <c r="A176" s="6" t="inlineStr">
        <is>
          <t>2026-06-05</t>
        </is>
      </c>
      <c r="B176" s="6" t="inlineStr">
        <is>
          <t>EQGL</t>
        </is>
      </c>
      <c r="C176" s="6">
        <f>INDEX('Fund Master'!$B$2:$B$7,MATCH(B176,'Fund Master'!$A$2:$A$7,0))</f>
        <v/>
      </c>
      <c r="D176" s="6">
        <f>INDEX('Fund Master'!$C$2:$C$7,MATCH(B176,'Fund Master'!$A$2:$A$7,0))</f>
        <v/>
      </c>
      <c r="E176" s="8" t="n">
        <v>684009249.74</v>
      </c>
      <c r="F176" s="8" t="n">
        <v>16187248.49</v>
      </c>
      <c r="G176" s="8" t="n">
        <v>2522414.42</v>
      </c>
      <c r="H176" s="8" t="n">
        <v>3557333.2</v>
      </c>
      <c r="I176" s="8" t="n">
        <v>896526.8</v>
      </c>
      <c r="J176" s="10" t="n">
        <v>25306122.449</v>
      </c>
      <c r="K176" s="9">
        <f>E176+F176+G176</f>
        <v/>
      </c>
      <c r="L176" s="9">
        <f>H176+I176</f>
        <v/>
      </c>
      <c r="M176" s="9">
        <f>K176-L176</f>
        <v/>
      </c>
      <c r="N176" s="11">
        <f>IFERROR(M176/J176,0)</f>
        <v/>
      </c>
      <c r="O176" s="11">
        <f>IF((B176=B175),N175,"")</f>
        <v/>
      </c>
      <c r="P176" s="12">
        <f>IF(O176="","",IFERROR((N176-O176)/O176,""))</f>
        <v/>
      </c>
      <c r="Q176" s="13">
        <f>INDEX('Fund Master'!$F$2:$F$7,MATCH(B176,'Fund Master'!$A$2:$A$7,0))</f>
        <v/>
      </c>
      <c r="R176" s="9">
        <f>SUMIFS('Capital Activity'!$E$2:$E$385,'Capital Activity'!$A$2:$A$385,A176,'Capital Activity'!$B$2:$B$385,B176)</f>
        <v/>
      </c>
      <c r="S176" s="6">
        <f>IF(O176="","",IF(ABS(P176)*10000&gt;Q176,"NAV MOVE BREACH",""))</f>
        <v/>
      </c>
      <c r="T176" s="6">
        <f>IF(AND((B176=B175),D176&lt;&gt;"Money Market",E176=E175),"STALE PRICE","")</f>
        <v/>
      </c>
      <c r="U176" s="6">
        <f>IF(F176&lt;0,"NEGATIVE CASH","")</f>
        <v/>
      </c>
      <c r="V176" s="6">
        <f>IF(ABS(R176)&gt;0.05*M176,"LARGE FLOW","")</f>
        <v/>
      </c>
      <c r="W176" s="6">
        <f>(S176&lt;&gt;"")*1+(T176&lt;&gt;"")*1+(U176&lt;&gt;"")*1+(V176&lt;&gt;"")*1</f>
        <v/>
      </c>
      <c r="X176" s="6">
        <f>IF(S176&lt;&gt;"",S176,IF(T176&lt;&gt;"",T176,IF(U176&lt;&gt;"",U176,IF(V176&lt;&gt;"",V176,""))))</f>
        <v/>
      </c>
    </row>
    <row r="177">
      <c r="A177" s="6" t="inlineStr">
        <is>
          <t>2026-06-08</t>
        </is>
      </c>
      <c r="B177" s="6" t="inlineStr">
        <is>
          <t>EQGL</t>
        </is>
      </c>
      <c r="C177" s="6">
        <f>INDEX('Fund Master'!$B$2:$B$7,MATCH(B177,'Fund Master'!$A$2:$A$7,0))</f>
        <v/>
      </c>
      <c r="D177" s="6">
        <f>INDEX('Fund Master'!$C$2:$C$7,MATCH(B177,'Fund Master'!$A$2:$A$7,0))</f>
        <v/>
      </c>
      <c r="E177" s="8" t="n">
        <v>696079403.48</v>
      </c>
      <c r="F177" s="8" t="n">
        <v>15955920.95</v>
      </c>
      <c r="G177" s="8" t="n">
        <v>2923267.96</v>
      </c>
      <c r="H177" s="8" t="n">
        <v>3293992.62</v>
      </c>
      <c r="I177" s="8" t="n">
        <v>917243.45</v>
      </c>
      <c r="J177" s="10" t="n">
        <v>25306122.449</v>
      </c>
      <c r="K177" s="9">
        <f>E177+F177+G177</f>
        <v/>
      </c>
      <c r="L177" s="9">
        <f>H177+I177</f>
        <v/>
      </c>
      <c r="M177" s="9">
        <f>K177-L177</f>
        <v/>
      </c>
      <c r="N177" s="11">
        <f>IFERROR(M177/J177,0)</f>
        <v/>
      </c>
      <c r="O177" s="11">
        <f>IF((B177=B176),N176,"")</f>
        <v/>
      </c>
      <c r="P177" s="12">
        <f>IF(O177="","",IFERROR((N177-O177)/O177,""))</f>
        <v/>
      </c>
      <c r="Q177" s="13">
        <f>INDEX('Fund Master'!$F$2:$F$7,MATCH(B177,'Fund Master'!$A$2:$A$7,0))</f>
        <v/>
      </c>
      <c r="R177" s="9">
        <f>SUMIFS('Capital Activity'!$E$2:$E$385,'Capital Activity'!$A$2:$A$385,A177,'Capital Activity'!$B$2:$B$385,B177)</f>
        <v/>
      </c>
      <c r="S177" s="6">
        <f>IF(O177="","",IF(ABS(P177)*10000&gt;Q177,"NAV MOVE BREACH",""))</f>
        <v/>
      </c>
      <c r="T177" s="6">
        <f>IF(AND((B177=B176),D177&lt;&gt;"Money Market",E177=E176),"STALE PRICE","")</f>
        <v/>
      </c>
      <c r="U177" s="6">
        <f>IF(F177&lt;0,"NEGATIVE CASH","")</f>
        <v/>
      </c>
      <c r="V177" s="6">
        <f>IF(ABS(R177)&gt;0.05*M177,"LARGE FLOW","")</f>
        <v/>
      </c>
      <c r="W177" s="6">
        <f>(S177&lt;&gt;"")*1+(T177&lt;&gt;"")*1+(U177&lt;&gt;"")*1+(V177&lt;&gt;"")*1</f>
        <v/>
      </c>
      <c r="X177" s="6">
        <f>IF(S177&lt;&gt;"",S177,IF(T177&lt;&gt;"",T177,IF(U177&lt;&gt;"",U177,IF(V177&lt;&gt;"",V177,""))))</f>
        <v/>
      </c>
    </row>
    <row r="178">
      <c r="A178" s="6" t="inlineStr">
        <is>
          <t>2026-06-09</t>
        </is>
      </c>
      <c r="B178" s="6" t="inlineStr">
        <is>
          <t>EQGL</t>
        </is>
      </c>
      <c r="C178" s="6">
        <f>INDEX('Fund Master'!$B$2:$B$7,MATCH(B178,'Fund Master'!$A$2:$A$7,0))</f>
        <v/>
      </c>
      <c r="D178" s="6">
        <f>INDEX('Fund Master'!$C$2:$C$7,MATCH(B178,'Fund Master'!$A$2:$A$7,0))</f>
        <v/>
      </c>
      <c r="E178" s="8" t="n">
        <v>698370138.53</v>
      </c>
      <c r="F178" s="8" t="n">
        <v>15747505.61</v>
      </c>
      <c r="G178" s="8" t="n">
        <v>2898005.04</v>
      </c>
      <c r="H178" s="8" t="n">
        <v>3222201.54</v>
      </c>
      <c r="I178" s="8" t="n">
        <v>938028.27</v>
      </c>
      <c r="J178" s="10" t="n">
        <v>25306122.449</v>
      </c>
      <c r="K178" s="9">
        <f>E178+F178+G178</f>
        <v/>
      </c>
      <c r="L178" s="9">
        <f>H178+I178</f>
        <v/>
      </c>
      <c r="M178" s="9">
        <f>K178-L178</f>
        <v/>
      </c>
      <c r="N178" s="11">
        <f>IFERROR(M178/J178,0)</f>
        <v/>
      </c>
      <c r="O178" s="11">
        <f>IF((B178=B177),N177,"")</f>
        <v/>
      </c>
      <c r="P178" s="12">
        <f>IF(O178="","",IFERROR((N178-O178)/O178,""))</f>
        <v/>
      </c>
      <c r="Q178" s="13">
        <f>INDEX('Fund Master'!$F$2:$F$7,MATCH(B178,'Fund Master'!$A$2:$A$7,0))</f>
        <v/>
      </c>
      <c r="R178" s="9">
        <f>SUMIFS('Capital Activity'!$E$2:$E$385,'Capital Activity'!$A$2:$A$385,A178,'Capital Activity'!$B$2:$B$385,B178)</f>
        <v/>
      </c>
      <c r="S178" s="6">
        <f>IF(O178="","",IF(ABS(P178)*10000&gt;Q178,"NAV MOVE BREACH",""))</f>
        <v/>
      </c>
      <c r="T178" s="6">
        <f>IF(AND((B178=B177),D178&lt;&gt;"Money Market",E178=E177),"STALE PRICE","")</f>
        <v/>
      </c>
      <c r="U178" s="6">
        <f>IF(F178&lt;0,"NEGATIVE CASH","")</f>
        <v/>
      </c>
      <c r="V178" s="6">
        <f>IF(ABS(R178)&gt;0.05*M178,"LARGE FLOW","")</f>
        <v/>
      </c>
      <c r="W178" s="6">
        <f>(S178&lt;&gt;"")*1+(T178&lt;&gt;"")*1+(U178&lt;&gt;"")*1+(V178&lt;&gt;"")*1</f>
        <v/>
      </c>
      <c r="X178" s="6">
        <f>IF(S178&lt;&gt;"",S178,IF(T178&lt;&gt;"",T178,IF(U178&lt;&gt;"",U178,IF(V178&lt;&gt;"",V178,""))))</f>
        <v/>
      </c>
    </row>
    <row r="179">
      <c r="A179" s="6" t="inlineStr">
        <is>
          <t>2026-06-10</t>
        </is>
      </c>
      <c r="B179" s="6" t="inlineStr">
        <is>
          <t>EQGL</t>
        </is>
      </c>
      <c r="C179" s="6">
        <f>INDEX('Fund Master'!$B$2:$B$7,MATCH(B179,'Fund Master'!$A$2:$A$7,0))</f>
        <v/>
      </c>
      <c r="D179" s="6">
        <f>INDEX('Fund Master'!$C$2:$C$7,MATCH(B179,'Fund Master'!$A$2:$A$7,0))</f>
        <v/>
      </c>
      <c r="E179" s="8" t="n">
        <v>701252431.0599999</v>
      </c>
      <c r="F179" s="8" t="n">
        <v>15520955.53</v>
      </c>
      <c r="G179" s="8" t="n">
        <v>3061368.79</v>
      </c>
      <c r="H179" s="8" t="n">
        <v>3287218.8</v>
      </c>
      <c r="I179" s="8" t="n">
        <v>958898.88</v>
      </c>
      <c r="J179" s="10" t="n">
        <v>25306122.449</v>
      </c>
      <c r="K179" s="9">
        <f>E179+F179+G179</f>
        <v/>
      </c>
      <c r="L179" s="9">
        <f>H179+I179</f>
        <v/>
      </c>
      <c r="M179" s="9">
        <f>K179-L179</f>
        <v/>
      </c>
      <c r="N179" s="11">
        <f>IFERROR(M179/J179,0)</f>
        <v/>
      </c>
      <c r="O179" s="11">
        <f>IF((B179=B178),N178,"")</f>
        <v/>
      </c>
      <c r="P179" s="12">
        <f>IF(O179="","",IFERROR((N179-O179)/O179,""))</f>
        <v/>
      </c>
      <c r="Q179" s="13">
        <f>INDEX('Fund Master'!$F$2:$F$7,MATCH(B179,'Fund Master'!$A$2:$A$7,0))</f>
        <v/>
      </c>
      <c r="R179" s="9">
        <f>SUMIFS('Capital Activity'!$E$2:$E$385,'Capital Activity'!$A$2:$A$385,A179,'Capital Activity'!$B$2:$B$385,B179)</f>
        <v/>
      </c>
      <c r="S179" s="6">
        <f>IF(O179="","",IF(ABS(P179)*10000&gt;Q179,"NAV MOVE BREACH",""))</f>
        <v/>
      </c>
      <c r="T179" s="6">
        <f>IF(AND((B179=B178),D179&lt;&gt;"Money Market",E179=E178),"STALE PRICE","")</f>
        <v/>
      </c>
      <c r="U179" s="6">
        <f>IF(F179&lt;0,"NEGATIVE CASH","")</f>
        <v/>
      </c>
      <c r="V179" s="6">
        <f>IF(ABS(R179)&gt;0.05*M179,"LARGE FLOW","")</f>
        <v/>
      </c>
      <c r="W179" s="6">
        <f>(S179&lt;&gt;"")*1+(T179&lt;&gt;"")*1+(U179&lt;&gt;"")*1+(V179&lt;&gt;"")*1</f>
        <v/>
      </c>
      <c r="X179" s="6">
        <f>IF(S179&lt;&gt;"",S179,IF(T179&lt;&gt;"",T179,IF(U179&lt;&gt;"",U179,IF(V179&lt;&gt;"",V179,""))))</f>
        <v/>
      </c>
    </row>
    <row r="180">
      <c r="A180" s="6" t="inlineStr">
        <is>
          <t>2026-06-11</t>
        </is>
      </c>
      <c r="B180" s="6" t="inlineStr">
        <is>
          <t>EQGL</t>
        </is>
      </c>
      <c r="C180" s="6">
        <f>INDEX('Fund Master'!$B$2:$B$7,MATCH(B180,'Fund Master'!$A$2:$A$7,0))</f>
        <v/>
      </c>
      <c r="D180" s="6">
        <f>INDEX('Fund Master'!$C$2:$C$7,MATCH(B180,'Fund Master'!$A$2:$A$7,0))</f>
        <v/>
      </c>
      <c r="E180" s="8" t="n">
        <v>694997999.11</v>
      </c>
      <c r="F180" s="8" t="n">
        <v>15148930.15</v>
      </c>
      <c r="G180" s="8" t="n">
        <v>3158712.82</v>
      </c>
      <c r="H180" s="8" t="n">
        <v>3359709.75</v>
      </c>
      <c r="I180" s="8" t="n">
        <v>979583.34</v>
      </c>
      <c r="J180" s="10" t="n">
        <v>25306122.449</v>
      </c>
      <c r="K180" s="9">
        <f>E180+F180+G180</f>
        <v/>
      </c>
      <c r="L180" s="9">
        <f>H180+I180</f>
        <v/>
      </c>
      <c r="M180" s="9">
        <f>K180-L180</f>
        <v/>
      </c>
      <c r="N180" s="11">
        <f>IFERROR(M180/J180,0)</f>
        <v/>
      </c>
      <c r="O180" s="11">
        <f>IF((B180=B179),N179,"")</f>
        <v/>
      </c>
      <c r="P180" s="12">
        <f>IF(O180="","",IFERROR((N180-O180)/O180,""))</f>
        <v/>
      </c>
      <c r="Q180" s="13">
        <f>INDEX('Fund Master'!$F$2:$F$7,MATCH(B180,'Fund Master'!$A$2:$A$7,0))</f>
        <v/>
      </c>
      <c r="R180" s="9">
        <f>SUMIFS('Capital Activity'!$E$2:$E$385,'Capital Activity'!$A$2:$A$385,A180,'Capital Activity'!$B$2:$B$385,B180)</f>
        <v/>
      </c>
      <c r="S180" s="6">
        <f>IF(O180="","",IF(ABS(P180)*10000&gt;Q180,"NAV MOVE BREACH",""))</f>
        <v/>
      </c>
      <c r="T180" s="6">
        <f>IF(AND((B180=B179),D180&lt;&gt;"Money Market",E180=E179),"STALE PRICE","")</f>
        <v/>
      </c>
      <c r="U180" s="6">
        <f>IF(F180&lt;0,"NEGATIVE CASH","")</f>
        <v/>
      </c>
      <c r="V180" s="6">
        <f>IF(ABS(R180)&gt;0.05*M180,"LARGE FLOW","")</f>
        <v/>
      </c>
      <c r="W180" s="6">
        <f>(S180&lt;&gt;"")*1+(T180&lt;&gt;"")*1+(U180&lt;&gt;"")*1+(V180&lt;&gt;"")*1</f>
        <v/>
      </c>
      <c r="X180" s="6">
        <f>IF(S180&lt;&gt;"",S180,IF(T180&lt;&gt;"",T180,IF(U180&lt;&gt;"",U180,IF(V180&lt;&gt;"",V180,""))))</f>
        <v/>
      </c>
    </row>
    <row r="181">
      <c r="A181" s="6" t="inlineStr">
        <is>
          <t>2026-06-12</t>
        </is>
      </c>
      <c r="B181" s="6" t="inlineStr">
        <is>
          <t>EQGL</t>
        </is>
      </c>
      <c r="C181" s="6">
        <f>INDEX('Fund Master'!$B$2:$B$7,MATCH(B181,'Fund Master'!$A$2:$A$7,0))</f>
        <v/>
      </c>
      <c r="D181" s="6">
        <f>INDEX('Fund Master'!$C$2:$C$7,MATCH(B181,'Fund Master'!$A$2:$A$7,0))</f>
        <v/>
      </c>
      <c r="E181" s="8" t="n">
        <v>704904718.72</v>
      </c>
      <c r="F181" s="8" t="n">
        <v>15114666.88</v>
      </c>
      <c r="G181" s="8" t="n">
        <v>3296294.47</v>
      </c>
      <c r="H181" s="8" t="n">
        <v>3373393.73</v>
      </c>
      <c r="I181" s="8" t="n">
        <v>1000562.65</v>
      </c>
      <c r="J181" s="10" t="n">
        <v>25306122.449</v>
      </c>
      <c r="K181" s="9">
        <f>E181+F181+G181</f>
        <v/>
      </c>
      <c r="L181" s="9">
        <f>H181+I181</f>
        <v/>
      </c>
      <c r="M181" s="9">
        <f>K181-L181</f>
        <v/>
      </c>
      <c r="N181" s="11">
        <f>IFERROR(M181/J181,0)</f>
        <v/>
      </c>
      <c r="O181" s="11">
        <f>IF((B181=B180),N180,"")</f>
        <v/>
      </c>
      <c r="P181" s="12">
        <f>IF(O181="","",IFERROR((N181-O181)/O181,""))</f>
        <v/>
      </c>
      <c r="Q181" s="13">
        <f>INDEX('Fund Master'!$F$2:$F$7,MATCH(B181,'Fund Master'!$A$2:$A$7,0))</f>
        <v/>
      </c>
      <c r="R181" s="9">
        <f>SUMIFS('Capital Activity'!$E$2:$E$385,'Capital Activity'!$A$2:$A$385,A181,'Capital Activity'!$B$2:$B$385,B181)</f>
        <v/>
      </c>
      <c r="S181" s="6">
        <f>IF(O181="","",IF(ABS(P181)*10000&gt;Q181,"NAV MOVE BREACH",""))</f>
        <v/>
      </c>
      <c r="T181" s="6">
        <f>IF(AND((B181=B180),D181&lt;&gt;"Money Market",E181=E180),"STALE PRICE","")</f>
        <v/>
      </c>
      <c r="U181" s="6">
        <f>IF(F181&lt;0,"NEGATIVE CASH","")</f>
        <v/>
      </c>
      <c r="V181" s="6">
        <f>IF(ABS(R181)&gt;0.05*M181,"LARGE FLOW","")</f>
        <v/>
      </c>
      <c r="W181" s="6">
        <f>(S181&lt;&gt;"")*1+(T181&lt;&gt;"")*1+(U181&lt;&gt;"")*1+(V181&lt;&gt;"")*1</f>
        <v/>
      </c>
      <c r="X181" s="6">
        <f>IF(S181&lt;&gt;"",S181,IF(T181&lt;&gt;"",T181,IF(U181&lt;&gt;"",U181,IF(V181&lt;&gt;"",V181,""))))</f>
        <v/>
      </c>
    </row>
    <row r="182">
      <c r="A182" s="6" t="inlineStr">
        <is>
          <t>2026-06-15</t>
        </is>
      </c>
      <c r="B182" s="6" t="inlineStr">
        <is>
          <t>EQGL</t>
        </is>
      </c>
      <c r="C182" s="6">
        <f>INDEX('Fund Master'!$B$2:$B$7,MATCH(B182,'Fund Master'!$A$2:$A$7,0))</f>
        <v/>
      </c>
      <c r="D182" s="6">
        <f>INDEX('Fund Master'!$C$2:$C$7,MATCH(B182,'Fund Master'!$A$2:$A$7,0))</f>
        <v/>
      </c>
      <c r="E182" s="8" t="n">
        <v>711445938.33</v>
      </c>
      <c r="F182" s="8" t="n">
        <v>15602185.51</v>
      </c>
      <c r="G182" s="8" t="n">
        <v>3549789.32</v>
      </c>
      <c r="H182" s="8" t="n">
        <v>3408283.75</v>
      </c>
      <c r="I182" s="8" t="n">
        <v>1021736.64</v>
      </c>
      <c r="J182" s="10" t="n">
        <v>25306122.449</v>
      </c>
      <c r="K182" s="9">
        <f>E182+F182+G182</f>
        <v/>
      </c>
      <c r="L182" s="9">
        <f>H182+I182</f>
        <v/>
      </c>
      <c r="M182" s="9">
        <f>K182-L182</f>
        <v/>
      </c>
      <c r="N182" s="11">
        <f>IFERROR(M182/J182,0)</f>
        <v/>
      </c>
      <c r="O182" s="11">
        <f>IF((B182=B181),N181,"")</f>
        <v/>
      </c>
      <c r="P182" s="12">
        <f>IF(O182="","",IFERROR((N182-O182)/O182,""))</f>
        <v/>
      </c>
      <c r="Q182" s="13">
        <f>INDEX('Fund Master'!$F$2:$F$7,MATCH(B182,'Fund Master'!$A$2:$A$7,0))</f>
        <v/>
      </c>
      <c r="R182" s="9">
        <f>SUMIFS('Capital Activity'!$E$2:$E$385,'Capital Activity'!$A$2:$A$385,A182,'Capital Activity'!$B$2:$B$385,B182)</f>
        <v/>
      </c>
      <c r="S182" s="6">
        <f>IF(O182="","",IF(ABS(P182)*10000&gt;Q182,"NAV MOVE BREACH",""))</f>
        <v/>
      </c>
      <c r="T182" s="6">
        <f>IF(AND((B182=B181),D182&lt;&gt;"Money Market",E182=E181),"STALE PRICE","")</f>
        <v/>
      </c>
      <c r="U182" s="6">
        <f>IF(F182&lt;0,"NEGATIVE CASH","")</f>
        <v/>
      </c>
      <c r="V182" s="6">
        <f>IF(ABS(R182)&gt;0.05*M182,"LARGE FLOW","")</f>
        <v/>
      </c>
      <c r="W182" s="6">
        <f>(S182&lt;&gt;"")*1+(T182&lt;&gt;"")*1+(U182&lt;&gt;"")*1+(V182&lt;&gt;"")*1</f>
        <v/>
      </c>
      <c r="X182" s="6">
        <f>IF(S182&lt;&gt;"",S182,IF(T182&lt;&gt;"",T182,IF(U182&lt;&gt;"",U182,IF(V182&lt;&gt;"",V182,""))))</f>
        <v/>
      </c>
    </row>
    <row r="183">
      <c r="A183" s="6" t="inlineStr">
        <is>
          <t>2026-06-16</t>
        </is>
      </c>
      <c r="B183" s="6" t="inlineStr">
        <is>
          <t>EQGL</t>
        </is>
      </c>
      <c r="C183" s="6">
        <f>INDEX('Fund Master'!$B$2:$B$7,MATCH(B183,'Fund Master'!$A$2:$A$7,0))</f>
        <v/>
      </c>
      <c r="D183" s="6">
        <f>INDEX('Fund Master'!$C$2:$C$7,MATCH(B183,'Fund Master'!$A$2:$A$7,0))</f>
        <v/>
      </c>
      <c r="E183" s="8" t="n">
        <v>714125122.71</v>
      </c>
      <c r="F183" s="8" t="n">
        <v>15605177.64</v>
      </c>
      <c r="G183" s="8" t="n">
        <v>3579781.37</v>
      </c>
      <c r="H183" s="8" t="n">
        <v>3523122.75</v>
      </c>
      <c r="I183" s="8" t="n">
        <v>1042990.36</v>
      </c>
      <c r="J183" s="10" t="n">
        <v>25306122.449</v>
      </c>
      <c r="K183" s="9">
        <f>E183+F183+G183</f>
        <v/>
      </c>
      <c r="L183" s="9">
        <f>H183+I183</f>
        <v/>
      </c>
      <c r="M183" s="9">
        <f>K183-L183</f>
        <v/>
      </c>
      <c r="N183" s="11">
        <f>IFERROR(M183/J183,0)</f>
        <v/>
      </c>
      <c r="O183" s="11">
        <f>IF((B183=B182),N182,"")</f>
        <v/>
      </c>
      <c r="P183" s="12">
        <f>IF(O183="","",IFERROR((N183-O183)/O183,""))</f>
        <v/>
      </c>
      <c r="Q183" s="13">
        <f>INDEX('Fund Master'!$F$2:$F$7,MATCH(B183,'Fund Master'!$A$2:$A$7,0))</f>
        <v/>
      </c>
      <c r="R183" s="9">
        <f>SUMIFS('Capital Activity'!$E$2:$E$385,'Capital Activity'!$A$2:$A$385,A183,'Capital Activity'!$B$2:$B$385,B183)</f>
        <v/>
      </c>
      <c r="S183" s="6">
        <f>IF(O183="","",IF(ABS(P183)*10000&gt;Q183,"NAV MOVE BREACH",""))</f>
        <v/>
      </c>
      <c r="T183" s="6">
        <f>IF(AND((B183=B182),D183&lt;&gt;"Money Market",E183=E182),"STALE PRICE","")</f>
        <v/>
      </c>
      <c r="U183" s="6">
        <f>IF(F183&lt;0,"NEGATIVE CASH","")</f>
        <v/>
      </c>
      <c r="V183" s="6">
        <f>IF(ABS(R183)&gt;0.05*M183,"LARGE FLOW","")</f>
        <v/>
      </c>
      <c r="W183" s="6">
        <f>(S183&lt;&gt;"")*1+(T183&lt;&gt;"")*1+(U183&lt;&gt;"")*1+(V183&lt;&gt;"")*1</f>
        <v/>
      </c>
      <c r="X183" s="6">
        <f>IF(S183&lt;&gt;"",S183,IF(T183&lt;&gt;"",T183,IF(U183&lt;&gt;"",U183,IF(V183&lt;&gt;"",V183,""))))</f>
        <v/>
      </c>
    </row>
    <row r="184">
      <c r="A184" s="6" t="inlineStr">
        <is>
          <t>2026-06-17</t>
        </is>
      </c>
      <c r="B184" s="6" t="inlineStr">
        <is>
          <t>EQGL</t>
        </is>
      </c>
      <c r="C184" s="6">
        <f>INDEX('Fund Master'!$B$2:$B$7,MATCH(B184,'Fund Master'!$A$2:$A$7,0))</f>
        <v/>
      </c>
      <c r="D184" s="6">
        <f>INDEX('Fund Master'!$C$2:$C$7,MATCH(B184,'Fund Master'!$A$2:$A$7,0))</f>
        <v/>
      </c>
      <c r="E184" s="8" t="n">
        <v>706365302.58</v>
      </c>
      <c r="F184" s="8" t="n">
        <v>14921012.37</v>
      </c>
      <c r="G184" s="8" t="n">
        <v>3737214.62</v>
      </c>
      <c r="H184" s="8" t="n">
        <v>3619048.55</v>
      </c>
      <c r="I184" s="8" t="n">
        <v>1064013.14</v>
      </c>
      <c r="J184" s="10" t="n">
        <v>25306122.449</v>
      </c>
      <c r="K184" s="9">
        <f>E184+F184+G184</f>
        <v/>
      </c>
      <c r="L184" s="9">
        <f>H184+I184</f>
        <v/>
      </c>
      <c r="M184" s="9">
        <f>K184-L184</f>
        <v/>
      </c>
      <c r="N184" s="11">
        <f>IFERROR(M184/J184,0)</f>
        <v/>
      </c>
      <c r="O184" s="11">
        <f>IF((B184=B183),N183,"")</f>
        <v/>
      </c>
      <c r="P184" s="12">
        <f>IF(O184="","",IFERROR((N184-O184)/O184,""))</f>
        <v/>
      </c>
      <c r="Q184" s="13">
        <f>INDEX('Fund Master'!$F$2:$F$7,MATCH(B184,'Fund Master'!$A$2:$A$7,0))</f>
        <v/>
      </c>
      <c r="R184" s="9">
        <f>SUMIFS('Capital Activity'!$E$2:$E$385,'Capital Activity'!$A$2:$A$385,A184,'Capital Activity'!$B$2:$B$385,B184)</f>
        <v/>
      </c>
      <c r="S184" s="6">
        <f>IF(O184="","",IF(ABS(P184)*10000&gt;Q184,"NAV MOVE BREACH",""))</f>
        <v/>
      </c>
      <c r="T184" s="6">
        <f>IF(AND((B184=B183),D184&lt;&gt;"Money Market",E184=E183),"STALE PRICE","")</f>
        <v/>
      </c>
      <c r="U184" s="6">
        <f>IF(F184&lt;0,"NEGATIVE CASH","")</f>
        <v/>
      </c>
      <c r="V184" s="6">
        <f>IF(ABS(R184)&gt;0.05*M184,"LARGE FLOW","")</f>
        <v/>
      </c>
      <c r="W184" s="6">
        <f>(S184&lt;&gt;"")*1+(T184&lt;&gt;"")*1+(U184&lt;&gt;"")*1+(V184&lt;&gt;"")*1</f>
        <v/>
      </c>
      <c r="X184" s="6">
        <f>IF(S184&lt;&gt;"",S184,IF(T184&lt;&gt;"",T184,IF(U184&lt;&gt;"",U184,IF(V184&lt;&gt;"",V184,""))))</f>
        <v/>
      </c>
    </row>
    <row r="185">
      <c r="A185" s="6" t="inlineStr">
        <is>
          <t>2026-06-18</t>
        </is>
      </c>
      <c r="B185" s="6" t="inlineStr">
        <is>
          <t>EQGL</t>
        </is>
      </c>
      <c r="C185" s="6">
        <f>INDEX('Fund Master'!$B$2:$B$7,MATCH(B185,'Fund Master'!$A$2:$A$7,0))</f>
        <v/>
      </c>
      <c r="D185" s="6">
        <f>INDEX('Fund Master'!$C$2:$C$7,MATCH(B185,'Fund Master'!$A$2:$A$7,0))</f>
        <v/>
      </c>
      <c r="E185" s="8" t="n">
        <v>706411417.99</v>
      </c>
      <c r="F185" s="8" t="n">
        <v>14541688.05</v>
      </c>
      <c r="G185" s="8" t="n">
        <v>3750310.41</v>
      </c>
      <c r="H185" s="8" t="n">
        <v>3504479.68</v>
      </c>
      <c r="I185" s="8" t="n">
        <v>1085037.29</v>
      </c>
      <c r="J185" s="10" t="n">
        <v>25306122.449</v>
      </c>
      <c r="K185" s="9">
        <f>E185+F185+G185</f>
        <v/>
      </c>
      <c r="L185" s="9">
        <f>H185+I185</f>
        <v/>
      </c>
      <c r="M185" s="9">
        <f>K185-L185</f>
        <v/>
      </c>
      <c r="N185" s="11">
        <f>IFERROR(M185/J185,0)</f>
        <v/>
      </c>
      <c r="O185" s="11">
        <f>IF((B185=B184),N184,"")</f>
        <v/>
      </c>
      <c r="P185" s="12">
        <f>IF(O185="","",IFERROR((N185-O185)/O185,""))</f>
        <v/>
      </c>
      <c r="Q185" s="13">
        <f>INDEX('Fund Master'!$F$2:$F$7,MATCH(B185,'Fund Master'!$A$2:$A$7,0))</f>
        <v/>
      </c>
      <c r="R185" s="9">
        <f>SUMIFS('Capital Activity'!$E$2:$E$385,'Capital Activity'!$A$2:$A$385,A185,'Capital Activity'!$B$2:$B$385,B185)</f>
        <v/>
      </c>
      <c r="S185" s="6">
        <f>IF(O185="","",IF(ABS(P185)*10000&gt;Q185,"NAV MOVE BREACH",""))</f>
        <v/>
      </c>
      <c r="T185" s="6">
        <f>IF(AND((B185=B184),D185&lt;&gt;"Money Market",E185=E184),"STALE PRICE","")</f>
        <v/>
      </c>
      <c r="U185" s="6">
        <f>IF(F185&lt;0,"NEGATIVE CASH","")</f>
        <v/>
      </c>
      <c r="V185" s="6">
        <f>IF(ABS(R185)&gt;0.05*M185,"LARGE FLOW","")</f>
        <v/>
      </c>
      <c r="W185" s="6">
        <f>(S185&lt;&gt;"")*1+(T185&lt;&gt;"")*1+(U185&lt;&gt;"")*1+(V185&lt;&gt;"")*1</f>
        <v/>
      </c>
      <c r="X185" s="6">
        <f>IF(S185&lt;&gt;"",S185,IF(T185&lt;&gt;"",T185,IF(U185&lt;&gt;"",U185,IF(V185&lt;&gt;"",V185,""))))</f>
        <v/>
      </c>
    </row>
    <row r="186">
      <c r="A186" s="6" t="inlineStr">
        <is>
          <t>2026-06-19</t>
        </is>
      </c>
      <c r="B186" s="6" t="inlineStr">
        <is>
          <t>EQGL</t>
        </is>
      </c>
      <c r="C186" s="6">
        <f>INDEX('Fund Master'!$B$2:$B$7,MATCH(B186,'Fund Master'!$A$2:$A$7,0))</f>
        <v/>
      </c>
      <c r="D186" s="6">
        <f>INDEX('Fund Master'!$C$2:$C$7,MATCH(B186,'Fund Master'!$A$2:$A$7,0))</f>
        <v/>
      </c>
      <c r="E186" s="8" t="n">
        <v>700138153.1799999</v>
      </c>
      <c r="F186" s="8" t="n">
        <v>14277542.35</v>
      </c>
      <c r="G186" s="8" t="n">
        <v>3786392.07</v>
      </c>
      <c r="H186" s="8" t="n">
        <v>3378633.84</v>
      </c>
      <c r="I186" s="8" t="n">
        <v>1105874.73</v>
      </c>
      <c r="J186" s="10" t="n">
        <v>25306122.449</v>
      </c>
      <c r="K186" s="9">
        <f>E186+F186+G186</f>
        <v/>
      </c>
      <c r="L186" s="9">
        <f>H186+I186</f>
        <v/>
      </c>
      <c r="M186" s="9">
        <f>K186-L186</f>
        <v/>
      </c>
      <c r="N186" s="11">
        <f>IFERROR(M186/J186,0)</f>
        <v/>
      </c>
      <c r="O186" s="11">
        <f>IF((B186=B185),N185,"")</f>
        <v/>
      </c>
      <c r="P186" s="12">
        <f>IF(O186="","",IFERROR((N186-O186)/O186,""))</f>
        <v/>
      </c>
      <c r="Q186" s="13">
        <f>INDEX('Fund Master'!$F$2:$F$7,MATCH(B186,'Fund Master'!$A$2:$A$7,0))</f>
        <v/>
      </c>
      <c r="R186" s="9">
        <f>SUMIFS('Capital Activity'!$E$2:$E$385,'Capital Activity'!$A$2:$A$385,A186,'Capital Activity'!$B$2:$B$385,B186)</f>
        <v/>
      </c>
      <c r="S186" s="6">
        <f>IF(O186="","",IF(ABS(P186)*10000&gt;Q186,"NAV MOVE BREACH",""))</f>
        <v/>
      </c>
      <c r="T186" s="6">
        <f>IF(AND((B186=B185),D186&lt;&gt;"Money Market",E186=E185),"STALE PRICE","")</f>
        <v/>
      </c>
      <c r="U186" s="6">
        <f>IF(F186&lt;0,"NEGATIVE CASH","")</f>
        <v/>
      </c>
      <c r="V186" s="6">
        <f>IF(ABS(R186)&gt;0.05*M186,"LARGE FLOW","")</f>
        <v/>
      </c>
      <c r="W186" s="6">
        <f>(S186&lt;&gt;"")*1+(T186&lt;&gt;"")*1+(U186&lt;&gt;"")*1+(V186&lt;&gt;"")*1</f>
        <v/>
      </c>
      <c r="X186" s="6">
        <f>IF(S186&lt;&gt;"",S186,IF(T186&lt;&gt;"",T186,IF(U186&lt;&gt;"",U186,IF(V186&lt;&gt;"",V186,""))))</f>
        <v/>
      </c>
    </row>
    <row r="187">
      <c r="A187" s="6" t="inlineStr">
        <is>
          <t>2026-06-22</t>
        </is>
      </c>
      <c r="B187" s="6" t="inlineStr">
        <is>
          <t>EQGL</t>
        </is>
      </c>
      <c r="C187" s="6">
        <f>INDEX('Fund Master'!$B$2:$B$7,MATCH(B187,'Fund Master'!$A$2:$A$7,0))</f>
        <v/>
      </c>
      <c r="D187" s="6">
        <f>INDEX('Fund Master'!$C$2:$C$7,MATCH(B187,'Fund Master'!$A$2:$A$7,0))</f>
        <v/>
      </c>
      <c r="E187" s="8" t="n">
        <v>702164795.6799999</v>
      </c>
      <c r="F187" s="8" t="n">
        <v>14105295.99</v>
      </c>
      <c r="G187" s="8" t="n">
        <v>3717973.12</v>
      </c>
      <c r="H187" s="8" t="n">
        <v>3427518.7</v>
      </c>
      <c r="I187" s="8" t="n">
        <v>1126772.49</v>
      </c>
      <c r="J187" s="10" t="n">
        <v>25306122.449</v>
      </c>
      <c r="K187" s="9">
        <f>E187+F187+G187</f>
        <v/>
      </c>
      <c r="L187" s="9">
        <f>H187+I187</f>
        <v/>
      </c>
      <c r="M187" s="9">
        <f>K187-L187</f>
        <v/>
      </c>
      <c r="N187" s="11">
        <f>IFERROR(M187/J187,0)</f>
        <v/>
      </c>
      <c r="O187" s="11">
        <f>IF((B187=B186),N186,"")</f>
        <v/>
      </c>
      <c r="P187" s="12">
        <f>IF(O187="","",IFERROR((N187-O187)/O187,""))</f>
        <v/>
      </c>
      <c r="Q187" s="13">
        <f>INDEX('Fund Master'!$F$2:$F$7,MATCH(B187,'Fund Master'!$A$2:$A$7,0))</f>
        <v/>
      </c>
      <c r="R187" s="9">
        <f>SUMIFS('Capital Activity'!$E$2:$E$385,'Capital Activity'!$A$2:$A$385,A187,'Capital Activity'!$B$2:$B$385,B187)</f>
        <v/>
      </c>
      <c r="S187" s="6">
        <f>IF(O187="","",IF(ABS(P187)*10000&gt;Q187,"NAV MOVE BREACH",""))</f>
        <v/>
      </c>
      <c r="T187" s="6">
        <f>IF(AND((B187=B186),D187&lt;&gt;"Money Market",E187=E186),"STALE PRICE","")</f>
        <v/>
      </c>
      <c r="U187" s="6">
        <f>IF(F187&lt;0,"NEGATIVE CASH","")</f>
        <v/>
      </c>
      <c r="V187" s="6">
        <f>IF(ABS(R187)&gt;0.05*M187,"LARGE FLOW","")</f>
        <v/>
      </c>
      <c r="W187" s="6">
        <f>(S187&lt;&gt;"")*1+(T187&lt;&gt;"")*1+(U187&lt;&gt;"")*1+(V187&lt;&gt;"")*1</f>
        <v/>
      </c>
      <c r="X187" s="6">
        <f>IF(S187&lt;&gt;"",S187,IF(T187&lt;&gt;"",T187,IF(U187&lt;&gt;"",U187,IF(V187&lt;&gt;"",V187,""))))</f>
        <v/>
      </c>
    </row>
    <row r="188">
      <c r="A188" s="6" t="inlineStr">
        <is>
          <t>2026-06-23</t>
        </is>
      </c>
      <c r="B188" s="6" t="inlineStr">
        <is>
          <t>EQGL</t>
        </is>
      </c>
      <c r="C188" s="6">
        <f>INDEX('Fund Master'!$B$2:$B$7,MATCH(B188,'Fund Master'!$A$2:$A$7,0))</f>
        <v/>
      </c>
      <c r="D188" s="6">
        <f>INDEX('Fund Master'!$C$2:$C$7,MATCH(B188,'Fund Master'!$A$2:$A$7,0))</f>
        <v/>
      </c>
      <c r="E188" s="8" t="n">
        <v>696756100</v>
      </c>
      <c r="F188" s="8" t="n">
        <v>13935122</v>
      </c>
      <c r="G188" s="8" t="n">
        <v>3741324.42</v>
      </c>
      <c r="H188" s="8" t="n">
        <v>3647828.14</v>
      </c>
      <c r="I188" s="8" t="n">
        <v>1147509.28</v>
      </c>
      <c r="J188" s="10" t="n">
        <v>25306122.449</v>
      </c>
      <c r="K188" s="9">
        <f>E188+F188+G188</f>
        <v/>
      </c>
      <c r="L188" s="9">
        <f>H188+I188</f>
        <v/>
      </c>
      <c r="M188" s="9">
        <f>K188-L188</f>
        <v/>
      </c>
      <c r="N188" s="11">
        <f>IFERROR(M188/J188,0)</f>
        <v/>
      </c>
      <c r="O188" s="11">
        <f>IF((B188=B187),N187,"")</f>
        <v/>
      </c>
      <c r="P188" s="12">
        <f>IF(O188="","",IFERROR((N188-O188)/O188,""))</f>
        <v/>
      </c>
      <c r="Q188" s="13">
        <f>INDEX('Fund Master'!$F$2:$F$7,MATCH(B188,'Fund Master'!$A$2:$A$7,0))</f>
        <v/>
      </c>
      <c r="R188" s="9">
        <f>SUMIFS('Capital Activity'!$E$2:$E$385,'Capital Activity'!$A$2:$A$385,A188,'Capital Activity'!$B$2:$B$385,B188)</f>
        <v/>
      </c>
      <c r="S188" s="6">
        <f>IF(O188="","",IF(ABS(P188)*10000&gt;Q188,"NAV MOVE BREACH",""))</f>
        <v/>
      </c>
      <c r="T188" s="6">
        <f>IF(AND((B188=B187),D188&lt;&gt;"Money Market",E188=E187),"STALE PRICE","")</f>
        <v/>
      </c>
      <c r="U188" s="6">
        <f>IF(F188&lt;0,"NEGATIVE CASH","")</f>
        <v/>
      </c>
      <c r="V188" s="6">
        <f>IF(ABS(R188)&gt;0.05*M188,"LARGE FLOW","")</f>
        <v/>
      </c>
      <c r="W188" s="6">
        <f>(S188&lt;&gt;"")*1+(T188&lt;&gt;"")*1+(U188&lt;&gt;"")*1+(V188&lt;&gt;"")*1</f>
        <v/>
      </c>
      <c r="X188" s="6">
        <f>IF(S188&lt;&gt;"",S188,IF(T188&lt;&gt;"",T188,IF(U188&lt;&gt;"",U188,IF(V188&lt;&gt;"",V188,""))))</f>
        <v/>
      </c>
    </row>
    <row r="189">
      <c r="A189" s="6" t="inlineStr">
        <is>
          <t>2026-06-24</t>
        </is>
      </c>
      <c r="B189" s="6" t="inlineStr">
        <is>
          <t>EQGL</t>
        </is>
      </c>
      <c r="C189" s="6">
        <f>INDEX('Fund Master'!$B$2:$B$7,MATCH(B189,'Fund Master'!$A$2:$A$7,0))</f>
        <v/>
      </c>
      <c r="D189" s="6">
        <f>INDEX('Fund Master'!$C$2:$C$7,MATCH(B189,'Fund Master'!$A$2:$A$7,0))</f>
        <v/>
      </c>
      <c r="E189" s="8" t="n">
        <v>696749704.97</v>
      </c>
      <c r="F189" s="8" t="n">
        <v>13934994.1</v>
      </c>
      <c r="G189" s="8" t="n">
        <v>3738194.31</v>
      </c>
      <c r="H189" s="8" t="n">
        <v>3599525.18</v>
      </c>
      <c r="I189" s="8" t="n">
        <v>1168245.88</v>
      </c>
      <c r="J189" s="10" t="n">
        <v>25306122.449</v>
      </c>
      <c r="K189" s="9">
        <f>E189+F189+G189</f>
        <v/>
      </c>
      <c r="L189" s="9">
        <f>H189+I189</f>
        <v/>
      </c>
      <c r="M189" s="9">
        <f>K189-L189</f>
        <v/>
      </c>
      <c r="N189" s="11">
        <f>IFERROR(M189/J189,0)</f>
        <v/>
      </c>
      <c r="O189" s="11">
        <f>IF((B189=B188),N188,"")</f>
        <v/>
      </c>
      <c r="P189" s="12">
        <f>IF(O189="","",IFERROR((N189-O189)/O189,""))</f>
        <v/>
      </c>
      <c r="Q189" s="13">
        <f>INDEX('Fund Master'!$F$2:$F$7,MATCH(B189,'Fund Master'!$A$2:$A$7,0))</f>
        <v/>
      </c>
      <c r="R189" s="9">
        <f>SUMIFS('Capital Activity'!$E$2:$E$385,'Capital Activity'!$A$2:$A$385,A189,'Capital Activity'!$B$2:$B$385,B189)</f>
        <v/>
      </c>
      <c r="S189" s="6">
        <f>IF(O189="","",IF(ABS(P189)*10000&gt;Q189,"NAV MOVE BREACH",""))</f>
        <v/>
      </c>
      <c r="T189" s="6">
        <f>IF(AND((B189=B188),D189&lt;&gt;"Money Market",E189=E188),"STALE PRICE","")</f>
        <v/>
      </c>
      <c r="U189" s="6">
        <f>IF(F189&lt;0,"NEGATIVE CASH","")</f>
        <v/>
      </c>
      <c r="V189" s="6">
        <f>IF(ABS(R189)&gt;0.05*M189,"LARGE FLOW","")</f>
        <v/>
      </c>
      <c r="W189" s="6">
        <f>(S189&lt;&gt;"")*1+(T189&lt;&gt;"")*1+(U189&lt;&gt;"")*1+(V189&lt;&gt;"")*1</f>
        <v/>
      </c>
      <c r="X189" s="6">
        <f>IF(S189&lt;&gt;"",S189,IF(T189&lt;&gt;"",T189,IF(U189&lt;&gt;"",U189,IF(V189&lt;&gt;"",V189,""))))</f>
        <v/>
      </c>
    </row>
    <row r="190">
      <c r="A190" s="6" t="inlineStr">
        <is>
          <t>2026-06-25</t>
        </is>
      </c>
      <c r="B190" s="6" t="inlineStr">
        <is>
          <t>EQGL</t>
        </is>
      </c>
      <c r="C190" s="6">
        <f>INDEX('Fund Master'!$B$2:$B$7,MATCH(B190,'Fund Master'!$A$2:$A$7,0))</f>
        <v/>
      </c>
      <c r="D190" s="6">
        <f>INDEX('Fund Master'!$C$2:$C$7,MATCH(B190,'Fund Master'!$A$2:$A$7,0))</f>
        <v/>
      </c>
      <c r="E190" s="8" t="n">
        <v>700869454.75</v>
      </c>
      <c r="F190" s="8" t="n">
        <v>14661939.03</v>
      </c>
      <c r="G190" s="8" t="n">
        <v>3742003.15</v>
      </c>
      <c r="H190" s="8" t="n">
        <v>3688379.89</v>
      </c>
      <c r="I190" s="8" t="n">
        <v>1189105.09</v>
      </c>
      <c r="J190" s="10" t="n">
        <v>25306122.449</v>
      </c>
      <c r="K190" s="9">
        <f>E190+F190+G190</f>
        <v/>
      </c>
      <c r="L190" s="9">
        <f>H190+I190</f>
        <v/>
      </c>
      <c r="M190" s="9">
        <f>K190-L190</f>
        <v/>
      </c>
      <c r="N190" s="11">
        <f>IFERROR(M190/J190,0)</f>
        <v/>
      </c>
      <c r="O190" s="11">
        <f>IF((B190=B189),N189,"")</f>
        <v/>
      </c>
      <c r="P190" s="12">
        <f>IF(O190="","",IFERROR((N190-O190)/O190,""))</f>
        <v/>
      </c>
      <c r="Q190" s="13">
        <f>INDEX('Fund Master'!$F$2:$F$7,MATCH(B190,'Fund Master'!$A$2:$A$7,0))</f>
        <v/>
      </c>
      <c r="R190" s="9">
        <f>SUMIFS('Capital Activity'!$E$2:$E$385,'Capital Activity'!$A$2:$A$385,A190,'Capital Activity'!$B$2:$B$385,B190)</f>
        <v/>
      </c>
      <c r="S190" s="6">
        <f>IF(O190="","",IF(ABS(P190)*10000&gt;Q190,"NAV MOVE BREACH",""))</f>
        <v/>
      </c>
      <c r="T190" s="6">
        <f>IF(AND((B190=B189),D190&lt;&gt;"Money Market",E190=E189),"STALE PRICE","")</f>
        <v/>
      </c>
      <c r="U190" s="6">
        <f>IF(F190&lt;0,"NEGATIVE CASH","")</f>
        <v/>
      </c>
      <c r="V190" s="6">
        <f>IF(ABS(R190)&gt;0.05*M190,"LARGE FLOW","")</f>
        <v/>
      </c>
      <c r="W190" s="6">
        <f>(S190&lt;&gt;"")*1+(T190&lt;&gt;"")*1+(U190&lt;&gt;"")*1+(V190&lt;&gt;"")*1</f>
        <v/>
      </c>
      <c r="X190" s="6">
        <f>IF(S190&lt;&gt;"",S190,IF(T190&lt;&gt;"",T190,IF(U190&lt;&gt;"",U190,IF(V190&lt;&gt;"",V190,""))))</f>
        <v/>
      </c>
    </row>
    <row r="191">
      <c r="A191" s="6" t="inlineStr">
        <is>
          <t>2026-06-26</t>
        </is>
      </c>
      <c r="B191" s="6" t="inlineStr">
        <is>
          <t>EQGL</t>
        </is>
      </c>
      <c r="C191" s="6">
        <f>INDEX('Fund Master'!$B$2:$B$7,MATCH(B191,'Fund Master'!$A$2:$A$7,0))</f>
        <v/>
      </c>
      <c r="D191" s="6">
        <f>INDEX('Fund Master'!$C$2:$C$7,MATCH(B191,'Fund Master'!$A$2:$A$7,0))</f>
        <v/>
      </c>
      <c r="E191" s="8" t="n">
        <v>702737283.97</v>
      </c>
      <c r="F191" s="8" t="n">
        <v>14706322.84</v>
      </c>
      <c r="G191" s="8" t="n">
        <v>3768449.41</v>
      </c>
      <c r="H191" s="8" t="n">
        <v>3567836.01</v>
      </c>
      <c r="I191" s="8" t="n">
        <v>1210019.89</v>
      </c>
      <c r="J191" s="10" t="n">
        <v>25306122.449</v>
      </c>
      <c r="K191" s="9">
        <f>E191+F191+G191</f>
        <v/>
      </c>
      <c r="L191" s="9">
        <f>H191+I191</f>
        <v/>
      </c>
      <c r="M191" s="9">
        <f>K191-L191</f>
        <v/>
      </c>
      <c r="N191" s="11">
        <f>IFERROR(M191/J191,0)</f>
        <v/>
      </c>
      <c r="O191" s="11">
        <f>IF((B191=B190),N190,"")</f>
        <v/>
      </c>
      <c r="P191" s="12">
        <f>IF(O191="","",IFERROR((N191-O191)/O191,""))</f>
        <v/>
      </c>
      <c r="Q191" s="13">
        <f>INDEX('Fund Master'!$F$2:$F$7,MATCH(B191,'Fund Master'!$A$2:$A$7,0))</f>
        <v/>
      </c>
      <c r="R191" s="9">
        <f>SUMIFS('Capital Activity'!$E$2:$E$385,'Capital Activity'!$A$2:$A$385,A191,'Capital Activity'!$B$2:$B$385,B191)</f>
        <v/>
      </c>
      <c r="S191" s="6">
        <f>IF(O191="","",IF(ABS(P191)*10000&gt;Q191,"NAV MOVE BREACH",""))</f>
        <v/>
      </c>
      <c r="T191" s="6">
        <f>IF(AND((B191=B190),D191&lt;&gt;"Money Market",E191=E190),"STALE PRICE","")</f>
        <v/>
      </c>
      <c r="U191" s="6">
        <f>IF(F191&lt;0,"NEGATIVE CASH","")</f>
        <v/>
      </c>
      <c r="V191" s="6">
        <f>IF(ABS(R191)&gt;0.05*M191,"LARGE FLOW","")</f>
        <v/>
      </c>
      <c r="W191" s="6">
        <f>(S191&lt;&gt;"")*1+(T191&lt;&gt;"")*1+(U191&lt;&gt;"")*1+(V191&lt;&gt;"")*1</f>
        <v/>
      </c>
      <c r="X191" s="6">
        <f>IF(S191&lt;&gt;"",S191,IF(T191&lt;&gt;"",T191,IF(U191&lt;&gt;"",U191,IF(V191&lt;&gt;"",V191,""))))</f>
        <v/>
      </c>
    </row>
    <row r="192">
      <c r="A192" s="6" t="inlineStr">
        <is>
          <t>2026-06-29</t>
        </is>
      </c>
      <c r="B192" s="6" t="inlineStr">
        <is>
          <t>EQGL</t>
        </is>
      </c>
      <c r="C192" s="6">
        <f>INDEX('Fund Master'!$B$2:$B$7,MATCH(B192,'Fund Master'!$A$2:$A$7,0))</f>
        <v/>
      </c>
      <c r="D192" s="6">
        <f>INDEX('Fund Master'!$C$2:$C$7,MATCH(B192,'Fund Master'!$A$2:$A$7,0))</f>
        <v/>
      </c>
      <c r="E192" s="8" t="n">
        <v>714095331.3200001</v>
      </c>
      <c r="F192" s="8" t="n">
        <v>15355021.44</v>
      </c>
      <c r="G192" s="8" t="n">
        <v>4198375.88</v>
      </c>
      <c r="H192" s="8" t="n">
        <v>3493991.21</v>
      </c>
      <c r="I192" s="8" t="n">
        <v>1231272.73</v>
      </c>
      <c r="J192" s="10" t="n">
        <v>25306122.449</v>
      </c>
      <c r="K192" s="9">
        <f>E192+F192+G192</f>
        <v/>
      </c>
      <c r="L192" s="9">
        <f>H192+I192</f>
        <v/>
      </c>
      <c r="M192" s="9">
        <f>K192-L192</f>
        <v/>
      </c>
      <c r="N192" s="11">
        <f>IFERROR(M192/J192,0)</f>
        <v/>
      </c>
      <c r="O192" s="11">
        <f>IF((B192=B191),N191,"")</f>
        <v/>
      </c>
      <c r="P192" s="12">
        <f>IF(O192="","",IFERROR((N192-O192)/O192,""))</f>
        <v/>
      </c>
      <c r="Q192" s="13">
        <f>INDEX('Fund Master'!$F$2:$F$7,MATCH(B192,'Fund Master'!$A$2:$A$7,0))</f>
        <v/>
      </c>
      <c r="R192" s="9">
        <f>SUMIFS('Capital Activity'!$E$2:$E$385,'Capital Activity'!$A$2:$A$385,A192,'Capital Activity'!$B$2:$B$385,B192)</f>
        <v/>
      </c>
      <c r="S192" s="6">
        <f>IF(O192="","",IF(ABS(P192)*10000&gt;Q192,"NAV MOVE BREACH",""))</f>
        <v/>
      </c>
      <c r="T192" s="6">
        <f>IF(AND((B192=B191),D192&lt;&gt;"Money Market",E192=E191),"STALE PRICE","")</f>
        <v/>
      </c>
      <c r="U192" s="6">
        <f>IF(F192&lt;0,"NEGATIVE CASH","")</f>
        <v/>
      </c>
      <c r="V192" s="6">
        <f>IF(ABS(R192)&gt;0.05*M192,"LARGE FLOW","")</f>
        <v/>
      </c>
      <c r="W192" s="6">
        <f>(S192&lt;&gt;"")*1+(T192&lt;&gt;"")*1+(U192&lt;&gt;"")*1+(V192&lt;&gt;"")*1</f>
        <v/>
      </c>
      <c r="X192" s="6">
        <f>IF(S192&lt;&gt;"",S192,IF(T192&lt;&gt;"",T192,IF(U192&lt;&gt;"",U192,IF(V192&lt;&gt;"",V192,""))))</f>
        <v/>
      </c>
    </row>
    <row r="193">
      <c r="A193" s="6" t="inlineStr">
        <is>
          <t>2026-06-30</t>
        </is>
      </c>
      <c r="B193" s="6" t="inlineStr">
        <is>
          <t>EQGL</t>
        </is>
      </c>
      <c r="C193" s="6">
        <f>INDEX('Fund Master'!$B$2:$B$7,MATCH(B193,'Fund Master'!$A$2:$A$7,0))</f>
        <v/>
      </c>
      <c r="D193" s="6">
        <f>INDEX('Fund Master'!$C$2:$C$7,MATCH(B193,'Fund Master'!$A$2:$A$7,0))</f>
        <v/>
      </c>
      <c r="E193" s="8" t="n">
        <v>731439158.95</v>
      </c>
      <c r="F193" s="8" t="n">
        <v>15373229.02</v>
      </c>
      <c r="G193" s="8" t="n">
        <v>4152936.02</v>
      </c>
      <c r="H193" s="8" t="n">
        <v>3473632.06</v>
      </c>
      <c r="I193" s="8" t="n">
        <v>1253041.75</v>
      </c>
      <c r="J193" s="10" t="n">
        <v>25306122.449</v>
      </c>
      <c r="K193" s="9">
        <f>E193+F193+G193</f>
        <v/>
      </c>
      <c r="L193" s="9">
        <f>H193+I193</f>
        <v/>
      </c>
      <c r="M193" s="9">
        <f>K193-L193</f>
        <v/>
      </c>
      <c r="N193" s="11">
        <f>IFERROR(M193/J193,0)</f>
        <v/>
      </c>
      <c r="O193" s="11">
        <f>IF((B193=B192),N192,"")</f>
        <v/>
      </c>
      <c r="P193" s="12">
        <f>IF(O193="","",IFERROR((N193-O193)/O193,""))</f>
        <v/>
      </c>
      <c r="Q193" s="13">
        <f>INDEX('Fund Master'!$F$2:$F$7,MATCH(B193,'Fund Master'!$A$2:$A$7,0))</f>
        <v/>
      </c>
      <c r="R193" s="9">
        <f>SUMIFS('Capital Activity'!$E$2:$E$385,'Capital Activity'!$A$2:$A$385,A193,'Capital Activity'!$B$2:$B$385,B193)</f>
        <v/>
      </c>
      <c r="S193" s="6">
        <f>IF(O193="","",IF(ABS(P193)*10000&gt;Q193,"NAV MOVE BREACH",""))</f>
        <v/>
      </c>
      <c r="T193" s="6">
        <f>IF(AND((B193=B192),D193&lt;&gt;"Money Market",E193=E192),"STALE PRICE","")</f>
        <v/>
      </c>
      <c r="U193" s="6">
        <f>IF(F193&lt;0,"NEGATIVE CASH","")</f>
        <v/>
      </c>
      <c r="V193" s="6">
        <f>IF(ABS(R193)&gt;0.05*M193,"LARGE FLOW","")</f>
        <v/>
      </c>
      <c r="W193" s="6">
        <f>(S193&lt;&gt;"")*1+(T193&lt;&gt;"")*1+(U193&lt;&gt;"")*1+(V193&lt;&gt;"")*1</f>
        <v/>
      </c>
      <c r="X193" s="6">
        <f>IF(S193&lt;&gt;"",S193,IF(T193&lt;&gt;"",T193,IF(U193&lt;&gt;"",U193,IF(V193&lt;&gt;"",V193,""))))</f>
        <v/>
      </c>
    </row>
    <row r="194">
      <c r="A194" s="6" t="inlineStr">
        <is>
          <t>2026-04-01</t>
        </is>
      </c>
      <c r="B194" s="6" t="inlineStr">
        <is>
          <t>FDIV</t>
        </is>
      </c>
      <c r="C194" s="6">
        <f>INDEX('Fund Master'!$B$2:$B$7,MATCH(B194,'Fund Master'!$A$2:$A$7,0))</f>
        <v/>
      </c>
      <c r="D194" s="6">
        <f>INDEX('Fund Master'!$C$2:$C$7,MATCH(B194,'Fund Master'!$A$2:$A$7,0))</f>
        <v/>
      </c>
      <c r="E194" s="8" t="n">
        <v>269884079.25</v>
      </c>
      <c r="F194" s="8" t="n">
        <v>8217631.82</v>
      </c>
      <c r="G194" s="8" t="n">
        <v>1549820.57</v>
      </c>
      <c r="H194" s="8" t="n">
        <v>1364916.94</v>
      </c>
      <c r="I194" s="8" t="n">
        <v>8567.75</v>
      </c>
      <c r="J194" s="10" t="n">
        <v>21568627.451</v>
      </c>
      <c r="K194" s="9">
        <f>E194+F194+G194</f>
        <v/>
      </c>
      <c r="L194" s="9">
        <f>H194+I194</f>
        <v/>
      </c>
      <c r="M194" s="9">
        <f>K194-L194</f>
        <v/>
      </c>
      <c r="N194" s="11">
        <f>IFERROR(M194/J194,0)</f>
        <v/>
      </c>
      <c r="O194" s="11">
        <f>IF((B194=B193),N193,"")</f>
        <v/>
      </c>
      <c r="P194" s="12">
        <f>IF(O194="","",IFERROR((N194-O194)/O194,""))</f>
        <v/>
      </c>
      <c r="Q194" s="13">
        <f>INDEX('Fund Master'!$F$2:$F$7,MATCH(B194,'Fund Master'!$A$2:$A$7,0))</f>
        <v/>
      </c>
      <c r="R194" s="9">
        <f>SUMIFS('Capital Activity'!$E$2:$E$385,'Capital Activity'!$A$2:$A$385,A194,'Capital Activity'!$B$2:$B$385,B194)</f>
        <v/>
      </c>
      <c r="S194" s="6">
        <f>IF(O194="","",IF(ABS(P194)*10000&gt;Q194,"NAV MOVE BREACH",""))</f>
        <v/>
      </c>
      <c r="T194" s="6">
        <f>IF(AND((B194=B193),D194&lt;&gt;"Money Market",E194=E193),"STALE PRICE","")</f>
        <v/>
      </c>
      <c r="U194" s="6">
        <f>IF(F194&lt;0,"NEGATIVE CASH","")</f>
        <v/>
      </c>
      <c r="V194" s="6">
        <f>IF(ABS(R194)&gt;0.05*M194,"LARGE FLOW","")</f>
        <v/>
      </c>
      <c r="W194" s="6">
        <f>(S194&lt;&gt;"")*1+(T194&lt;&gt;"")*1+(U194&lt;&gt;"")*1+(V194&lt;&gt;"")*1</f>
        <v/>
      </c>
      <c r="X194" s="6">
        <f>IF(S194&lt;&gt;"",S194,IF(T194&lt;&gt;"",T194,IF(U194&lt;&gt;"",U194,IF(V194&lt;&gt;"",V194,""))))</f>
        <v/>
      </c>
    </row>
    <row r="195">
      <c r="A195" s="6" t="inlineStr">
        <is>
          <t>2026-04-02</t>
        </is>
      </c>
      <c r="B195" s="6" t="inlineStr">
        <is>
          <t>FDIV</t>
        </is>
      </c>
      <c r="C195" s="6">
        <f>INDEX('Fund Master'!$B$2:$B$7,MATCH(B195,'Fund Master'!$A$2:$A$7,0))</f>
        <v/>
      </c>
      <c r="D195" s="6">
        <f>INDEX('Fund Master'!$C$2:$C$7,MATCH(B195,'Fund Master'!$A$2:$A$7,0))</f>
        <v/>
      </c>
      <c r="E195" s="8" t="n">
        <v>263450655.04</v>
      </c>
      <c r="F195" s="8" t="n">
        <v>7976533.32</v>
      </c>
      <c r="G195" s="8" t="n">
        <v>1582488.01</v>
      </c>
      <c r="H195" s="8" t="n">
        <v>1456203.11</v>
      </c>
      <c r="I195" s="8" t="n">
        <v>16931.26</v>
      </c>
      <c r="J195" s="10" t="n">
        <v>21568627.451</v>
      </c>
      <c r="K195" s="9">
        <f>E195+F195+G195</f>
        <v/>
      </c>
      <c r="L195" s="9">
        <f>H195+I195</f>
        <v/>
      </c>
      <c r="M195" s="9">
        <f>K195-L195</f>
        <v/>
      </c>
      <c r="N195" s="11">
        <f>IFERROR(M195/J195,0)</f>
        <v/>
      </c>
      <c r="O195" s="11">
        <f>IF((B195=B194),N194,"")</f>
        <v/>
      </c>
      <c r="P195" s="12">
        <f>IF(O195="","",IFERROR((N195-O195)/O195,""))</f>
        <v/>
      </c>
      <c r="Q195" s="13">
        <f>INDEX('Fund Master'!$F$2:$F$7,MATCH(B195,'Fund Master'!$A$2:$A$7,0))</f>
        <v/>
      </c>
      <c r="R195" s="9">
        <f>SUMIFS('Capital Activity'!$E$2:$E$385,'Capital Activity'!$A$2:$A$385,A195,'Capital Activity'!$B$2:$B$385,B195)</f>
        <v/>
      </c>
      <c r="S195" s="6">
        <f>IF(O195="","",IF(ABS(P195)*10000&gt;Q195,"NAV MOVE BREACH",""))</f>
        <v/>
      </c>
      <c r="T195" s="6">
        <f>IF(AND((B195=B194),D195&lt;&gt;"Money Market",E195=E194),"STALE PRICE","")</f>
        <v/>
      </c>
      <c r="U195" s="6">
        <f>IF(F195&lt;0,"NEGATIVE CASH","")</f>
        <v/>
      </c>
      <c r="V195" s="6">
        <f>IF(ABS(R195)&gt;0.05*M195,"LARGE FLOW","")</f>
        <v/>
      </c>
      <c r="W195" s="6">
        <f>(S195&lt;&gt;"")*1+(T195&lt;&gt;"")*1+(U195&lt;&gt;"")*1+(V195&lt;&gt;"")*1</f>
        <v/>
      </c>
      <c r="X195" s="6">
        <f>IF(S195&lt;&gt;"",S195,IF(T195&lt;&gt;"",T195,IF(U195&lt;&gt;"",U195,IF(V195&lt;&gt;"",V195,""))))</f>
        <v/>
      </c>
    </row>
    <row r="196">
      <c r="A196" s="6" t="inlineStr">
        <is>
          <t>2026-04-03</t>
        </is>
      </c>
      <c r="B196" s="6" t="inlineStr">
        <is>
          <t>FDIV</t>
        </is>
      </c>
      <c r="C196" s="6">
        <f>INDEX('Fund Master'!$B$2:$B$7,MATCH(B196,'Fund Master'!$A$2:$A$7,0))</f>
        <v/>
      </c>
      <c r="D196" s="6">
        <f>INDEX('Fund Master'!$C$2:$C$7,MATCH(B196,'Fund Master'!$A$2:$A$7,0))</f>
        <v/>
      </c>
      <c r="E196" s="8" t="n">
        <v>262338774.89</v>
      </c>
      <c r="F196" s="8" t="n">
        <v>7926192.15</v>
      </c>
      <c r="G196" s="8" t="n">
        <v>1742300.51</v>
      </c>
      <c r="H196" s="8" t="n">
        <v>1355428.31</v>
      </c>
      <c r="I196" s="8" t="n">
        <v>25259.48</v>
      </c>
      <c r="J196" s="10" t="n">
        <v>21568627.451</v>
      </c>
      <c r="K196" s="9">
        <f>E196+F196+G196</f>
        <v/>
      </c>
      <c r="L196" s="9">
        <f>H196+I196</f>
        <v/>
      </c>
      <c r="M196" s="9">
        <f>K196-L196</f>
        <v/>
      </c>
      <c r="N196" s="11">
        <f>IFERROR(M196/J196,0)</f>
        <v/>
      </c>
      <c r="O196" s="11">
        <f>IF((B196=B195),N195,"")</f>
        <v/>
      </c>
      <c r="P196" s="12">
        <f>IF(O196="","",IFERROR((N196-O196)/O196,""))</f>
        <v/>
      </c>
      <c r="Q196" s="13">
        <f>INDEX('Fund Master'!$F$2:$F$7,MATCH(B196,'Fund Master'!$A$2:$A$7,0))</f>
        <v/>
      </c>
      <c r="R196" s="9">
        <f>SUMIFS('Capital Activity'!$E$2:$E$385,'Capital Activity'!$A$2:$A$385,A196,'Capital Activity'!$B$2:$B$385,B196)</f>
        <v/>
      </c>
      <c r="S196" s="6">
        <f>IF(O196="","",IF(ABS(P196)*10000&gt;Q196,"NAV MOVE BREACH",""))</f>
        <v/>
      </c>
      <c r="T196" s="6">
        <f>IF(AND((B196=B195),D196&lt;&gt;"Money Market",E196=E195),"STALE PRICE","")</f>
        <v/>
      </c>
      <c r="U196" s="6">
        <f>IF(F196&lt;0,"NEGATIVE CASH","")</f>
        <v/>
      </c>
      <c r="V196" s="6">
        <f>IF(ABS(R196)&gt;0.05*M196,"LARGE FLOW","")</f>
        <v/>
      </c>
      <c r="W196" s="6">
        <f>(S196&lt;&gt;"")*1+(T196&lt;&gt;"")*1+(U196&lt;&gt;"")*1+(V196&lt;&gt;"")*1</f>
        <v/>
      </c>
      <c r="X196" s="6">
        <f>IF(S196&lt;&gt;"",S196,IF(T196&lt;&gt;"",T196,IF(U196&lt;&gt;"",U196,IF(V196&lt;&gt;"",V196,""))))</f>
        <v/>
      </c>
    </row>
    <row r="197">
      <c r="A197" s="6" t="inlineStr">
        <is>
          <t>2026-04-06</t>
        </is>
      </c>
      <c r="B197" s="6" t="inlineStr">
        <is>
          <t>FDIV</t>
        </is>
      </c>
      <c r="C197" s="6">
        <f>INDEX('Fund Master'!$B$2:$B$7,MATCH(B197,'Fund Master'!$A$2:$A$7,0))</f>
        <v/>
      </c>
      <c r="D197" s="6">
        <f>INDEX('Fund Master'!$C$2:$C$7,MATCH(B197,'Fund Master'!$A$2:$A$7,0))</f>
        <v/>
      </c>
      <c r="E197" s="8" t="n">
        <v>265097259.27</v>
      </c>
      <c r="F197" s="8" t="n">
        <v>8025120.86</v>
      </c>
      <c r="G197" s="8" t="n">
        <v>1780219.96</v>
      </c>
      <c r="H197" s="8" t="n">
        <v>1344762.61</v>
      </c>
      <c r="I197" s="8" t="n">
        <v>33675.26</v>
      </c>
      <c r="J197" s="10" t="n">
        <v>21568627.451</v>
      </c>
      <c r="K197" s="9">
        <f>E197+F197+G197</f>
        <v/>
      </c>
      <c r="L197" s="9">
        <f>H197+I197</f>
        <v/>
      </c>
      <c r="M197" s="9">
        <f>K197-L197</f>
        <v/>
      </c>
      <c r="N197" s="11">
        <f>IFERROR(M197/J197,0)</f>
        <v/>
      </c>
      <c r="O197" s="11">
        <f>IF((B197=B196),N196,"")</f>
        <v/>
      </c>
      <c r="P197" s="12">
        <f>IF(O197="","",IFERROR((N197-O197)/O197,""))</f>
        <v/>
      </c>
      <c r="Q197" s="13">
        <f>INDEX('Fund Master'!$F$2:$F$7,MATCH(B197,'Fund Master'!$A$2:$A$7,0))</f>
        <v/>
      </c>
      <c r="R197" s="9">
        <f>SUMIFS('Capital Activity'!$E$2:$E$385,'Capital Activity'!$A$2:$A$385,A197,'Capital Activity'!$B$2:$B$385,B197)</f>
        <v/>
      </c>
      <c r="S197" s="6">
        <f>IF(O197="","",IF(ABS(P197)*10000&gt;Q197,"NAV MOVE BREACH",""))</f>
        <v/>
      </c>
      <c r="T197" s="6">
        <f>IF(AND((B197=B196),D197&lt;&gt;"Money Market",E197=E196),"STALE PRICE","")</f>
        <v/>
      </c>
      <c r="U197" s="6">
        <f>IF(F197&lt;0,"NEGATIVE CASH","")</f>
        <v/>
      </c>
      <c r="V197" s="6">
        <f>IF(ABS(R197)&gt;0.05*M197,"LARGE FLOW","")</f>
        <v/>
      </c>
      <c r="W197" s="6">
        <f>(S197&lt;&gt;"")*1+(T197&lt;&gt;"")*1+(U197&lt;&gt;"")*1+(V197&lt;&gt;"")*1</f>
        <v/>
      </c>
      <c r="X197" s="6">
        <f>IF(S197&lt;&gt;"",S197,IF(T197&lt;&gt;"",T197,IF(U197&lt;&gt;"",U197,IF(V197&lt;&gt;"",V197,""))))</f>
        <v/>
      </c>
    </row>
    <row r="198">
      <c r="A198" s="6" t="inlineStr">
        <is>
          <t>2026-04-07</t>
        </is>
      </c>
      <c r="B198" s="6" t="inlineStr">
        <is>
          <t>FDIV</t>
        </is>
      </c>
      <c r="C198" s="6">
        <f>INDEX('Fund Master'!$B$2:$B$7,MATCH(B198,'Fund Master'!$A$2:$A$7,0))</f>
        <v/>
      </c>
      <c r="D198" s="6">
        <f>INDEX('Fund Master'!$C$2:$C$7,MATCH(B198,'Fund Master'!$A$2:$A$7,0))</f>
        <v/>
      </c>
      <c r="E198" s="8" t="n">
        <v>266715660.26</v>
      </c>
      <c r="F198" s="8" t="n">
        <v>8014965.17</v>
      </c>
      <c r="G198" s="8" t="n">
        <v>1815226.94</v>
      </c>
      <c r="H198" s="8" t="n">
        <v>1351099.13</v>
      </c>
      <c r="I198" s="8" t="n">
        <v>42142.43</v>
      </c>
      <c r="J198" s="10" t="n">
        <v>21568627.451</v>
      </c>
      <c r="K198" s="9">
        <f>E198+F198+G198</f>
        <v/>
      </c>
      <c r="L198" s="9">
        <f>H198+I198</f>
        <v/>
      </c>
      <c r="M198" s="9">
        <f>K198-L198</f>
        <v/>
      </c>
      <c r="N198" s="11">
        <f>IFERROR(M198/J198,0)</f>
        <v/>
      </c>
      <c r="O198" s="11">
        <f>IF((B198=B197),N197,"")</f>
        <v/>
      </c>
      <c r="P198" s="12">
        <f>IF(O198="","",IFERROR((N198-O198)/O198,""))</f>
        <v/>
      </c>
      <c r="Q198" s="13">
        <f>INDEX('Fund Master'!$F$2:$F$7,MATCH(B198,'Fund Master'!$A$2:$A$7,0))</f>
        <v/>
      </c>
      <c r="R198" s="9">
        <f>SUMIFS('Capital Activity'!$E$2:$E$385,'Capital Activity'!$A$2:$A$385,A198,'Capital Activity'!$B$2:$B$385,B198)</f>
        <v/>
      </c>
      <c r="S198" s="6">
        <f>IF(O198="","",IF(ABS(P198)*10000&gt;Q198,"NAV MOVE BREACH",""))</f>
        <v/>
      </c>
      <c r="T198" s="6">
        <f>IF(AND((B198=B197),D198&lt;&gt;"Money Market",E198=E197),"STALE PRICE","")</f>
        <v/>
      </c>
      <c r="U198" s="6">
        <f>IF(F198&lt;0,"NEGATIVE CASH","")</f>
        <v/>
      </c>
      <c r="V198" s="6">
        <f>IF(ABS(R198)&gt;0.05*M198,"LARGE FLOW","")</f>
        <v/>
      </c>
      <c r="W198" s="6">
        <f>(S198&lt;&gt;"")*1+(T198&lt;&gt;"")*1+(U198&lt;&gt;"")*1+(V198&lt;&gt;"")*1</f>
        <v/>
      </c>
      <c r="X198" s="6">
        <f>IF(S198&lt;&gt;"",S198,IF(T198&lt;&gt;"",T198,IF(U198&lt;&gt;"",U198,IF(V198&lt;&gt;"",V198,""))))</f>
        <v/>
      </c>
    </row>
    <row r="199">
      <c r="A199" s="6" t="inlineStr">
        <is>
          <t>2026-04-08</t>
        </is>
      </c>
      <c r="B199" s="6" t="inlineStr">
        <is>
          <t>FDIV</t>
        </is>
      </c>
      <c r="C199" s="6">
        <f>INDEX('Fund Master'!$B$2:$B$7,MATCH(B199,'Fund Master'!$A$2:$A$7,0))</f>
        <v/>
      </c>
      <c r="D199" s="6">
        <f>INDEX('Fund Master'!$C$2:$C$7,MATCH(B199,'Fund Master'!$A$2:$A$7,0))</f>
        <v/>
      </c>
      <c r="E199" s="8" t="n">
        <v>262276495.9</v>
      </c>
      <c r="F199" s="8" t="n">
        <v>8080149.03</v>
      </c>
      <c r="G199" s="8" t="n">
        <v>1728002.1</v>
      </c>
      <c r="H199" s="8" t="n">
        <v>1287459.48</v>
      </c>
      <c r="I199" s="8" t="n">
        <v>50468.66</v>
      </c>
      <c r="J199" s="10" t="n">
        <v>21568627.451</v>
      </c>
      <c r="K199" s="9">
        <f>E199+F199+G199</f>
        <v/>
      </c>
      <c r="L199" s="9">
        <f>H199+I199</f>
        <v/>
      </c>
      <c r="M199" s="9">
        <f>K199-L199</f>
        <v/>
      </c>
      <c r="N199" s="11">
        <f>IFERROR(M199/J199,0)</f>
        <v/>
      </c>
      <c r="O199" s="11">
        <f>IF((B199=B198),N198,"")</f>
        <v/>
      </c>
      <c r="P199" s="12">
        <f>IF(O199="","",IFERROR((N199-O199)/O199,""))</f>
        <v/>
      </c>
      <c r="Q199" s="13">
        <f>INDEX('Fund Master'!$F$2:$F$7,MATCH(B199,'Fund Master'!$A$2:$A$7,0))</f>
        <v/>
      </c>
      <c r="R199" s="9">
        <f>SUMIFS('Capital Activity'!$E$2:$E$385,'Capital Activity'!$A$2:$A$385,A199,'Capital Activity'!$B$2:$B$385,B199)</f>
        <v/>
      </c>
      <c r="S199" s="6">
        <f>IF(O199="","",IF(ABS(P199)*10000&gt;Q199,"NAV MOVE BREACH",""))</f>
        <v/>
      </c>
      <c r="T199" s="6">
        <f>IF(AND((B199=B198),D199&lt;&gt;"Money Market",E199=E198),"STALE PRICE","")</f>
        <v/>
      </c>
      <c r="U199" s="6">
        <f>IF(F199&lt;0,"NEGATIVE CASH","")</f>
        <v/>
      </c>
      <c r="V199" s="6">
        <f>IF(ABS(R199)&gt;0.05*M199,"LARGE FLOW","")</f>
        <v/>
      </c>
      <c r="W199" s="6">
        <f>(S199&lt;&gt;"")*1+(T199&lt;&gt;"")*1+(U199&lt;&gt;"")*1+(V199&lt;&gt;"")*1</f>
        <v/>
      </c>
      <c r="X199" s="6">
        <f>IF(S199&lt;&gt;"",S199,IF(T199&lt;&gt;"",T199,IF(U199&lt;&gt;"",U199,IF(V199&lt;&gt;"",V199,""))))</f>
        <v/>
      </c>
    </row>
    <row r="200">
      <c r="A200" s="6" t="inlineStr">
        <is>
          <t>2026-04-09</t>
        </is>
      </c>
      <c r="B200" s="6" t="inlineStr">
        <is>
          <t>FDIV</t>
        </is>
      </c>
      <c r="C200" s="6">
        <f>INDEX('Fund Master'!$B$2:$B$7,MATCH(B200,'Fund Master'!$A$2:$A$7,0))</f>
        <v/>
      </c>
      <c r="D200" s="6">
        <f>INDEX('Fund Master'!$C$2:$C$7,MATCH(B200,'Fund Master'!$A$2:$A$7,0))</f>
        <v/>
      </c>
      <c r="E200" s="8" t="n">
        <v>257007648.28</v>
      </c>
      <c r="F200" s="8" t="n">
        <v>8401682.91</v>
      </c>
      <c r="G200" s="8" t="n">
        <v>1758427.95</v>
      </c>
      <c r="H200" s="8" t="n">
        <v>1275365.62</v>
      </c>
      <c r="I200" s="8" t="n">
        <v>58627.64</v>
      </c>
      <c r="J200" s="10" t="n">
        <v>21568627.451</v>
      </c>
      <c r="K200" s="9">
        <f>E200+F200+G200</f>
        <v/>
      </c>
      <c r="L200" s="9">
        <f>H200+I200</f>
        <v/>
      </c>
      <c r="M200" s="9">
        <f>K200-L200</f>
        <v/>
      </c>
      <c r="N200" s="11">
        <f>IFERROR(M200/J200,0)</f>
        <v/>
      </c>
      <c r="O200" s="11">
        <f>IF((B200=B199),N199,"")</f>
        <v/>
      </c>
      <c r="P200" s="12">
        <f>IF(O200="","",IFERROR((N200-O200)/O200,""))</f>
        <v/>
      </c>
      <c r="Q200" s="13">
        <f>INDEX('Fund Master'!$F$2:$F$7,MATCH(B200,'Fund Master'!$A$2:$A$7,0))</f>
        <v/>
      </c>
      <c r="R200" s="9">
        <f>SUMIFS('Capital Activity'!$E$2:$E$385,'Capital Activity'!$A$2:$A$385,A200,'Capital Activity'!$B$2:$B$385,B200)</f>
        <v/>
      </c>
      <c r="S200" s="6">
        <f>IF(O200="","",IF(ABS(P200)*10000&gt;Q200,"NAV MOVE BREACH",""))</f>
        <v/>
      </c>
      <c r="T200" s="6">
        <f>IF(AND((B200=B199),D200&lt;&gt;"Money Market",E200=E199),"STALE PRICE","")</f>
        <v/>
      </c>
      <c r="U200" s="6">
        <f>IF(F200&lt;0,"NEGATIVE CASH","")</f>
        <v/>
      </c>
      <c r="V200" s="6">
        <f>IF(ABS(R200)&gt;0.05*M200,"LARGE FLOW","")</f>
        <v/>
      </c>
      <c r="W200" s="6">
        <f>(S200&lt;&gt;"")*1+(T200&lt;&gt;"")*1+(U200&lt;&gt;"")*1+(V200&lt;&gt;"")*1</f>
        <v/>
      </c>
      <c r="X200" s="6">
        <f>IF(S200&lt;&gt;"",S200,IF(T200&lt;&gt;"",T200,IF(U200&lt;&gt;"",U200,IF(V200&lt;&gt;"",V200,""))))</f>
        <v/>
      </c>
    </row>
    <row r="201">
      <c r="A201" s="6" t="inlineStr">
        <is>
          <t>2026-04-10</t>
        </is>
      </c>
      <c r="B201" s="6" t="inlineStr">
        <is>
          <t>FDIV</t>
        </is>
      </c>
      <c r="C201" s="6">
        <f>INDEX('Fund Master'!$B$2:$B$7,MATCH(B201,'Fund Master'!$A$2:$A$7,0))</f>
        <v/>
      </c>
      <c r="D201" s="6">
        <f>INDEX('Fund Master'!$C$2:$C$7,MATCH(B201,'Fund Master'!$A$2:$A$7,0))</f>
        <v/>
      </c>
      <c r="E201" s="8" t="n">
        <v>258331408.08</v>
      </c>
      <c r="F201" s="8" t="n">
        <v>8544964.82</v>
      </c>
      <c r="G201" s="8" t="n">
        <v>1801932.24</v>
      </c>
      <c r="H201" s="8" t="n">
        <v>1287488.56</v>
      </c>
      <c r="I201" s="8" t="n">
        <v>66828.63</v>
      </c>
      <c r="J201" s="10" t="n">
        <v>21568627.451</v>
      </c>
      <c r="K201" s="9">
        <f>E201+F201+G201</f>
        <v/>
      </c>
      <c r="L201" s="9">
        <f>H201+I201</f>
        <v/>
      </c>
      <c r="M201" s="9">
        <f>K201-L201</f>
        <v/>
      </c>
      <c r="N201" s="11">
        <f>IFERROR(M201/J201,0)</f>
        <v/>
      </c>
      <c r="O201" s="11">
        <f>IF((B201=B200),N200,"")</f>
        <v/>
      </c>
      <c r="P201" s="12">
        <f>IF(O201="","",IFERROR((N201-O201)/O201,""))</f>
        <v/>
      </c>
      <c r="Q201" s="13">
        <f>INDEX('Fund Master'!$F$2:$F$7,MATCH(B201,'Fund Master'!$A$2:$A$7,0))</f>
        <v/>
      </c>
      <c r="R201" s="9">
        <f>SUMIFS('Capital Activity'!$E$2:$E$385,'Capital Activity'!$A$2:$A$385,A201,'Capital Activity'!$B$2:$B$385,B201)</f>
        <v/>
      </c>
      <c r="S201" s="6">
        <f>IF(O201="","",IF(ABS(P201)*10000&gt;Q201,"NAV MOVE BREACH",""))</f>
        <v/>
      </c>
      <c r="T201" s="6">
        <f>IF(AND((B201=B200),D201&lt;&gt;"Money Market",E201=E200),"STALE PRICE","")</f>
        <v/>
      </c>
      <c r="U201" s="6">
        <f>IF(F201&lt;0,"NEGATIVE CASH","")</f>
        <v/>
      </c>
      <c r="V201" s="6">
        <f>IF(ABS(R201)&gt;0.05*M201,"LARGE FLOW","")</f>
        <v/>
      </c>
      <c r="W201" s="6">
        <f>(S201&lt;&gt;"")*1+(T201&lt;&gt;"")*1+(U201&lt;&gt;"")*1+(V201&lt;&gt;"")*1</f>
        <v/>
      </c>
      <c r="X201" s="6">
        <f>IF(S201&lt;&gt;"",S201,IF(T201&lt;&gt;"",T201,IF(U201&lt;&gt;"",U201,IF(V201&lt;&gt;"",V201,""))))</f>
        <v/>
      </c>
    </row>
    <row r="202">
      <c r="A202" s="6" t="inlineStr">
        <is>
          <t>2026-04-13</t>
        </is>
      </c>
      <c r="B202" s="6" t="inlineStr">
        <is>
          <t>FDIV</t>
        </is>
      </c>
      <c r="C202" s="6">
        <f>INDEX('Fund Master'!$B$2:$B$7,MATCH(B202,'Fund Master'!$A$2:$A$7,0))</f>
        <v/>
      </c>
      <c r="D202" s="6">
        <f>INDEX('Fund Master'!$C$2:$C$7,MATCH(B202,'Fund Master'!$A$2:$A$7,0))</f>
        <v/>
      </c>
      <c r="E202" s="8" t="n">
        <v>257904740.53</v>
      </c>
      <c r="F202" s="8" t="n">
        <v>8706294.52</v>
      </c>
      <c r="G202" s="8" t="n">
        <v>1835695.58</v>
      </c>
      <c r="H202" s="8" t="n">
        <v>1103360.46</v>
      </c>
      <c r="I202" s="8" t="n">
        <v>75016.09</v>
      </c>
      <c r="J202" s="10" t="n">
        <v>21568627.451</v>
      </c>
      <c r="K202" s="9">
        <f>E202+F202+G202</f>
        <v/>
      </c>
      <c r="L202" s="9">
        <f>H202+I202</f>
        <v/>
      </c>
      <c r="M202" s="9">
        <f>K202-L202</f>
        <v/>
      </c>
      <c r="N202" s="11">
        <f>IFERROR(M202/J202,0)</f>
        <v/>
      </c>
      <c r="O202" s="11">
        <f>IF((B202=B201),N201,"")</f>
        <v/>
      </c>
      <c r="P202" s="12">
        <f>IF(O202="","",IFERROR((N202-O202)/O202,""))</f>
        <v/>
      </c>
      <c r="Q202" s="13">
        <f>INDEX('Fund Master'!$F$2:$F$7,MATCH(B202,'Fund Master'!$A$2:$A$7,0))</f>
        <v/>
      </c>
      <c r="R202" s="9">
        <f>SUMIFS('Capital Activity'!$E$2:$E$385,'Capital Activity'!$A$2:$A$385,A202,'Capital Activity'!$B$2:$B$385,B202)</f>
        <v/>
      </c>
      <c r="S202" s="6">
        <f>IF(O202="","",IF(ABS(P202)*10000&gt;Q202,"NAV MOVE BREACH",""))</f>
        <v/>
      </c>
      <c r="T202" s="6">
        <f>IF(AND((B202=B201),D202&lt;&gt;"Money Market",E202=E201),"STALE PRICE","")</f>
        <v/>
      </c>
      <c r="U202" s="6">
        <f>IF(F202&lt;0,"NEGATIVE CASH","")</f>
        <v/>
      </c>
      <c r="V202" s="6">
        <f>IF(ABS(R202)&gt;0.05*M202,"LARGE FLOW","")</f>
        <v/>
      </c>
      <c r="W202" s="6">
        <f>(S202&lt;&gt;"")*1+(T202&lt;&gt;"")*1+(U202&lt;&gt;"")*1+(V202&lt;&gt;"")*1</f>
        <v/>
      </c>
      <c r="X202" s="6">
        <f>IF(S202&lt;&gt;"",S202,IF(T202&lt;&gt;"",T202,IF(U202&lt;&gt;"",U202,IF(V202&lt;&gt;"",V202,""))))</f>
        <v/>
      </c>
    </row>
    <row r="203">
      <c r="A203" s="6" t="inlineStr">
        <is>
          <t>2026-04-14</t>
        </is>
      </c>
      <c r="B203" s="6" t="inlineStr">
        <is>
          <t>FDIV</t>
        </is>
      </c>
      <c r="C203" s="6">
        <f>INDEX('Fund Master'!$B$2:$B$7,MATCH(B203,'Fund Master'!$A$2:$A$7,0))</f>
        <v/>
      </c>
      <c r="D203" s="6">
        <f>INDEX('Fund Master'!$C$2:$C$7,MATCH(B203,'Fund Master'!$A$2:$A$7,0))</f>
        <v/>
      </c>
      <c r="E203" s="8" t="n">
        <v>257910483.24</v>
      </c>
      <c r="F203" s="8" t="n">
        <v>8646366.59</v>
      </c>
      <c r="G203" s="8" t="n">
        <v>1905317.37</v>
      </c>
      <c r="H203" s="8" t="n">
        <v>1162035.51</v>
      </c>
      <c r="I203" s="8" t="n">
        <v>83203.72</v>
      </c>
      <c r="J203" s="10" t="n">
        <v>21568627.451</v>
      </c>
      <c r="K203" s="9">
        <f>E203+F203+G203</f>
        <v/>
      </c>
      <c r="L203" s="9">
        <f>H203+I203</f>
        <v/>
      </c>
      <c r="M203" s="9">
        <f>K203-L203</f>
        <v/>
      </c>
      <c r="N203" s="11">
        <f>IFERROR(M203/J203,0)</f>
        <v/>
      </c>
      <c r="O203" s="11">
        <f>IF((B203=B202),N202,"")</f>
        <v/>
      </c>
      <c r="P203" s="12">
        <f>IF(O203="","",IFERROR((N203-O203)/O203,""))</f>
        <v/>
      </c>
      <c r="Q203" s="13">
        <f>INDEX('Fund Master'!$F$2:$F$7,MATCH(B203,'Fund Master'!$A$2:$A$7,0))</f>
        <v/>
      </c>
      <c r="R203" s="9">
        <f>SUMIFS('Capital Activity'!$E$2:$E$385,'Capital Activity'!$A$2:$A$385,A203,'Capital Activity'!$B$2:$B$385,B203)</f>
        <v/>
      </c>
      <c r="S203" s="6">
        <f>IF(O203="","",IF(ABS(P203)*10000&gt;Q203,"NAV MOVE BREACH",""))</f>
        <v/>
      </c>
      <c r="T203" s="6">
        <f>IF(AND((B203=B202),D203&lt;&gt;"Money Market",E203=E202),"STALE PRICE","")</f>
        <v/>
      </c>
      <c r="U203" s="6">
        <f>IF(F203&lt;0,"NEGATIVE CASH","")</f>
        <v/>
      </c>
      <c r="V203" s="6">
        <f>IF(ABS(R203)&gt;0.05*M203,"LARGE FLOW","")</f>
        <v/>
      </c>
      <c r="W203" s="6">
        <f>(S203&lt;&gt;"")*1+(T203&lt;&gt;"")*1+(U203&lt;&gt;"")*1+(V203&lt;&gt;"")*1</f>
        <v/>
      </c>
      <c r="X203" s="6">
        <f>IF(S203&lt;&gt;"",S203,IF(T203&lt;&gt;"",T203,IF(U203&lt;&gt;"",U203,IF(V203&lt;&gt;"",V203,""))))</f>
        <v/>
      </c>
    </row>
    <row r="204">
      <c r="A204" s="6" t="inlineStr">
        <is>
          <t>2026-04-15</t>
        </is>
      </c>
      <c r="B204" s="6" t="inlineStr">
        <is>
          <t>FDIV</t>
        </is>
      </c>
      <c r="C204" s="6">
        <f>INDEX('Fund Master'!$B$2:$B$7,MATCH(B204,'Fund Master'!$A$2:$A$7,0))</f>
        <v/>
      </c>
      <c r="D204" s="6">
        <f>INDEX('Fund Master'!$C$2:$C$7,MATCH(B204,'Fund Master'!$A$2:$A$7,0))</f>
        <v/>
      </c>
      <c r="E204" s="8" t="n">
        <v>255581360.99</v>
      </c>
      <c r="F204" s="8" t="n">
        <v>8356720.7</v>
      </c>
      <c r="G204" s="8" t="n">
        <v>1849668.4</v>
      </c>
      <c r="H204" s="8" t="n">
        <v>1204440.28</v>
      </c>
      <c r="I204" s="8" t="n">
        <v>91317.41</v>
      </c>
      <c r="J204" s="10" t="n">
        <v>21568627.451</v>
      </c>
      <c r="K204" s="9">
        <f>E204+F204+G204</f>
        <v/>
      </c>
      <c r="L204" s="9">
        <f>H204+I204</f>
        <v/>
      </c>
      <c r="M204" s="9">
        <f>K204-L204</f>
        <v/>
      </c>
      <c r="N204" s="11">
        <f>IFERROR(M204/J204,0)</f>
        <v/>
      </c>
      <c r="O204" s="11">
        <f>IF((B204=B203),N203,"")</f>
        <v/>
      </c>
      <c r="P204" s="12">
        <f>IF(O204="","",IFERROR((N204-O204)/O204,""))</f>
        <v/>
      </c>
      <c r="Q204" s="13">
        <f>INDEX('Fund Master'!$F$2:$F$7,MATCH(B204,'Fund Master'!$A$2:$A$7,0))</f>
        <v/>
      </c>
      <c r="R204" s="9">
        <f>SUMIFS('Capital Activity'!$E$2:$E$385,'Capital Activity'!$A$2:$A$385,A204,'Capital Activity'!$B$2:$B$385,B204)</f>
        <v/>
      </c>
      <c r="S204" s="6">
        <f>IF(O204="","",IF(ABS(P204)*10000&gt;Q204,"NAV MOVE BREACH",""))</f>
        <v/>
      </c>
      <c r="T204" s="6">
        <f>IF(AND((B204=B203),D204&lt;&gt;"Money Market",E204=E203),"STALE PRICE","")</f>
        <v/>
      </c>
      <c r="U204" s="6">
        <f>IF(F204&lt;0,"NEGATIVE CASH","")</f>
        <v/>
      </c>
      <c r="V204" s="6">
        <f>IF(ABS(R204)&gt;0.05*M204,"LARGE FLOW","")</f>
        <v/>
      </c>
      <c r="W204" s="6">
        <f>(S204&lt;&gt;"")*1+(T204&lt;&gt;"")*1+(U204&lt;&gt;"")*1+(V204&lt;&gt;"")*1</f>
        <v/>
      </c>
      <c r="X204" s="6">
        <f>IF(S204&lt;&gt;"",S204,IF(T204&lt;&gt;"",T204,IF(U204&lt;&gt;"",U204,IF(V204&lt;&gt;"",V204,""))))</f>
        <v/>
      </c>
    </row>
    <row r="205">
      <c r="A205" s="6" t="inlineStr">
        <is>
          <t>2026-04-16</t>
        </is>
      </c>
      <c r="B205" s="6" t="inlineStr">
        <is>
          <t>FDIV</t>
        </is>
      </c>
      <c r="C205" s="6">
        <f>INDEX('Fund Master'!$B$2:$B$7,MATCH(B205,'Fund Master'!$A$2:$A$7,0))</f>
        <v/>
      </c>
      <c r="D205" s="6">
        <f>INDEX('Fund Master'!$C$2:$C$7,MATCH(B205,'Fund Master'!$A$2:$A$7,0))</f>
        <v/>
      </c>
      <c r="E205" s="8" t="n">
        <v>257393026.46</v>
      </c>
      <c r="F205" s="8" t="n">
        <v>8495672.970000001</v>
      </c>
      <c r="G205" s="8" t="n">
        <v>1823152.52</v>
      </c>
      <c r="H205" s="8" t="n">
        <v>1239659.57</v>
      </c>
      <c r="I205" s="8" t="n">
        <v>99488.62</v>
      </c>
      <c r="J205" s="10" t="n">
        <v>21568627.451</v>
      </c>
      <c r="K205" s="9">
        <f>E205+F205+G205</f>
        <v/>
      </c>
      <c r="L205" s="9">
        <f>H205+I205</f>
        <v/>
      </c>
      <c r="M205" s="9">
        <f>K205-L205</f>
        <v/>
      </c>
      <c r="N205" s="11">
        <f>IFERROR(M205/J205,0)</f>
        <v/>
      </c>
      <c r="O205" s="11">
        <f>IF((B205=B204),N204,"")</f>
        <v/>
      </c>
      <c r="P205" s="12">
        <f>IF(O205="","",IFERROR((N205-O205)/O205,""))</f>
        <v/>
      </c>
      <c r="Q205" s="13">
        <f>INDEX('Fund Master'!$F$2:$F$7,MATCH(B205,'Fund Master'!$A$2:$A$7,0))</f>
        <v/>
      </c>
      <c r="R205" s="9">
        <f>SUMIFS('Capital Activity'!$E$2:$E$385,'Capital Activity'!$A$2:$A$385,A205,'Capital Activity'!$B$2:$B$385,B205)</f>
        <v/>
      </c>
      <c r="S205" s="6">
        <f>IF(O205="","",IF(ABS(P205)*10000&gt;Q205,"NAV MOVE BREACH",""))</f>
        <v/>
      </c>
      <c r="T205" s="6">
        <f>IF(AND((B205=B204),D205&lt;&gt;"Money Market",E205=E204),"STALE PRICE","")</f>
        <v/>
      </c>
      <c r="U205" s="6">
        <f>IF(F205&lt;0,"NEGATIVE CASH","")</f>
        <v/>
      </c>
      <c r="V205" s="6">
        <f>IF(ABS(R205)&gt;0.05*M205,"LARGE FLOW","")</f>
        <v/>
      </c>
      <c r="W205" s="6">
        <f>(S205&lt;&gt;"")*1+(T205&lt;&gt;"")*1+(U205&lt;&gt;"")*1+(V205&lt;&gt;"")*1</f>
        <v/>
      </c>
      <c r="X205" s="6">
        <f>IF(S205&lt;&gt;"",S205,IF(T205&lt;&gt;"",T205,IF(U205&lt;&gt;"",U205,IF(V205&lt;&gt;"",V205,""))))</f>
        <v/>
      </c>
    </row>
    <row r="206">
      <c r="A206" s="6" t="inlineStr">
        <is>
          <t>2026-04-17</t>
        </is>
      </c>
      <c r="B206" s="6" t="inlineStr">
        <is>
          <t>FDIV</t>
        </is>
      </c>
      <c r="C206" s="6">
        <f>INDEX('Fund Master'!$B$2:$B$7,MATCH(B206,'Fund Master'!$A$2:$A$7,0))</f>
        <v/>
      </c>
      <c r="D206" s="6">
        <f>INDEX('Fund Master'!$C$2:$C$7,MATCH(B206,'Fund Master'!$A$2:$A$7,0))</f>
        <v/>
      </c>
      <c r="E206" s="8" t="n">
        <v>260351676.17</v>
      </c>
      <c r="F206" s="8" t="n">
        <v>8703972.85</v>
      </c>
      <c r="G206" s="8" t="n">
        <v>1866069.1</v>
      </c>
      <c r="H206" s="8" t="n">
        <v>1320776.76</v>
      </c>
      <c r="I206" s="8" t="n">
        <v>107753.75</v>
      </c>
      <c r="J206" s="10" t="n">
        <v>21568627.451</v>
      </c>
      <c r="K206" s="9">
        <f>E206+F206+G206</f>
        <v/>
      </c>
      <c r="L206" s="9">
        <f>H206+I206</f>
        <v/>
      </c>
      <c r="M206" s="9">
        <f>K206-L206</f>
        <v/>
      </c>
      <c r="N206" s="11">
        <f>IFERROR(M206/J206,0)</f>
        <v/>
      </c>
      <c r="O206" s="11">
        <f>IF((B206=B205),N205,"")</f>
        <v/>
      </c>
      <c r="P206" s="12">
        <f>IF(O206="","",IFERROR((N206-O206)/O206,""))</f>
        <v/>
      </c>
      <c r="Q206" s="13">
        <f>INDEX('Fund Master'!$F$2:$F$7,MATCH(B206,'Fund Master'!$A$2:$A$7,0))</f>
        <v/>
      </c>
      <c r="R206" s="9">
        <f>SUMIFS('Capital Activity'!$E$2:$E$385,'Capital Activity'!$A$2:$A$385,A206,'Capital Activity'!$B$2:$B$385,B206)</f>
        <v/>
      </c>
      <c r="S206" s="6">
        <f>IF(O206="","",IF(ABS(P206)*10000&gt;Q206,"NAV MOVE BREACH",""))</f>
        <v/>
      </c>
      <c r="T206" s="6">
        <f>IF(AND((B206=B205),D206&lt;&gt;"Money Market",E206=E205),"STALE PRICE","")</f>
        <v/>
      </c>
      <c r="U206" s="6">
        <f>IF(F206&lt;0,"NEGATIVE CASH","")</f>
        <v/>
      </c>
      <c r="V206" s="6">
        <f>IF(ABS(R206)&gt;0.05*M206,"LARGE FLOW","")</f>
        <v/>
      </c>
      <c r="W206" s="6">
        <f>(S206&lt;&gt;"")*1+(T206&lt;&gt;"")*1+(U206&lt;&gt;"")*1+(V206&lt;&gt;"")*1</f>
        <v/>
      </c>
      <c r="X206" s="6">
        <f>IF(S206&lt;&gt;"",S206,IF(T206&lt;&gt;"",T206,IF(U206&lt;&gt;"",U206,IF(V206&lt;&gt;"",V206,""))))</f>
        <v/>
      </c>
    </row>
    <row r="207">
      <c r="A207" s="6" t="inlineStr">
        <is>
          <t>2026-04-20</t>
        </is>
      </c>
      <c r="B207" s="6" t="inlineStr">
        <is>
          <t>FDIV</t>
        </is>
      </c>
      <c r="C207" s="6">
        <f>INDEX('Fund Master'!$B$2:$B$7,MATCH(B207,'Fund Master'!$A$2:$A$7,0))</f>
        <v/>
      </c>
      <c r="D207" s="6">
        <f>INDEX('Fund Master'!$C$2:$C$7,MATCH(B207,'Fund Master'!$A$2:$A$7,0))</f>
        <v/>
      </c>
      <c r="E207" s="8" t="n">
        <v>260000426.31</v>
      </c>
      <c r="F207" s="8" t="n">
        <v>8576025</v>
      </c>
      <c r="G207" s="8" t="n">
        <v>1821420.32</v>
      </c>
      <c r="H207" s="8" t="n">
        <v>1309976.87</v>
      </c>
      <c r="I207" s="8" t="n">
        <v>116007.74</v>
      </c>
      <c r="J207" s="10" t="n">
        <v>21568627.451</v>
      </c>
      <c r="K207" s="9">
        <f>E207+F207+G207</f>
        <v/>
      </c>
      <c r="L207" s="9">
        <f>H207+I207</f>
        <v/>
      </c>
      <c r="M207" s="9">
        <f>K207-L207</f>
        <v/>
      </c>
      <c r="N207" s="11">
        <f>IFERROR(M207/J207,0)</f>
        <v/>
      </c>
      <c r="O207" s="11">
        <f>IF((B207=B206),N206,"")</f>
        <v/>
      </c>
      <c r="P207" s="12">
        <f>IF(O207="","",IFERROR((N207-O207)/O207,""))</f>
        <v/>
      </c>
      <c r="Q207" s="13">
        <f>INDEX('Fund Master'!$F$2:$F$7,MATCH(B207,'Fund Master'!$A$2:$A$7,0))</f>
        <v/>
      </c>
      <c r="R207" s="9">
        <f>SUMIFS('Capital Activity'!$E$2:$E$385,'Capital Activity'!$A$2:$A$385,A207,'Capital Activity'!$B$2:$B$385,B207)</f>
        <v/>
      </c>
      <c r="S207" s="6">
        <f>IF(O207="","",IF(ABS(P207)*10000&gt;Q207,"NAV MOVE BREACH",""))</f>
        <v/>
      </c>
      <c r="T207" s="6">
        <f>IF(AND((B207=B206),D207&lt;&gt;"Money Market",E207=E206),"STALE PRICE","")</f>
        <v/>
      </c>
      <c r="U207" s="6">
        <f>IF(F207&lt;0,"NEGATIVE CASH","")</f>
        <v/>
      </c>
      <c r="V207" s="6">
        <f>IF(ABS(R207)&gt;0.05*M207,"LARGE FLOW","")</f>
        <v/>
      </c>
      <c r="W207" s="6">
        <f>(S207&lt;&gt;"")*1+(T207&lt;&gt;"")*1+(U207&lt;&gt;"")*1+(V207&lt;&gt;"")*1</f>
        <v/>
      </c>
      <c r="X207" s="6">
        <f>IF(S207&lt;&gt;"",S207,IF(T207&lt;&gt;"",T207,IF(U207&lt;&gt;"",U207,IF(V207&lt;&gt;"",V207,""))))</f>
        <v/>
      </c>
    </row>
    <row r="208">
      <c r="A208" s="6" t="inlineStr">
        <is>
          <t>2026-04-21</t>
        </is>
      </c>
      <c r="B208" s="6" t="inlineStr">
        <is>
          <t>FDIV</t>
        </is>
      </c>
      <c r="C208" s="6">
        <f>INDEX('Fund Master'!$B$2:$B$7,MATCH(B208,'Fund Master'!$A$2:$A$7,0))</f>
        <v/>
      </c>
      <c r="D208" s="6">
        <f>INDEX('Fund Master'!$C$2:$C$7,MATCH(B208,'Fund Master'!$A$2:$A$7,0))</f>
        <v/>
      </c>
      <c r="E208" s="8" t="n">
        <v>255375190.49</v>
      </c>
      <c r="F208" s="8" t="n">
        <v>8456145.130000001</v>
      </c>
      <c r="G208" s="8" t="n">
        <v>1789092.34</v>
      </c>
      <c r="H208" s="8" t="n">
        <v>1236593.85</v>
      </c>
      <c r="I208" s="8" t="n">
        <v>124114.89</v>
      </c>
      <c r="J208" s="10" t="n">
        <v>21568627.451</v>
      </c>
      <c r="K208" s="9">
        <f>E208+F208+G208</f>
        <v/>
      </c>
      <c r="L208" s="9">
        <f>H208+I208</f>
        <v/>
      </c>
      <c r="M208" s="9">
        <f>K208-L208</f>
        <v/>
      </c>
      <c r="N208" s="11">
        <f>IFERROR(M208/J208,0)</f>
        <v/>
      </c>
      <c r="O208" s="11">
        <f>IF((B208=B207),N207,"")</f>
        <v/>
      </c>
      <c r="P208" s="12">
        <f>IF(O208="","",IFERROR((N208-O208)/O208,""))</f>
        <v/>
      </c>
      <c r="Q208" s="13">
        <f>INDEX('Fund Master'!$F$2:$F$7,MATCH(B208,'Fund Master'!$A$2:$A$7,0))</f>
        <v/>
      </c>
      <c r="R208" s="9">
        <f>SUMIFS('Capital Activity'!$E$2:$E$385,'Capital Activity'!$A$2:$A$385,A208,'Capital Activity'!$B$2:$B$385,B208)</f>
        <v/>
      </c>
      <c r="S208" s="6">
        <f>IF(O208="","",IF(ABS(P208)*10000&gt;Q208,"NAV MOVE BREACH",""))</f>
        <v/>
      </c>
      <c r="T208" s="6">
        <f>IF(AND((B208=B207),D208&lt;&gt;"Money Market",E208=E207),"STALE PRICE","")</f>
        <v/>
      </c>
      <c r="U208" s="6">
        <f>IF(F208&lt;0,"NEGATIVE CASH","")</f>
        <v/>
      </c>
      <c r="V208" s="6">
        <f>IF(ABS(R208)&gt;0.05*M208,"LARGE FLOW","")</f>
        <v/>
      </c>
      <c r="W208" s="6">
        <f>(S208&lt;&gt;"")*1+(T208&lt;&gt;"")*1+(U208&lt;&gt;"")*1+(V208&lt;&gt;"")*1</f>
        <v/>
      </c>
      <c r="X208" s="6">
        <f>IF(S208&lt;&gt;"",S208,IF(T208&lt;&gt;"",T208,IF(U208&lt;&gt;"",U208,IF(V208&lt;&gt;"",V208,""))))</f>
        <v/>
      </c>
    </row>
    <row r="209">
      <c r="A209" s="6" t="inlineStr">
        <is>
          <t>2026-04-22</t>
        </is>
      </c>
      <c r="B209" s="6" t="inlineStr">
        <is>
          <t>FDIV</t>
        </is>
      </c>
      <c r="C209" s="6">
        <f>INDEX('Fund Master'!$B$2:$B$7,MATCH(B209,'Fund Master'!$A$2:$A$7,0))</f>
        <v/>
      </c>
      <c r="D209" s="6">
        <f>INDEX('Fund Master'!$C$2:$C$7,MATCH(B209,'Fund Master'!$A$2:$A$7,0))</f>
        <v/>
      </c>
      <c r="E209" s="8" t="n">
        <v>251526221.92</v>
      </c>
      <c r="F209" s="8" t="n">
        <v>8213588.48</v>
      </c>
      <c r="G209" s="8" t="n">
        <v>1715697.2</v>
      </c>
      <c r="H209" s="8" t="n">
        <v>1161217.66</v>
      </c>
      <c r="I209" s="8" t="n">
        <v>132099.84</v>
      </c>
      <c r="J209" s="10" t="n">
        <v>21568627.451</v>
      </c>
      <c r="K209" s="9">
        <f>E209+F209+G209</f>
        <v/>
      </c>
      <c r="L209" s="9">
        <f>H209+I209</f>
        <v/>
      </c>
      <c r="M209" s="9">
        <f>K209-L209</f>
        <v/>
      </c>
      <c r="N209" s="11">
        <f>IFERROR(M209/J209,0)</f>
        <v/>
      </c>
      <c r="O209" s="11">
        <f>IF((B209=B208),N208,"")</f>
        <v/>
      </c>
      <c r="P209" s="12">
        <f>IF(O209="","",IFERROR((N209-O209)/O209,""))</f>
        <v/>
      </c>
      <c r="Q209" s="13">
        <f>INDEX('Fund Master'!$F$2:$F$7,MATCH(B209,'Fund Master'!$A$2:$A$7,0))</f>
        <v/>
      </c>
      <c r="R209" s="9">
        <f>SUMIFS('Capital Activity'!$E$2:$E$385,'Capital Activity'!$A$2:$A$385,A209,'Capital Activity'!$B$2:$B$385,B209)</f>
        <v/>
      </c>
      <c r="S209" s="6">
        <f>IF(O209="","",IF(ABS(P209)*10000&gt;Q209,"NAV MOVE BREACH",""))</f>
        <v/>
      </c>
      <c r="T209" s="6">
        <f>IF(AND((B209=B208),D209&lt;&gt;"Money Market",E209=E208),"STALE PRICE","")</f>
        <v/>
      </c>
      <c r="U209" s="6">
        <f>IF(F209&lt;0,"NEGATIVE CASH","")</f>
        <v/>
      </c>
      <c r="V209" s="6">
        <f>IF(ABS(R209)&gt;0.05*M209,"LARGE FLOW","")</f>
        <v/>
      </c>
      <c r="W209" s="6">
        <f>(S209&lt;&gt;"")*1+(T209&lt;&gt;"")*1+(U209&lt;&gt;"")*1+(V209&lt;&gt;"")*1</f>
        <v/>
      </c>
      <c r="X209" s="6">
        <f>IF(S209&lt;&gt;"",S209,IF(T209&lt;&gt;"",T209,IF(U209&lt;&gt;"",U209,IF(V209&lt;&gt;"",V209,""))))</f>
        <v/>
      </c>
    </row>
    <row r="210">
      <c r="A210" s="6" t="inlineStr">
        <is>
          <t>2026-04-23</t>
        </is>
      </c>
      <c r="B210" s="6" t="inlineStr">
        <is>
          <t>FDIV</t>
        </is>
      </c>
      <c r="C210" s="6">
        <f>INDEX('Fund Master'!$B$2:$B$7,MATCH(B210,'Fund Master'!$A$2:$A$7,0))</f>
        <v/>
      </c>
      <c r="D210" s="6">
        <f>INDEX('Fund Master'!$C$2:$C$7,MATCH(B210,'Fund Master'!$A$2:$A$7,0))</f>
        <v/>
      </c>
      <c r="E210" s="8" t="n">
        <v>250944469.19</v>
      </c>
      <c r="F210" s="8" t="n">
        <v>7892876.44</v>
      </c>
      <c r="G210" s="8" t="n">
        <v>1749998.09</v>
      </c>
      <c r="H210" s="8" t="n">
        <v>1083895.48</v>
      </c>
      <c r="I210" s="8" t="n">
        <v>140066.34</v>
      </c>
      <c r="J210" s="10" t="n">
        <v>21568627.451</v>
      </c>
      <c r="K210" s="9">
        <f>E210+F210+G210</f>
        <v/>
      </c>
      <c r="L210" s="9">
        <f>H210+I210</f>
        <v/>
      </c>
      <c r="M210" s="9">
        <f>K210-L210</f>
        <v/>
      </c>
      <c r="N210" s="11">
        <f>IFERROR(M210/J210,0)</f>
        <v/>
      </c>
      <c r="O210" s="11">
        <f>IF((B210=B209),N209,"")</f>
        <v/>
      </c>
      <c r="P210" s="12">
        <f>IF(O210="","",IFERROR((N210-O210)/O210,""))</f>
        <v/>
      </c>
      <c r="Q210" s="13">
        <f>INDEX('Fund Master'!$F$2:$F$7,MATCH(B210,'Fund Master'!$A$2:$A$7,0))</f>
        <v/>
      </c>
      <c r="R210" s="9">
        <f>SUMIFS('Capital Activity'!$E$2:$E$385,'Capital Activity'!$A$2:$A$385,A210,'Capital Activity'!$B$2:$B$385,B210)</f>
        <v/>
      </c>
      <c r="S210" s="6">
        <f>IF(O210="","",IF(ABS(P210)*10000&gt;Q210,"NAV MOVE BREACH",""))</f>
        <v/>
      </c>
      <c r="T210" s="6">
        <f>IF(AND((B210=B209),D210&lt;&gt;"Money Market",E210=E209),"STALE PRICE","")</f>
        <v/>
      </c>
      <c r="U210" s="6">
        <f>IF(F210&lt;0,"NEGATIVE CASH","")</f>
        <v/>
      </c>
      <c r="V210" s="6">
        <f>IF(ABS(R210)&gt;0.05*M210,"LARGE FLOW","")</f>
        <v/>
      </c>
      <c r="W210" s="6">
        <f>(S210&lt;&gt;"")*1+(T210&lt;&gt;"")*1+(U210&lt;&gt;"")*1+(V210&lt;&gt;"")*1</f>
        <v/>
      </c>
      <c r="X210" s="6">
        <f>IF(S210&lt;&gt;"",S210,IF(T210&lt;&gt;"",T210,IF(U210&lt;&gt;"",U210,IF(V210&lt;&gt;"",V210,""))))</f>
        <v/>
      </c>
    </row>
    <row r="211">
      <c r="A211" s="6" t="inlineStr">
        <is>
          <t>2026-04-24</t>
        </is>
      </c>
      <c r="B211" s="6" t="inlineStr">
        <is>
          <t>FDIV</t>
        </is>
      </c>
      <c r="C211" s="6">
        <f>INDEX('Fund Master'!$B$2:$B$7,MATCH(B211,'Fund Master'!$A$2:$A$7,0))</f>
        <v/>
      </c>
      <c r="D211" s="6">
        <f>INDEX('Fund Master'!$C$2:$C$7,MATCH(B211,'Fund Master'!$A$2:$A$7,0))</f>
        <v/>
      </c>
      <c r="E211" s="8" t="n">
        <v>254238430.7</v>
      </c>
      <c r="F211" s="8" t="n">
        <v>7796828.89</v>
      </c>
      <c r="G211" s="8" t="n">
        <v>1588726.77</v>
      </c>
      <c r="H211" s="8" t="n">
        <v>1109340.96</v>
      </c>
      <c r="I211" s="8" t="n">
        <v>148137.4</v>
      </c>
      <c r="J211" s="10" t="n">
        <v>21568627.451</v>
      </c>
      <c r="K211" s="9">
        <f>E211+F211+G211</f>
        <v/>
      </c>
      <c r="L211" s="9">
        <f>H211+I211</f>
        <v/>
      </c>
      <c r="M211" s="9">
        <f>K211-L211</f>
        <v/>
      </c>
      <c r="N211" s="11">
        <f>IFERROR(M211/J211,0)</f>
        <v/>
      </c>
      <c r="O211" s="11">
        <f>IF((B211=B210),N210,"")</f>
        <v/>
      </c>
      <c r="P211" s="12">
        <f>IF(O211="","",IFERROR((N211-O211)/O211,""))</f>
        <v/>
      </c>
      <c r="Q211" s="13">
        <f>INDEX('Fund Master'!$F$2:$F$7,MATCH(B211,'Fund Master'!$A$2:$A$7,0))</f>
        <v/>
      </c>
      <c r="R211" s="9">
        <f>SUMIFS('Capital Activity'!$E$2:$E$385,'Capital Activity'!$A$2:$A$385,A211,'Capital Activity'!$B$2:$B$385,B211)</f>
        <v/>
      </c>
      <c r="S211" s="6">
        <f>IF(O211="","",IF(ABS(P211)*10000&gt;Q211,"NAV MOVE BREACH",""))</f>
        <v/>
      </c>
      <c r="T211" s="6">
        <f>IF(AND((B211=B210),D211&lt;&gt;"Money Market",E211=E210),"STALE PRICE","")</f>
        <v/>
      </c>
      <c r="U211" s="6">
        <f>IF(F211&lt;0,"NEGATIVE CASH","")</f>
        <v/>
      </c>
      <c r="V211" s="6">
        <f>IF(ABS(R211)&gt;0.05*M211,"LARGE FLOW","")</f>
        <v/>
      </c>
      <c r="W211" s="6">
        <f>(S211&lt;&gt;"")*1+(T211&lt;&gt;"")*1+(U211&lt;&gt;"")*1+(V211&lt;&gt;"")*1</f>
        <v/>
      </c>
      <c r="X211" s="6">
        <f>IF(S211&lt;&gt;"",S211,IF(T211&lt;&gt;"",T211,IF(U211&lt;&gt;"",U211,IF(V211&lt;&gt;"",V211,""))))</f>
        <v/>
      </c>
    </row>
    <row r="212">
      <c r="A212" s="6" t="inlineStr">
        <is>
          <t>2026-04-27</t>
        </is>
      </c>
      <c r="B212" s="6" t="inlineStr">
        <is>
          <t>FDIV</t>
        </is>
      </c>
      <c r="C212" s="6">
        <f>INDEX('Fund Master'!$B$2:$B$7,MATCH(B212,'Fund Master'!$A$2:$A$7,0))</f>
        <v/>
      </c>
      <c r="D212" s="6">
        <f>INDEX('Fund Master'!$C$2:$C$7,MATCH(B212,'Fund Master'!$A$2:$A$7,0))</f>
        <v/>
      </c>
      <c r="E212" s="8" t="n">
        <v>254795661.45</v>
      </c>
      <c r="F212" s="8" t="n">
        <v>7738757.64</v>
      </c>
      <c r="G212" s="8" t="n">
        <v>1641565.2</v>
      </c>
      <c r="H212" s="8" t="n">
        <v>1052239.09</v>
      </c>
      <c r="I212" s="8" t="n">
        <v>156226.15</v>
      </c>
      <c r="J212" s="10" t="n">
        <v>21568627.451</v>
      </c>
      <c r="K212" s="9">
        <f>E212+F212+G212</f>
        <v/>
      </c>
      <c r="L212" s="9">
        <f>H212+I212</f>
        <v/>
      </c>
      <c r="M212" s="9">
        <f>K212-L212</f>
        <v/>
      </c>
      <c r="N212" s="11">
        <f>IFERROR(M212/J212,0)</f>
        <v/>
      </c>
      <c r="O212" s="11">
        <f>IF((B212=B211),N211,"")</f>
        <v/>
      </c>
      <c r="P212" s="12">
        <f>IF(O212="","",IFERROR((N212-O212)/O212,""))</f>
        <v/>
      </c>
      <c r="Q212" s="13">
        <f>INDEX('Fund Master'!$F$2:$F$7,MATCH(B212,'Fund Master'!$A$2:$A$7,0))</f>
        <v/>
      </c>
      <c r="R212" s="9">
        <f>SUMIFS('Capital Activity'!$E$2:$E$385,'Capital Activity'!$A$2:$A$385,A212,'Capital Activity'!$B$2:$B$385,B212)</f>
        <v/>
      </c>
      <c r="S212" s="6">
        <f>IF(O212="","",IF(ABS(P212)*10000&gt;Q212,"NAV MOVE BREACH",""))</f>
        <v/>
      </c>
      <c r="T212" s="6">
        <f>IF(AND((B212=B211),D212&lt;&gt;"Money Market",E212=E211),"STALE PRICE","")</f>
        <v/>
      </c>
      <c r="U212" s="6">
        <f>IF(F212&lt;0,"NEGATIVE CASH","")</f>
        <v/>
      </c>
      <c r="V212" s="6">
        <f>IF(ABS(R212)&gt;0.05*M212,"LARGE FLOW","")</f>
        <v/>
      </c>
      <c r="W212" s="6">
        <f>(S212&lt;&gt;"")*1+(T212&lt;&gt;"")*1+(U212&lt;&gt;"")*1+(V212&lt;&gt;"")*1</f>
        <v/>
      </c>
      <c r="X212" s="6">
        <f>IF(S212&lt;&gt;"",S212,IF(T212&lt;&gt;"",T212,IF(U212&lt;&gt;"",U212,IF(V212&lt;&gt;"",V212,""))))</f>
        <v/>
      </c>
    </row>
    <row r="213">
      <c r="A213" s="6" t="inlineStr">
        <is>
          <t>2026-04-28</t>
        </is>
      </c>
      <c r="B213" s="6" t="inlineStr">
        <is>
          <t>FDIV</t>
        </is>
      </c>
      <c r="C213" s="6">
        <f>INDEX('Fund Master'!$B$2:$B$7,MATCH(B213,'Fund Master'!$A$2:$A$7,0))</f>
        <v/>
      </c>
      <c r="D213" s="6">
        <f>INDEX('Fund Master'!$C$2:$C$7,MATCH(B213,'Fund Master'!$A$2:$A$7,0))</f>
        <v/>
      </c>
      <c r="E213" s="8" t="n">
        <v>257412920.99</v>
      </c>
      <c r="F213" s="8" t="n">
        <v>8244473.41</v>
      </c>
      <c r="G213" s="8" t="n">
        <v>1682670.45</v>
      </c>
      <c r="H213" s="8" t="n">
        <v>1031604.37</v>
      </c>
      <c r="I213" s="8" t="n">
        <v>164397.99</v>
      </c>
      <c r="J213" s="10" t="n">
        <v>21568627.451</v>
      </c>
      <c r="K213" s="9">
        <f>E213+F213+G213</f>
        <v/>
      </c>
      <c r="L213" s="9">
        <f>H213+I213</f>
        <v/>
      </c>
      <c r="M213" s="9">
        <f>K213-L213</f>
        <v/>
      </c>
      <c r="N213" s="11">
        <f>IFERROR(M213/J213,0)</f>
        <v/>
      </c>
      <c r="O213" s="11">
        <f>IF((B213=B212),N212,"")</f>
        <v/>
      </c>
      <c r="P213" s="12">
        <f>IF(O213="","",IFERROR((N213-O213)/O213,""))</f>
        <v/>
      </c>
      <c r="Q213" s="13">
        <f>INDEX('Fund Master'!$F$2:$F$7,MATCH(B213,'Fund Master'!$A$2:$A$7,0))</f>
        <v/>
      </c>
      <c r="R213" s="9">
        <f>SUMIFS('Capital Activity'!$E$2:$E$385,'Capital Activity'!$A$2:$A$385,A213,'Capital Activity'!$B$2:$B$385,B213)</f>
        <v/>
      </c>
      <c r="S213" s="6">
        <f>IF(O213="","",IF(ABS(P213)*10000&gt;Q213,"NAV MOVE BREACH",""))</f>
        <v/>
      </c>
      <c r="T213" s="6">
        <f>IF(AND((B213=B212),D213&lt;&gt;"Money Market",E213=E212),"STALE PRICE","")</f>
        <v/>
      </c>
      <c r="U213" s="6">
        <f>IF(F213&lt;0,"NEGATIVE CASH","")</f>
        <v/>
      </c>
      <c r="V213" s="6">
        <f>IF(ABS(R213)&gt;0.05*M213,"LARGE FLOW","")</f>
        <v/>
      </c>
      <c r="W213" s="6">
        <f>(S213&lt;&gt;"")*1+(T213&lt;&gt;"")*1+(U213&lt;&gt;"")*1+(V213&lt;&gt;"")*1</f>
        <v/>
      </c>
      <c r="X213" s="6">
        <f>IF(S213&lt;&gt;"",S213,IF(T213&lt;&gt;"",T213,IF(U213&lt;&gt;"",U213,IF(V213&lt;&gt;"",V213,""))))</f>
        <v/>
      </c>
    </row>
    <row r="214">
      <c r="A214" s="6" t="inlineStr">
        <is>
          <t>2026-04-29</t>
        </is>
      </c>
      <c r="B214" s="6" t="inlineStr">
        <is>
          <t>FDIV</t>
        </is>
      </c>
      <c r="C214" s="6">
        <f>INDEX('Fund Master'!$B$2:$B$7,MATCH(B214,'Fund Master'!$A$2:$A$7,0))</f>
        <v/>
      </c>
      <c r="D214" s="6">
        <f>INDEX('Fund Master'!$C$2:$C$7,MATCH(B214,'Fund Master'!$A$2:$A$7,0))</f>
        <v/>
      </c>
      <c r="E214" s="8" t="n">
        <v>255765536.28</v>
      </c>
      <c r="F214" s="8" t="n">
        <v>8128902.43</v>
      </c>
      <c r="G214" s="8" t="n">
        <v>1639731.24</v>
      </c>
      <c r="H214" s="8" t="n">
        <v>1034354.44</v>
      </c>
      <c r="I214" s="8" t="n">
        <v>172517.53</v>
      </c>
      <c r="J214" s="10" t="n">
        <v>21568627.451</v>
      </c>
      <c r="K214" s="9">
        <f>E214+F214+G214</f>
        <v/>
      </c>
      <c r="L214" s="9">
        <f>H214+I214</f>
        <v/>
      </c>
      <c r="M214" s="9">
        <f>K214-L214</f>
        <v/>
      </c>
      <c r="N214" s="11">
        <f>IFERROR(M214/J214,0)</f>
        <v/>
      </c>
      <c r="O214" s="11">
        <f>IF((B214=B213),N213,"")</f>
        <v/>
      </c>
      <c r="P214" s="12">
        <f>IF(O214="","",IFERROR((N214-O214)/O214,""))</f>
        <v/>
      </c>
      <c r="Q214" s="13">
        <f>INDEX('Fund Master'!$F$2:$F$7,MATCH(B214,'Fund Master'!$A$2:$A$7,0))</f>
        <v/>
      </c>
      <c r="R214" s="9">
        <f>SUMIFS('Capital Activity'!$E$2:$E$385,'Capital Activity'!$A$2:$A$385,A214,'Capital Activity'!$B$2:$B$385,B214)</f>
        <v/>
      </c>
      <c r="S214" s="6">
        <f>IF(O214="","",IF(ABS(P214)*10000&gt;Q214,"NAV MOVE BREACH",""))</f>
        <v/>
      </c>
      <c r="T214" s="6">
        <f>IF(AND((B214=B213),D214&lt;&gt;"Money Market",E214=E213),"STALE PRICE","")</f>
        <v/>
      </c>
      <c r="U214" s="6">
        <f>IF(F214&lt;0,"NEGATIVE CASH","")</f>
        <v/>
      </c>
      <c r="V214" s="6">
        <f>IF(ABS(R214)&gt;0.05*M214,"LARGE FLOW","")</f>
        <v/>
      </c>
      <c r="W214" s="6">
        <f>(S214&lt;&gt;"")*1+(T214&lt;&gt;"")*1+(U214&lt;&gt;"")*1+(V214&lt;&gt;"")*1</f>
        <v/>
      </c>
      <c r="X214" s="6">
        <f>IF(S214&lt;&gt;"",S214,IF(T214&lt;&gt;"",T214,IF(U214&lt;&gt;"",U214,IF(V214&lt;&gt;"",V214,""))))</f>
        <v/>
      </c>
    </row>
    <row r="215">
      <c r="A215" s="6" t="inlineStr">
        <is>
          <t>2026-04-30</t>
        </is>
      </c>
      <c r="B215" s="6" t="inlineStr">
        <is>
          <t>FDIV</t>
        </is>
      </c>
      <c r="C215" s="6">
        <f>INDEX('Fund Master'!$B$2:$B$7,MATCH(B215,'Fund Master'!$A$2:$A$7,0))</f>
        <v/>
      </c>
      <c r="D215" s="6">
        <f>INDEX('Fund Master'!$C$2:$C$7,MATCH(B215,'Fund Master'!$A$2:$A$7,0))</f>
        <v/>
      </c>
      <c r="E215" s="8" t="n">
        <v>255817192.5</v>
      </c>
      <c r="F215" s="8" t="n">
        <v>8129116.69</v>
      </c>
      <c r="G215" s="8" t="n">
        <v>1619930.95</v>
      </c>
      <c r="H215" s="8" t="n">
        <v>1044091.46</v>
      </c>
      <c r="I215" s="8" t="n">
        <v>180638.71</v>
      </c>
      <c r="J215" s="10" t="n">
        <v>21568627.451</v>
      </c>
      <c r="K215" s="9">
        <f>E215+F215+G215</f>
        <v/>
      </c>
      <c r="L215" s="9">
        <f>H215+I215</f>
        <v/>
      </c>
      <c r="M215" s="9">
        <f>K215-L215</f>
        <v/>
      </c>
      <c r="N215" s="11">
        <f>IFERROR(M215/J215,0)</f>
        <v/>
      </c>
      <c r="O215" s="11">
        <f>IF((B215=B214),N214,"")</f>
        <v/>
      </c>
      <c r="P215" s="12">
        <f>IF(O215="","",IFERROR((N215-O215)/O215,""))</f>
        <v/>
      </c>
      <c r="Q215" s="13">
        <f>INDEX('Fund Master'!$F$2:$F$7,MATCH(B215,'Fund Master'!$A$2:$A$7,0))</f>
        <v/>
      </c>
      <c r="R215" s="9">
        <f>SUMIFS('Capital Activity'!$E$2:$E$385,'Capital Activity'!$A$2:$A$385,A215,'Capital Activity'!$B$2:$B$385,B215)</f>
        <v/>
      </c>
      <c r="S215" s="6">
        <f>IF(O215="","",IF(ABS(P215)*10000&gt;Q215,"NAV MOVE BREACH",""))</f>
        <v/>
      </c>
      <c r="T215" s="6">
        <f>IF(AND((B215=B214),D215&lt;&gt;"Money Market",E215=E214),"STALE PRICE","")</f>
        <v/>
      </c>
      <c r="U215" s="6">
        <f>IF(F215&lt;0,"NEGATIVE CASH","")</f>
        <v/>
      </c>
      <c r="V215" s="6">
        <f>IF(ABS(R215)&gt;0.05*M215,"LARGE FLOW","")</f>
        <v/>
      </c>
      <c r="W215" s="6">
        <f>(S215&lt;&gt;"")*1+(T215&lt;&gt;"")*1+(U215&lt;&gt;"")*1+(V215&lt;&gt;"")*1</f>
        <v/>
      </c>
      <c r="X215" s="6">
        <f>IF(S215&lt;&gt;"",S215,IF(T215&lt;&gt;"",T215,IF(U215&lt;&gt;"",U215,IF(V215&lt;&gt;"",V215,""))))</f>
        <v/>
      </c>
    </row>
    <row r="216">
      <c r="A216" s="6" t="inlineStr">
        <is>
          <t>2026-05-01</t>
        </is>
      </c>
      <c r="B216" s="6" t="inlineStr">
        <is>
          <t>FDIV</t>
        </is>
      </c>
      <c r="C216" s="6">
        <f>INDEX('Fund Master'!$B$2:$B$7,MATCH(B216,'Fund Master'!$A$2:$A$7,0))</f>
        <v/>
      </c>
      <c r="D216" s="6">
        <f>INDEX('Fund Master'!$C$2:$C$7,MATCH(B216,'Fund Master'!$A$2:$A$7,0))</f>
        <v/>
      </c>
      <c r="E216" s="8" t="n">
        <v>254268959.57</v>
      </c>
      <c r="F216" s="8" t="n">
        <v>8033581.55</v>
      </c>
      <c r="G216" s="8" t="n">
        <v>1527995.79</v>
      </c>
      <c r="H216" s="8" t="n">
        <v>987777.66</v>
      </c>
      <c r="I216" s="8" t="n">
        <v>188710.74</v>
      </c>
      <c r="J216" s="10" t="n">
        <v>21568627.451</v>
      </c>
      <c r="K216" s="9">
        <f>E216+F216+G216</f>
        <v/>
      </c>
      <c r="L216" s="9">
        <f>H216+I216</f>
        <v/>
      </c>
      <c r="M216" s="9">
        <f>K216-L216</f>
        <v/>
      </c>
      <c r="N216" s="11">
        <f>IFERROR(M216/J216,0)</f>
        <v/>
      </c>
      <c r="O216" s="11">
        <f>IF((B216=B215),N215,"")</f>
        <v/>
      </c>
      <c r="P216" s="12">
        <f>IF(O216="","",IFERROR((N216-O216)/O216,""))</f>
        <v/>
      </c>
      <c r="Q216" s="13">
        <f>INDEX('Fund Master'!$F$2:$F$7,MATCH(B216,'Fund Master'!$A$2:$A$7,0))</f>
        <v/>
      </c>
      <c r="R216" s="9">
        <f>SUMIFS('Capital Activity'!$E$2:$E$385,'Capital Activity'!$A$2:$A$385,A216,'Capital Activity'!$B$2:$B$385,B216)</f>
        <v/>
      </c>
      <c r="S216" s="6">
        <f>IF(O216="","",IF(ABS(P216)*10000&gt;Q216,"NAV MOVE BREACH",""))</f>
        <v/>
      </c>
      <c r="T216" s="6">
        <f>IF(AND((B216=B215),D216&lt;&gt;"Money Market",E216=E215),"STALE PRICE","")</f>
        <v/>
      </c>
      <c r="U216" s="6">
        <f>IF(F216&lt;0,"NEGATIVE CASH","")</f>
        <v/>
      </c>
      <c r="V216" s="6">
        <f>IF(ABS(R216)&gt;0.05*M216,"LARGE FLOW","")</f>
        <v/>
      </c>
      <c r="W216" s="6">
        <f>(S216&lt;&gt;"")*1+(T216&lt;&gt;"")*1+(U216&lt;&gt;"")*1+(V216&lt;&gt;"")*1</f>
        <v/>
      </c>
      <c r="X216" s="6">
        <f>IF(S216&lt;&gt;"",S216,IF(T216&lt;&gt;"",T216,IF(U216&lt;&gt;"",U216,IF(V216&lt;&gt;"",V216,""))))</f>
        <v/>
      </c>
    </row>
    <row r="217">
      <c r="A217" s="6" t="inlineStr">
        <is>
          <t>2026-05-04</t>
        </is>
      </c>
      <c r="B217" s="6" t="inlineStr">
        <is>
          <t>FDIV</t>
        </is>
      </c>
      <c r="C217" s="6">
        <f>INDEX('Fund Master'!$B$2:$B$7,MATCH(B217,'Fund Master'!$A$2:$A$7,0))</f>
        <v/>
      </c>
      <c r="D217" s="6">
        <f>INDEX('Fund Master'!$C$2:$C$7,MATCH(B217,'Fund Master'!$A$2:$A$7,0))</f>
        <v/>
      </c>
      <c r="E217" s="8" t="n">
        <v>254954044.73</v>
      </c>
      <c r="F217" s="8" t="n">
        <v>8084840.61</v>
      </c>
      <c r="G217" s="8" t="n">
        <v>1584178.29</v>
      </c>
      <c r="H217" s="8" t="n">
        <v>982033.42</v>
      </c>
      <c r="I217" s="8" t="n">
        <v>196804.52</v>
      </c>
      <c r="J217" s="10" t="n">
        <v>21568627.451</v>
      </c>
      <c r="K217" s="9">
        <f>E217+F217+G217</f>
        <v/>
      </c>
      <c r="L217" s="9">
        <f>H217+I217</f>
        <v/>
      </c>
      <c r="M217" s="9">
        <f>K217-L217</f>
        <v/>
      </c>
      <c r="N217" s="11">
        <f>IFERROR(M217/J217,0)</f>
        <v/>
      </c>
      <c r="O217" s="11">
        <f>IF((B217=B216),N216,"")</f>
        <v/>
      </c>
      <c r="P217" s="12">
        <f>IF(O217="","",IFERROR((N217-O217)/O217,""))</f>
        <v/>
      </c>
      <c r="Q217" s="13">
        <f>INDEX('Fund Master'!$F$2:$F$7,MATCH(B217,'Fund Master'!$A$2:$A$7,0))</f>
        <v/>
      </c>
      <c r="R217" s="9">
        <f>SUMIFS('Capital Activity'!$E$2:$E$385,'Capital Activity'!$A$2:$A$385,A217,'Capital Activity'!$B$2:$B$385,B217)</f>
        <v/>
      </c>
      <c r="S217" s="6">
        <f>IF(O217="","",IF(ABS(P217)*10000&gt;Q217,"NAV MOVE BREACH",""))</f>
        <v/>
      </c>
      <c r="T217" s="6">
        <f>IF(AND((B217=B216),D217&lt;&gt;"Money Market",E217=E216),"STALE PRICE","")</f>
        <v/>
      </c>
      <c r="U217" s="6">
        <f>IF(F217&lt;0,"NEGATIVE CASH","")</f>
        <v/>
      </c>
      <c r="V217" s="6">
        <f>IF(ABS(R217)&gt;0.05*M217,"LARGE FLOW","")</f>
        <v/>
      </c>
      <c r="W217" s="6">
        <f>(S217&lt;&gt;"")*1+(T217&lt;&gt;"")*1+(U217&lt;&gt;"")*1+(V217&lt;&gt;"")*1</f>
        <v/>
      </c>
      <c r="X217" s="6">
        <f>IF(S217&lt;&gt;"",S217,IF(T217&lt;&gt;"",T217,IF(U217&lt;&gt;"",U217,IF(V217&lt;&gt;"",V217,""))))</f>
        <v/>
      </c>
    </row>
    <row r="218">
      <c r="A218" s="6" t="inlineStr">
        <is>
          <t>2026-05-05</t>
        </is>
      </c>
      <c r="B218" s="6" t="inlineStr">
        <is>
          <t>FDIV</t>
        </is>
      </c>
      <c r="C218" s="6">
        <f>INDEX('Fund Master'!$B$2:$B$7,MATCH(B218,'Fund Master'!$A$2:$A$7,0))</f>
        <v/>
      </c>
      <c r="D218" s="6">
        <f>INDEX('Fund Master'!$C$2:$C$7,MATCH(B218,'Fund Master'!$A$2:$A$7,0))</f>
        <v/>
      </c>
      <c r="E218" s="8" t="n">
        <v>255647759.98</v>
      </c>
      <c r="F218" s="8" t="n">
        <v>8017450.43</v>
      </c>
      <c r="G218" s="8" t="n">
        <v>1438853.99</v>
      </c>
      <c r="H218" s="8" t="n">
        <v>976466.72</v>
      </c>
      <c r="I218" s="8" t="n">
        <v>204920.32</v>
      </c>
      <c r="J218" s="10" t="n">
        <v>21568627.451</v>
      </c>
      <c r="K218" s="9">
        <f>E218+F218+G218</f>
        <v/>
      </c>
      <c r="L218" s="9">
        <f>H218+I218</f>
        <v/>
      </c>
      <c r="M218" s="9">
        <f>K218-L218</f>
        <v/>
      </c>
      <c r="N218" s="11">
        <f>IFERROR(M218/J218,0)</f>
        <v/>
      </c>
      <c r="O218" s="11">
        <f>IF((B218=B217),N217,"")</f>
        <v/>
      </c>
      <c r="P218" s="12">
        <f>IF(O218="","",IFERROR((N218-O218)/O218,""))</f>
        <v/>
      </c>
      <c r="Q218" s="13">
        <f>INDEX('Fund Master'!$F$2:$F$7,MATCH(B218,'Fund Master'!$A$2:$A$7,0))</f>
        <v/>
      </c>
      <c r="R218" s="9">
        <f>SUMIFS('Capital Activity'!$E$2:$E$385,'Capital Activity'!$A$2:$A$385,A218,'Capital Activity'!$B$2:$B$385,B218)</f>
        <v/>
      </c>
      <c r="S218" s="6">
        <f>IF(O218="","",IF(ABS(P218)*10000&gt;Q218,"NAV MOVE BREACH",""))</f>
        <v/>
      </c>
      <c r="T218" s="6">
        <f>IF(AND((B218=B217),D218&lt;&gt;"Money Market",E218=E217),"STALE PRICE","")</f>
        <v/>
      </c>
      <c r="U218" s="6">
        <f>IF(F218&lt;0,"NEGATIVE CASH","")</f>
        <v/>
      </c>
      <c r="V218" s="6">
        <f>IF(ABS(R218)&gt;0.05*M218,"LARGE FLOW","")</f>
        <v/>
      </c>
      <c r="W218" s="6">
        <f>(S218&lt;&gt;"")*1+(T218&lt;&gt;"")*1+(U218&lt;&gt;"")*1+(V218&lt;&gt;"")*1</f>
        <v/>
      </c>
      <c r="X218" s="6">
        <f>IF(S218&lt;&gt;"",S218,IF(T218&lt;&gt;"",T218,IF(U218&lt;&gt;"",U218,IF(V218&lt;&gt;"",V218,""))))</f>
        <v/>
      </c>
    </row>
    <row r="219">
      <c r="A219" s="6" t="inlineStr">
        <is>
          <t>2026-05-06</t>
        </is>
      </c>
      <c r="B219" s="6" t="inlineStr">
        <is>
          <t>FDIV</t>
        </is>
      </c>
      <c r="C219" s="6">
        <f>INDEX('Fund Master'!$B$2:$B$7,MATCH(B219,'Fund Master'!$A$2:$A$7,0))</f>
        <v/>
      </c>
      <c r="D219" s="6">
        <f>INDEX('Fund Master'!$C$2:$C$7,MATCH(B219,'Fund Master'!$A$2:$A$7,0))</f>
        <v/>
      </c>
      <c r="E219" s="8" t="n">
        <v>258043505.72</v>
      </c>
      <c r="F219" s="8" t="n">
        <v>8283969.47</v>
      </c>
      <c r="G219" s="8" t="n">
        <v>1457828.49</v>
      </c>
      <c r="H219" s="8" t="n">
        <v>997837.3100000001</v>
      </c>
      <c r="I219" s="8" t="n">
        <v>213112.18</v>
      </c>
      <c r="J219" s="10" t="n">
        <v>21568627.451</v>
      </c>
      <c r="K219" s="9">
        <f>E219+F219+G219</f>
        <v/>
      </c>
      <c r="L219" s="9">
        <f>H219+I219</f>
        <v/>
      </c>
      <c r="M219" s="9">
        <f>K219-L219</f>
        <v/>
      </c>
      <c r="N219" s="11">
        <f>IFERROR(M219/J219,0)</f>
        <v/>
      </c>
      <c r="O219" s="11">
        <f>IF((B219=B218),N218,"")</f>
        <v/>
      </c>
      <c r="P219" s="12">
        <f>IF(O219="","",IFERROR((N219-O219)/O219,""))</f>
        <v/>
      </c>
      <c r="Q219" s="13">
        <f>INDEX('Fund Master'!$F$2:$F$7,MATCH(B219,'Fund Master'!$A$2:$A$7,0))</f>
        <v/>
      </c>
      <c r="R219" s="9">
        <f>SUMIFS('Capital Activity'!$E$2:$E$385,'Capital Activity'!$A$2:$A$385,A219,'Capital Activity'!$B$2:$B$385,B219)</f>
        <v/>
      </c>
      <c r="S219" s="6">
        <f>IF(O219="","",IF(ABS(P219)*10000&gt;Q219,"NAV MOVE BREACH",""))</f>
        <v/>
      </c>
      <c r="T219" s="6">
        <f>IF(AND((B219=B218),D219&lt;&gt;"Money Market",E219=E218),"STALE PRICE","")</f>
        <v/>
      </c>
      <c r="U219" s="6">
        <f>IF(F219&lt;0,"NEGATIVE CASH","")</f>
        <v/>
      </c>
      <c r="V219" s="6">
        <f>IF(ABS(R219)&gt;0.05*M219,"LARGE FLOW","")</f>
        <v/>
      </c>
      <c r="W219" s="6">
        <f>(S219&lt;&gt;"")*1+(T219&lt;&gt;"")*1+(U219&lt;&gt;"")*1+(V219&lt;&gt;"")*1</f>
        <v/>
      </c>
      <c r="X219" s="6">
        <f>IF(S219&lt;&gt;"",S219,IF(T219&lt;&gt;"",T219,IF(U219&lt;&gt;"",U219,IF(V219&lt;&gt;"",V219,""))))</f>
        <v/>
      </c>
    </row>
    <row r="220">
      <c r="A220" s="6" t="inlineStr">
        <is>
          <t>2026-05-07</t>
        </is>
      </c>
      <c r="B220" s="6" t="inlineStr">
        <is>
          <t>FDIV</t>
        </is>
      </c>
      <c r="C220" s="6">
        <f>INDEX('Fund Master'!$B$2:$B$7,MATCH(B220,'Fund Master'!$A$2:$A$7,0))</f>
        <v/>
      </c>
      <c r="D220" s="6">
        <f>INDEX('Fund Master'!$C$2:$C$7,MATCH(B220,'Fund Master'!$A$2:$A$7,0))</f>
        <v/>
      </c>
      <c r="E220" s="8" t="n">
        <v>259604624.01</v>
      </c>
      <c r="F220" s="8" t="n">
        <v>8521606.42</v>
      </c>
      <c r="G220" s="8" t="n">
        <v>1457959.88</v>
      </c>
      <c r="H220" s="8" t="n">
        <v>975824.96</v>
      </c>
      <c r="I220" s="8" t="n">
        <v>221353.59</v>
      </c>
      <c r="J220" s="10" t="n">
        <v>21568627.451</v>
      </c>
      <c r="K220" s="9">
        <f>E220+F220+G220</f>
        <v/>
      </c>
      <c r="L220" s="9">
        <f>H220+I220</f>
        <v/>
      </c>
      <c r="M220" s="9">
        <f>K220-L220</f>
        <v/>
      </c>
      <c r="N220" s="11">
        <f>IFERROR(M220/J220,0)</f>
        <v/>
      </c>
      <c r="O220" s="11">
        <f>IF((B220=B219),N219,"")</f>
        <v/>
      </c>
      <c r="P220" s="12">
        <f>IF(O220="","",IFERROR((N220-O220)/O220,""))</f>
        <v/>
      </c>
      <c r="Q220" s="13">
        <f>INDEX('Fund Master'!$F$2:$F$7,MATCH(B220,'Fund Master'!$A$2:$A$7,0))</f>
        <v/>
      </c>
      <c r="R220" s="9">
        <f>SUMIFS('Capital Activity'!$E$2:$E$385,'Capital Activity'!$A$2:$A$385,A220,'Capital Activity'!$B$2:$B$385,B220)</f>
        <v/>
      </c>
      <c r="S220" s="6">
        <f>IF(O220="","",IF(ABS(P220)*10000&gt;Q220,"NAV MOVE BREACH",""))</f>
        <v/>
      </c>
      <c r="T220" s="6">
        <f>IF(AND((B220=B219),D220&lt;&gt;"Money Market",E220=E219),"STALE PRICE","")</f>
        <v/>
      </c>
      <c r="U220" s="6">
        <f>IF(F220&lt;0,"NEGATIVE CASH","")</f>
        <v/>
      </c>
      <c r="V220" s="6">
        <f>IF(ABS(R220)&gt;0.05*M220,"LARGE FLOW","")</f>
        <v/>
      </c>
      <c r="W220" s="6">
        <f>(S220&lt;&gt;"")*1+(T220&lt;&gt;"")*1+(U220&lt;&gt;"")*1+(V220&lt;&gt;"")*1</f>
        <v/>
      </c>
      <c r="X220" s="6">
        <f>IF(S220&lt;&gt;"",S220,IF(T220&lt;&gt;"",T220,IF(U220&lt;&gt;"",U220,IF(V220&lt;&gt;"",V220,""))))</f>
        <v/>
      </c>
    </row>
    <row r="221">
      <c r="A221" s="6" t="inlineStr">
        <is>
          <t>2026-05-08</t>
        </is>
      </c>
      <c r="B221" s="6" t="inlineStr">
        <is>
          <t>FDIV</t>
        </is>
      </c>
      <c r="C221" s="6">
        <f>INDEX('Fund Master'!$B$2:$B$7,MATCH(B221,'Fund Master'!$A$2:$A$7,0))</f>
        <v/>
      </c>
      <c r="D221" s="6">
        <f>INDEX('Fund Master'!$C$2:$C$7,MATCH(B221,'Fund Master'!$A$2:$A$7,0))</f>
        <v/>
      </c>
      <c r="E221" s="8" t="n">
        <v>256095646.76</v>
      </c>
      <c r="F221" s="8" t="n">
        <v>8053597.93</v>
      </c>
      <c r="G221" s="8" t="n">
        <v>1404415.57</v>
      </c>
      <c r="H221" s="8" t="n">
        <v>887606.51</v>
      </c>
      <c r="I221" s="8" t="n">
        <v>229483.61</v>
      </c>
      <c r="J221" s="10" t="n">
        <v>21568627.451</v>
      </c>
      <c r="K221" s="9">
        <f>E221+F221+G221</f>
        <v/>
      </c>
      <c r="L221" s="9">
        <f>H221+I221</f>
        <v/>
      </c>
      <c r="M221" s="9">
        <f>K221-L221</f>
        <v/>
      </c>
      <c r="N221" s="11">
        <f>IFERROR(M221/J221,0)</f>
        <v/>
      </c>
      <c r="O221" s="11">
        <f>IF((B221=B220),N220,"")</f>
        <v/>
      </c>
      <c r="P221" s="12">
        <f>IF(O221="","",IFERROR((N221-O221)/O221,""))</f>
        <v/>
      </c>
      <c r="Q221" s="13">
        <f>INDEX('Fund Master'!$F$2:$F$7,MATCH(B221,'Fund Master'!$A$2:$A$7,0))</f>
        <v/>
      </c>
      <c r="R221" s="9">
        <f>SUMIFS('Capital Activity'!$E$2:$E$385,'Capital Activity'!$A$2:$A$385,A221,'Capital Activity'!$B$2:$B$385,B221)</f>
        <v/>
      </c>
      <c r="S221" s="6">
        <f>IF(O221="","",IF(ABS(P221)*10000&gt;Q221,"NAV MOVE BREACH",""))</f>
        <v/>
      </c>
      <c r="T221" s="6">
        <f>IF(AND((B221=B220),D221&lt;&gt;"Money Market",E221=E220),"STALE PRICE","")</f>
        <v/>
      </c>
      <c r="U221" s="6">
        <f>IF(F221&lt;0,"NEGATIVE CASH","")</f>
        <v/>
      </c>
      <c r="V221" s="6">
        <f>IF(ABS(R221)&gt;0.05*M221,"LARGE FLOW","")</f>
        <v/>
      </c>
      <c r="W221" s="6">
        <f>(S221&lt;&gt;"")*1+(T221&lt;&gt;"")*1+(U221&lt;&gt;"")*1+(V221&lt;&gt;"")*1</f>
        <v/>
      </c>
      <c r="X221" s="6">
        <f>IF(S221&lt;&gt;"",S221,IF(T221&lt;&gt;"",T221,IF(U221&lt;&gt;"",U221,IF(V221&lt;&gt;"",V221,""))))</f>
        <v/>
      </c>
    </row>
    <row r="222">
      <c r="A222" s="6" t="inlineStr">
        <is>
          <t>2026-05-11</t>
        </is>
      </c>
      <c r="B222" s="6" t="inlineStr">
        <is>
          <t>FDIV</t>
        </is>
      </c>
      <c r="C222" s="6">
        <f>INDEX('Fund Master'!$B$2:$B$7,MATCH(B222,'Fund Master'!$A$2:$A$7,0))</f>
        <v/>
      </c>
      <c r="D222" s="6">
        <f>INDEX('Fund Master'!$C$2:$C$7,MATCH(B222,'Fund Master'!$A$2:$A$7,0))</f>
        <v/>
      </c>
      <c r="E222" s="8" t="n">
        <v>255044153.92</v>
      </c>
      <c r="F222" s="8" t="n">
        <v>8242797</v>
      </c>
      <c r="G222" s="8" t="n">
        <v>1418649.48</v>
      </c>
      <c r="H222" s="8" t="n">
        <v>902354.34</v>
      </c>
      <c r="I222" s="8" t="n">
        <v>237580.25</v>
      </c>
      <c r="J222" s="10" t="n">
        <v>21568627.451</v>
      </c>
      <c r="K222" s="9">
        <f>E222+F222+G222</f>
        <v/>
      </c>
      <c r="L222" s="9">
        <f>H222+I222</f>
        <v/>
      </c>
      <c r="M222" s="9">
        <f>K222-L222</f>
        <v/>
      </c>
      <c r="N222" s="11">
        <f>IFERROR(M222/J222,0)</f>
        <v/>
      </c>
      <c r="O222" s="11">
        <f>IF((B222=B221),N221,"")</f>
        <v/>
      </c>
      <c r="P222" s="12">
        <f>IF(O222="","",IFERROR((N222-O222)/O222,""))</f>
        <v/>
      </c>
      <c r="Q222" s="13">
        <f>INDEX('Fund Master'!$F$2:$F$7,MATCH(B222,'Fund Master'!$A$2:$A$7,0))</f>
        <v/>
      </c>
      <c r="R222" s="9">
        <f>SUMIFS('Capital Activity'!$E$2:$E$385,'Capital Activity'!$A$2:$A$385,A222,'Capital Activity'!$B$2:$B$385,B222)</f>
        <v/>
      </c>
      <c r="S222" s="6">
        <f>IF(O222="","",IF(ABS(P222)*10000&gt;Q222,"NAV MOVE BREACH",""))</f>
        <v/>
      </c>
      <c r="T222" s="6">
        <f>IF(AND((B222=B221),D222&lt;&gt;"Money Market",E222=E221),"STALE PRICE","")</f>
        <v/>
      </c>
      <c r="U222" s="6">
        <f>IF(F222&lt;0,"NEGATIVE CASH","")</f>
        <v/>
      </c>
      <c r="V222" s="6">
        <f>IF(ABS(R222)&gt;0.05*M222,"LARGE FLOW","")</f>
        <v/>
      </c>
      <c r="W222" s="6">
        <f>(S222&lt;&gt;"")*1+(T222&lt;&gt;"")*1+(U222&lt;&gt;"")*1+(V222&lt;&gt;"")*1</f>
        <v/>
      </c>
      <c r="X222" s="6">
        <f>IF(S222&lt;&gt;"",S222,IF(T222&lt;&gt;"",T222,IF(U222&lt;&gt;"",U222,IF(V222&lt;&gt;"",V222,""))))</f>
        <v/>
      </c>
    </row>
    <row r="223">
      <c r="A223" s="6" t="inlineStr">
        <is>
          <t>2026-05-12</t>
        </is>
      </c>
      <c r="B223" s="6" t="inlineStr">
        <is>
          <t>FDIV</t>
        </is>
      </c>
      <c r="C223" s="6">
        <f>INDEX('Fund Master'!$B$2:$B$7,MATCH(B223,'Fund Master'!$A$2:$A$7,0))</f>
        <v/>
      </c>
      <c r="D223" s="6">
        <f>INDEX('Fund Master'!$C$2:$C$7,MATCH(B223,'Fund Master'!$A$2:$A$7,0))</f>
        <v/>
      </c>
      <c r="E223" s="8" t="n">
        <v>257612846.92</v>
      </c>
      <c r="F223" s="8" t="n">
        <v>8314104.13</v>
      </c>
      <c r="G223" s="8" t="n">
        <v>1474391.36</v>
      </c>
      <c r="H223" s="8" t="n">
        <v>845172.65</v>
      </c>
      <c r="I223" s="8" t="n">
        <v>245758.44</v>
      </c>
      <c r="J223" s="10" t="n">
        <v>21568627.451</v>
      </c>
      <c r="K223" s="9">
        <f>E223+F223+G223</f>
        <v/>
      </c>
      <c r="L223" s="9">
        <f>H223+I223</f>
        <v/>
      </c>
      <c r="M223" s="9">
        <f>K223-L223</f>
        <v/>
      </c>
      <c r="N223" s="11">
        <f>IFERROR(M223/J223,0)</f>
        <v/>
      </c>
      <c r="O223" s="11">
        <f>IF((B223=B222),N222,"")</f>
        <v/>
      </c>
      <c r="P223" s="12">
        <f>IF(O223="","",IFERROR((N223-O223)/O223,""))</f>
        <v/>
      </c>
      <c r="Q223" s="13">
        <f>INDEX('Fund Master'!$F$2:$F$7,MATCH(B223,'Fund Master'!$A$2:$A$7,0))</f>
        <v/>
      </c>
      <c r="R223" s="9">
        <f>SUMIFS('Capital Activity'!$E$2:$E$385,'Capital Activity'!$A$2:$A$385,A223,'Capital Activity'!$B$2:$B$385,B223)</f>
        <v/>
      </c>
      <c r="S223" s="6">
        <f>IF(O223="","",IF(ABS(P223)*10000&gt;Q223,"NAV MOVE BREACH",""))</f>
        <v/>
      </c>
      <c r="T223" s="6">
        <f>IF(AND((B223=B222),D223&lt;&gt;"Money Market",E223=E222),"STALE PRICE","")</f>
        <v/>
      </c>
      <c r="U223" s="6">
        <f>IF(F223&lt;0,"NEGATIVE CASH","")</f>
        <v/>
      </c>
      <c r="V223" s="6">
        <f>IF(ABS(R223)&gt;0.05*M223,"LARGE FLOW","")</f>
        <v/>
      </c>
      <c r="W223" s="6">
        <f>(S223&lt;&gt;"")*1+(T223&lt;&gt;"")*1+(U223&lt;&gt;"")*1+(V223&lt;&gt;"")*1</f>
        <v/>
      </c>
      <c r="X223" s="6">
        <f>IF(S223&lt;&gt;"",S223,IF(T223&lt;&gt;"",T223,IF(U223&lt;&gt;"",U223,IF(V223&lt;&gt;"",V223,""))))</f>
        <v/>
      </c>
    </row>
    <row r="224">
      <c r="A224" s="6" t="inlineStr">
        <is>
          <t>2026-05-13</t>
        </is>
      </c>
      <c r="B224" s="6" t="inlineStr">
        <is>
          <t>FDIV</t>
        </is>
      </c>
      <c r="C224" s="6">
        <f>INDEX('Fund Master'!$B$2:$B$7,MATCH(B224,'Fund Master'!$A$2:$A$7,0))</f>
        <v/>
      </c>
      <c r="D224" s="6">
        <f>INDEX('Fund Master'!$C$2:$C$7,MATCH(B224,'Fund Master'!$A$2:$A$7,0))</f>
        <v/>
      </c>
      <c r="E224" s="8" t="n">
        <v>258585564.82</v>
      </c>
      <c r="F224" s="8" t="n">
        <v>8205542.77</v>
      </c>
      <c r="G224" s="8" t="n">
        <v>1425986.74</v>
      </c>
      <c r="H224" s="8" t="n">
        <v>918209.01</v>
      </c>
      <c r="I224" s="8" t="n">
        <v>253967.51</v>
      </c>
      <c r="J224" s="10" t="n">
        <v>21568627.451</v>
      </c>
      <c r="K224" s="9">
        <f>E224+F224+G224</f>
        <v/>
      </c>
      <c r="L224" s="9">
        <f>H224+I224</f>
        <v/>
      </c>
      <c r="M224" s="9">
        <f>K224-L224</f>
        <v/>
      </c>
      <c r="N224" s="11">
        <f>IFERROR(M224/J224,0)</f>
        <v/>
      </c>
      <c r="O224" s="11">
        <f>IF((B224=B223),N223,"")</f>
        <v/>
      </c>
      <c r="P224" s="12">
        <f>IF(O224="","",IFERROR((N224-O224)/O224,""))</f>
        <v/>
      </c>
      <c r="Q224" s="13">
        <f>INDEX('Fund Master'!$F$2:$F$7,MATCH(B224,'Fund Master'!$A$2:$A$7,0))</f>
        <v/>
      </c>
      <c r="R224" s="9">
        <f>SUMIFS('Capital Activity'!$E$2:$E$385,'Capital Activity'!$A$2:$A$385,A224,'Capital Activity'!$B$2:$B$385,B224)</f>
        <v/>
      </c>
      <c r="S224" s="6">
        <f>IF(O224="","",IF(ABS(P224)*10000&gt;Q224,"NAV MOVE BREACH",""))</f>
        <v/>
      </c>
      <c r="T224" s="6">
        <f>IF(AND((B224=B223),D224&lt;&gt;"Money Market",E224=E223),"STALE PRICE","")</f>
        <v/>
      </c>
      <c r="U224" s="6">
        <f>IF(F224&lt;0,"NEGATIVE CASH","")</f>
        <v/>
      </c>
      <c r="V224" s="6">
        <f>IF(ABS(R224)&gt;0.05*M224,"LARGE FLOW","")</f>
        <v/>
      </c>
      <c r="W224" s="6">
        <f>(S224&lt;&gt;"")*1+(T224&lt;&gt;"")*1+(U224&lt;&gt;"")*1+(V224&lt;&gt;"")*1</f>
        <v/>
      </c>
      <c r="X224" s="6">
        <f>IF(S224&lt;&gt;"",S224,IF(T224&lt;&gt;"",T224,IF(U224&lt;&gt;"",U224,IF(V224&lt;&gt;"",V224,""))))</f>
        <v/>
      </c>
    </row>
    <row r="225">
      <c r="A225" s="6" t="inlineStr">
        <is>
          <t>2026-05-14</t>
        </is>
      </c>
      <c r="B225" s="6" t="inlineStr">
        <is>
          <t>FDIV</t>
        </is>
      </c>
      <c r="C225" s="6">
        <f>INDEX('Fund Master'!$B$2:$B$7,MATCH(B225,'Fund Master'!$A$2:$A$7,0))</f>
        <v/>
      </c>
      <c r="D225" s="6">
        <f>INDEX('Fund Master'!$C$2:$C$7,MATCH(B225,'Fund Master'!$A$2:$A$7,0))</f>
        <v/>
      </c>
      <c r="E225" s="8" t="n">
        <v>256424850.48</v>
      </c>
      <c r="F225" s="8" t="n">
        <v>8235197.83</v>
      </c>
      <c r="G225" s="8" t="n">
        <v>1393847.52</v>
      </c>
      <c r="H225" s="8" t="n">
        <v>947657.89</v>
      </c>
      <c r="I225" s="8" t="n">
        <v>262107.98</v>
      </c>
      <c r="J225" s="10" t="n">
        <v>21568627.451</v>
      </c>
      <c r="K225" s="9">
        <f>E225+F225+G225</f>
        <v/>
      </c>
      <c r="L225" s="9">
        <f>H225+I225</f>
        <v/>
      </c>
      <c r="M225" s="9">
        <f>K225-L225</f>
        <v/>
      </c>
      <c r="N225" s="11">
        <f>IFERROR(M225/J225,0)</f>
        <v/>
      </c>
      <c r="O225" s="11">
        <f>IF((B225=B224),N224,"")</f>
        <v/>
      </c>
      <c r="P225" s="12">
        <f>IF(O225="","",IFERROR((N225-O225)/O225,""))</f>
        <v/>
      </c>
      <c r="Q225" s="13">
        <f>INDEX('Fund Master'!$F$2:$F$7,MATCH(B225,'Fund Master'!$A$2:$A$7,0))</f>
        <v/>
      </c>
      <c r="R225" s="9">
        <f>SUMIFS('Capital Activity'!$E$2:$E$385,'Capital Activity'!$A$2:$A$385,A225,'Capital Activity'!$B$2:$B$385,B225)</f>
        <v/>
      </c>
      <c r="S225" s="6">
        <f>IF(O225="","",IF(ABS(P225)*10000&gt;Q225,"NAV MOVE BREACH",""))</f>
        <v/>
      </c>
      <c r="T225" s="6">
        <f>IF(AND((B225=B224),D225&lt;&gt;"Money Market",E225=E224),"STALE PRICE","")</f>
        <v/>
      </c>
      <c r="U225" s="6">
        <f>IF(F225&lt;0,"NEGATIVE CASH","")</f>
        <v/>
      </c>
      <c r="V225" s="6">
        <f>IF(ABS(R225)&gt;0.05*M225,"LARGE FLOW","")</f>
        <v/>
      </c>
      <c r="W225" s="6">
        <f>(S225&lt;&gt;"")*1+(T225&lt;&gt;"")*1+(U225&lt;&gt;"")*1+(V225&lt;&gt;"")*1</f>
        <v/>
      </c>
      <c r="X225" s="6">
        <f>IF(S225&lt;&gt;"",S225,IF(T225&lt;&gt;"",T225,IF(U225&lt;&gt;"",U225,IF(V225&lt;&gt;"",V225,""))))</f>
        <v/>
      </c>
    </row>
    <row r="226">
      <c r="A226" s="6" t="inlineStr">
        <is>
          <t>2026-05-15</t>
        </is>
      </c>
      <c r="B226" s="6" t="inlineStr">
        <is>
          <t>FDIV</t>
        </is>
      </c>
      <c r="C226" s="6">
        <f>INDEX('Fund Master'!$B$2:$B$7,MATCH(B226,'Fund Master'!$A$2:$A$7,0))</f>
        <v/>
      </c>
      <c r="D226" s="6">
        <f>INDEX('Fund Master'!$C$2:$C$7,MATCH(B226,'Fund Master'!$A$2:$A$7,0))</f>
        <v/>
      </c>
      <c r="E226" s="8" t="n">
        <v>256575816.04</v>
      </c>
      <c r="F226" s="8" t="n">
        <v>8085763.92</v>
      </c>
      <c r="G226" s="8" t="n">
        <v>1440286.75</v>
      </c>
      <c r="H226" s="8" t="n">
        <v>916613.04</v>
      </c>
      <c r="I226" s="8" t="n">
        <v>270253.24</v>
      </c>
      <c r="J226" s="10" t="n">
        <v>21568627.451</v>
      </c>
      <c r="K226" s="9">
        <f>E226+F226+G226</f>
        <v/>
      </c>
      <c r="L226" s="9">
        <f>H226+I226</f>
        <v/>
      </c>
      <c r="M226" s="9">
        <f>K226-L226</f>
        <v/>
      </c>
      <c r="N226" s="11">
        <f>IFERROR(M226/J226,0)</f>
        <v/>
      </c>
      <c r="O226" s="11">
        <f>IF((B226=B225),N225,"")</f>
        <v/>
      </c>
      <c r="P226" s="12">
        <f>IF(O226="","",IFERROR((N226-O226)/O226,""))</f>
        <v/>
      </c>
      <c r="Q226" s="13">
        <f>INDEX('Fund Master'!$F$2:$F$7,MATCH(B226,'Fund Master'!$A$2:$A$7,0))</f>
        <v/>
      </c>
      <c r="R226" s="9">
        <f>SUMIFS('Capital Activity'!$E$2:$E$385,'Capital Activity'!$A$2:$A$385,A226,'Capital Activity'!$B$2:$B$385,B226)</f>
        <v/>
      </c>
      <c r="S226" s="6">
        <f>IF(O226="","",IF(ABS(P226)*10000&gt;Q226,"NAV MOVE BREACH",""))</f>
        <v/>
      </c>
      <c r="T226" s="6">
        <f>IF(AND((B226=B225),D226&lt;&gt;"Money Market",E226=E225),"STALE PRICE","")</f>
        <v/>
      </c>
      <c r="U226" s="6">
        <f>IF(F226&lt;0,"NEGATIVE CASH","")</f>
        <v/>
      </c>
      <c r="V226" s="6">
        <f>IF(ABS(R226)&gt;0.05*M226,"LARGE FLOW","")</f>
        <v/>
      </c>
      <c r="W226" s="6">
        <f>(S226&lt;&gt;"")*1+(T226&lt;&gt;"")*1+(U226&lt;&gt;"")*1+(V226&lt;&gt;"")*1</f>
        <v/>
      </c>
      <c r="X226" s="6">
        <f>IF(S226&lt;&gt;"",S226,IF(T226&lt;&gt;"",T226,IF(U226&lt;&gt;"",U226,IF(V226&lt;&gt;"",V226,""))))</f>
        <v/>
      </c>
    </row>
    <row r="227">
      <c r="A227" s="6" t="inlineStr">
        <is>
          <t>2026-05-18</t>
        </is>
      </c>
      <c r="B227" s="6" t="inlineStr">
        <is>
          <t>FDIV</t>
        </is>
      </c>
      <c r="C227" s="6">
        <f>INDEX('Fund Master'!$B$2:$B$7,MATCH(B227,'Fund Master'!$A$2:$A$7,0))</f>
        <v/>
      </c>
      <c r="D227" s="6">
        <f>INDEX('Fund Master'!$C$2:$C$7,MATCH(B227,'Fund Master'!$A$2:$A$7,0))</f>
        <v/>
      </c>
      <c r="E227" s="8" t="n">
        <v>250381519.13</v>
      </c>
      <c r="F227" s="8" t="n">
        <v>7861858.14</v>
      </c>
      <c r="G227" s="8" t="n">
        <v>1550492.93</v>
      </c>
      <c r="H227" s="8" t="n">
        <v>941632.11</v>
      </c>
      <c r="I227" s="8" t="n">
        <v>278201.86</v>
      </c>
      <c r="J227" s="10" t="n">
        <v>21568627.451</v>
      </c>
      <c r="K227" s="9">
        <f>E227+F227+G227</f>
        <v/>
      </c>
      <c r="L227" s="9">
        <f>H227+I227</f>
        <v/>
      </c>
      <c r="M227" s="9">
        <f>K227-L227</f>
        <v/>
      </c>
      <c r="N227" s="11">
        <f>IFERROR(M227/J227,0)</f>
        <v/>
      </c>
      <c r="O227" s="11">
        <f>IF((B227=B226),N226,"")</f>
        <v/>
      </c>
      <c r="P227" s="12">
        <f>IF(O227="","",IFERROR((N227-O227)/O227,""))</f>
        <v/>
      </c>
      <c r="Q227" s="13">
        <f>INDEX('Fund Master'!$F$2:$F$7,MATCH(B227,'Fund Master'!$A$2:$A$7,0))</f>
        <v/>
      </c>
      <c r="R227" s="9">
        <f>SUMIFS('Capital Activity'!$E$2:$E$385,'Capital Activity'!$A$2:$A$385,A227,'Capital Activity'!$B$2:$B$385,B227)</f>
        <v/>
      </c>
      <c r="S227" s="6">
        <f>IF(O227="","",IF(ABS(P227)*10000&gt;Q227,"NAV MOVE BREACH",""))</f>
        <v/>
      </c>
      <c r="T227" s="6">
        <f>IF(AND((B227=B226),D227&lt;&gt;"Money Market",E227=E226),"STALE PRICE","")</f>
        <v/>
      </c>
      <c r="U227" s="6">
        <f>IF(F227&lt;0,"NEGATIVE CASH","")</f>
        <v/>
      </c>
      <c r="V227" s="6">
        <f>IF(ABS(R227)&gt;0.05*M227,"LARGE FLOW","")</f>
        <v/>
      </c>
      <c r="W227" s="6">
        <f>(S227&lt;&gt;"")*1+(T227&lt;&gt;"")*1+(U227&lt;&gt;"")*1+(V227&lt;&gt;"")*1</f>
        <v/>
      </c>
      <c r="X227" s="6">
        <f>IF(S227&lt;&gt;"",S227,IF(T227&lt;&gt;"",T227,IF(U227&lt;&gt;"",U227,IF(V227&lt;&gt;"",V227,""))))</f>
        <v/>
      </c>
    </row>
    <row r="228">
      <c r="A228" s="6" t="inlineStr">
        <is>
          <t>2026-05-19</t>
        </is>
      </c>
      <c r="B228" s="6" t="inlineStr">
        <is>
          <t>FDIV</t>
        </is>
      </c>
      <c r="C228" s="6">
        <f>INDEX('Fund Master'!$B$2:$B$7,MATCH(B228,'Fund Master'!$A$2:$A$7,0))</f>
        <v/>
      </c>
      <c r="D228" s="6">
        <f>INDEX('Fund Master'!$C$2:$C$7,MATCH(B228,'Fund Master'!$A$2:$A$7,0))</f>
        <v/>
      </c>
      <c r="E228" s="8" t="n">
        <v>250485033.36</v>
      </c>
      <c r="F228" s="8" t="n">
        <v>7947335.53</v>
      </c>
      <c r="G228" s="8" t="n">
        <v>1480147.72</v>
      </c>
      <c r="H228" s="8" t="n">
        <v>1009010.43</v>
      </c>
      <c r="I228" s="8" t="n">
        <v>286153.77</v>
      </c>
      <c r="J228" s="10" t="n">
        <v>21568627.451</v>
      </c>
      <c r="K228" s="9">
        <f>E228+F228+G228</f>
        <v/>
      </c>
      <c r="L228" s="9">
        <f>H228+I228</f>
        <v/>
      </c>
      <c r="M228" s="9">
        <f>K228-L228</f>
        <v/>
      </c>
      <c r="N228" s="11">
        <f>IFERROR(M228/J228,0)</f>
        <v/>
      </c>
      <c r="O228" s="11">
        <f>IF((B228=B227),N227,"")</f>
        <v/>
      </c>
      <c r="P228" s="12">
        <f>IF(O228="","",IFERROR((N228-O228)/O228,""))</f>
        <v/>
      </c>
      <c r="Q228" s="13">
        <f>INDEX('Fund Master'!$F$2:$F$7,MATCH(B228,'Fund Master'!$A$2:$A$7,0))</f>
        <v/>
      </c>
      <c r="R228" s="9">
        <f>SUMIFS('Capital Activity'!$E$2:$E$385,'Capital Activity'!$A$2:$A$385,A228,'Capital Activity'!$B$2:$B$385,B228)</f>
        <v/>
      </c>
      <c r="S228" s="6">
        <f>IF(O228="","",IF(ABS(P228)*10000&gt;Q228,"NAV MOVE BREACH",""))</f>
        <v/>
      </c>
      <c r="T228" s="6">
        <f>IF(AND((B228=B227),D228&lt;&gt;"Money Market",E228=E227),"STALE PRICE","")</f>
        <v/>
      </c>
      <c r="U228" s="6">
        <f>IF(F228&lt;0,"NEGATIVE CASH","")</f>
        <v/>
      </c>
      <c r="V228" s="6">
        <f>IF(ABS(R228)&gt;0.05*M228,"LARGE FLOW","")</f>
        <v/>
      </c>
      <c r="W228" s="6">
        <f>(S228&lt;&gt;"")*1+(T228&lt;&gt;"")*1+(U228&lt;&gt;"")*1+(V228&lt;&gt;"")*1</f>
        <v/>
      </c>
      <c r="X228" s="6">
        <f>IF(S228&lt;&gt;"",S228,IF(T228&lt;&gt;"",T228,IF(U228&lt;&gt;"",U228,IF(V228&lt;&gt;"",V228,""))))</f>
        <v/>
      </c>
    </row>
    <row r="229">
      <c r="A229" s="6" t="inlineStr">
        <is>
          <t>2026-05-20</t>
        </is>
      </c>
      <c r="B229" s="6" t="inlineStr">
        <is>
          <t>FDIV</t>
        </is>
      </c>
      <c r="C229" s="6">
        <f>INDEX('Fund Master'!$B$2:$B$7,MATCH(B229,'Fund Master'!$A$2:$A$7,0))</f>
        <v/>
      </c>
      <c r="D229" s="6">
        <f>INDEX('Fund Master'!$C$2:$C$7,MATCH(B229,'Fund Master'!$A$2:$A$7,0))</f>
        <v/>
      </c>
      <c r="E229" s="8" t="n">
        <v>251578530.66</v>
      </c>
      <c r="F229" s="8" t="n">
        <v>7984990.85</v>
      </c>
      <c r="G229" s="8" t="n">
        <v>1527235.92</v>
      </c>
      <c r="H229" s="8" t="n">
        <v>1049148.34</v>
      </c>
      <c r="I229" s="8" t="n">
        <v>294140.39</v>
      </c>
      <c r="J229" s="10" t="n">
        <v>21568627.451</v>
      </c>
      <c r="K229" s="9">
        <f>E229+F229+G229</f>
        <v/>
      </c>
      <c r="L229" s="9">
        <f>H229+I229</f>
        <v/>
      </c>
      <c r="M229" s="9">
        <f>K229-L229</f>
        <v/>
      </c>
      <c r="N229" s="11">
        <f>IFERROR(M229/J229,0)</f>
        <v/>
      </c>
      <c r="O229" s="11">
        <f>IF((B229=B228),N228,"")</f>
        <v/>
      </c>
      <c r="P229" s="12">
        <f>IF(O229="","",IFERROR((N229-O229)/O229,""))</f>
        <v/>
      </c>
      <c r="Q229" s="13">
        <f>INDEX('Fund Master'!$F$2:$F$7,MATCH(B229,'Fund Master'!$A$2:$A$7,0))</f>
        <v/>
      </c>
      <c r="R229" s="9">
        <f>SUMIFS('Capital Activity'!$E$2:$E$385,'Capital Activity'!$A$2:$A$385,A229,'Capital Activity'!$B$2:$B$385,B229)</f>
        <v/>
      </c>
      <c r="S229" s="6">
        <f>IF(O229="","",IF(ABS(P229)*10000&gt;Q229,"NAV MOVE BREACH",""))</f>
        <v/>
      </c>
      <c r="T229" s="6">
        <f>IF(AND((B229=B228),D229&lt;&gt;"Money Market",E229=E228),"STALE PRICE","")</f>
        <v/>
      </c>
      <c r="U229" s="6">
        <f>IF(F229&lt;0,"NEGATIVE CASH","")</f>
        <v/>
      </c>
      <c r="V229" s="6">
        <f>IF(ABS(R229)&gt;0.05*M229,"LARGE FLOW","")</f>
        <v/>
      </c>
      <c r="W229" s="6">
        <f>(S229&lt;&gt;"")*1+(T229&lt;&gt;"")*1+(U229&lt;&gt;"")*1+(V229&lt;&gt;"")*1</f>
        <v/>
      </c>
      <c r="X229" s="6">
        <f>IF(S229&lt;&gt;"",S229,IF(T229&lt;&gt;"",T229,IF(U229&lt;&gt;"",U229,IF(V229&lt;&gt;"",V229,""))))</f>
        <v/>
      </c>
    </row>
    <row r="230">
      <c r="A230" s="6" t="inlineStr">
        <is>
          <t>2026-05-21</t>
        </is>
      </c>
      <c r="B230" s="6" t="inlineStr">
        <is>
          <t>FDIV</t>
        </is>
      </c>
      <c r="C230" s="6">
        <f>INDEX('Fund Master'!$B$2:$B$7,MATCH(B230,'Fund Master'!$A$2:$A$7,0))</f>
        <v/>
      </c>
      <c r="D230" s="6">
        <f>INDEX('Fund Master'!$C$2:$C$7,MATCH(B230,'Fund Master'!$A$2:$A$7,0))</f>
        <v/>
      </c>
      <c r="E230" s="8" t="n">
        <v>251872282.51</v>
      </c>
      <c r="F230" s="8" t="n">
        <v>8228407.55</v>
      </c>
      <c r="G230" s="8" t="n">
        <v>1454115.96</v>
      </c>
      <c r="H230" s="8" t="n">
        <v>961662.41</v>
      </c>
      <c r="I230" s="8" t="n">
        <v>302136.33</v>
      </c>
      <c r="J230" s="10" t="n">
        <v>21568627.451</v>
      </c>
      <c r="K230" s="9">
        <f>E230+F230+G230</f>
        <v/>
      </c>
      <c r="L230" s="9">
        <f>H230+I230</f>
        <v/>
      </c>
      <c r="M230" s="9">
        <f>K230-L230</f>
        <v/>
      </c>
      <c r="N230" s="11">
        <f>IFERROR(M230/J230,0)</f>
        <v/>
      </c>
      <c r="O230" s="11">
        <f>IF((B230=B229),N229,"")</f>
        <v/>
      </c>
      <c r="P230" s="12">
        <f>IF(O230="","",IFERROR((N230-O230)/O230,""))</f>
        <v/>
      </c>
      <c r="Q230" s="13">
        <f>INDEX('Fund Master'!$F$2:$F$7,MATCH(B230,'Fund Master'!$A$2:$A$7,0))</f>
        <v/>
      </c>
      <c r="R230" s="9">
        <f>SUMIFS('Capital Activity'!$E$2:$E$385,'Capital Activity'!$A$2:$A$385,A230,'Capital Activity'!$B$2:$B$385,B230)</f>
        <v/>
      </c>
      <c r="S230" s="6">
        <f>IF(O230="","",IF(ABS(P230)*10000&gt;Q230,"NAV MOVE BREACH",""))</f>
        <v/>
      </c>
      <c r="T230" s="6">
        <f>IF(AND((B230=B229),D230&lt;&gt;"Money Market",E230=E229),"STALE PRICE","")</f>
        <v/>
      </c>
      <c r="U230" s="6">
        <f>IF(F230&lt;0,"NEGATIVE CASH","")</f>
        <v/>
      </c>
      <c r="V230" s="6">
        <f>IF(ABS(R230)&gt;0.05*M230,"LARGE FLOW","")</f>
        <v/>
      </c>
      <c r="W230" s="6">
        <f>(S230&lt;&gt;"")*1+(T230&lt;&gt;"")*1+(U230&lt;&gt;"")*1+(V230&lt;&gt;"")*1</f>
        <v/>
      </c>
      <c r="X230" s="6">
        <f>IF(S230&lt;&gt;"",S230,IF(T230&lt;&gt;"",T230,IF(U230&lt;&gt;"",U230,IF(V230&lt;&gt;"",V230,""))))</f>
        <v/>
      </c>
    </row>
    <row r="231">
      <c r="A231" s="6" t="inlineStr">
        <is>
          <t>2026-05-22</t>
        </is>
      </c>
      <c r="B231" s="6" t="inlineStr">
        <is>
          <t>FDIV</t>
        </is>
      </c>
      <c r="C231" s="6">
        <f>INDEX('Fund Master'!$B$2:$B$7,MATCH(B231,'Fund Master'!$A$2:$A$7,0))</f>
        <v/>
      </c>
      <c r="D231" s="6">
        <f>INDEX('Fund Master'!$C$2:$C$7,MATCH(B231,'Fund Master'!$A$2:$A$7,0))</f>
        <v/>
      </c>
      <c r="E231" s="8" t="n">
        <v>252337426.59</v>
      </c>
      <c r="F231" s="8" t="n">
        <v>8280538.44</v>
      </c>
      <c r="G231" s="8" t="n">
        <v>1443284</v>
      </c>
      <c r="H231" s="8" t="n">
        <v>1053665.95</v>
      </c>
      <c r="I231" s="8" t="n">
        <v>310147.04</v>
      </c>
      <c r="J231" s="10" t="n">
        <v>21568627.451</v>
      </c>
      <c r="K231" s="9">
        <f>E231+F231+G231</f>
        <v/>
      </c>
      <c r="L231" s="9">
        <f>H231+I231</f>
        <v/>
      </c>
      <c r="M231" s="9">
        <f>K231-L231</f>
        <v/>
      </c>
      <c r="N231" s="11">
        <f>IFERROR(M231/J231,0)</f>
        <v/>
      </c>
      <c r="O231" s="11">
        <f>IF((B231=B230),N230,"")</f>
        <v/>
      </c>
      <c r="P231" s="12">
        <f>IF(O231="","",IFERROR((N231-O231)/O231,""))</f>
        <v/>
      </c>
      <c r="Q231" s="13">
        <f>INDEX('Fund Master'!$F$2:$F$7,MATCH(B231,'Fund Master'!$A$2:$A$7,0))</f>
        <v/>
      </c>
      <c r="R231" s="9">
        <f>SUMIFS('Capital Activity'!$E$2:$E$385,'Capital Activity'!$A$2:$A$385,A231,'Capital Activity'!$B$2:$B$385,B231)</f>
        <v/>
      </c>
      <c r="S231" s="6">
        <f>IF(O231="","",IF(ABS(P231)*10000&gt;Q231,"NAV MOVE BREACH",""))</f>
        <v/>
      </c>
      <c r="T231" s="6">
        <f>IF(AND((B231=B230),D231&lt;&gt;"Money Market",E231=E230),"STALE PRICE","")</f>
        <v/>
      </c>
      <c r="U231" s="6">
        <f>IF(F231&lt;0,"NEGATIVE CASH","")</f>
        <v/>
      </c>
      <c r="V231" s="6">
        <f>IF(ABS(R231)&gt;0.05*M231,"LARGE FLOW","")</f>
        <v/>
      </c>
      <c r="W231" s="6">
        <f>(S231&lt;&gt;"")*1+(T231&lt;&gt;"")*1+(U231&lt;&gt;"")*1+(V231&lt;&gt;"")*1</f>
        <v/>
      </c>
      <c r="X231" s="6">
        <f>IF(S231&lt;&gt;"",S231,IF(T231&lt;&gt;"",T231,IF(U231&lt;&gt;"",U231,IF(V231&lt;&gt;"",V231,""))))</f>
        <v/>
      </c>
    </row>
    <row r="232">
      <c r="A232" s="6" t="inlineStr">
        <is>
          <t>2026-05-26</t>
        </is>
      </c>
      <c r="B232" s="6" t="inlineStr">
        <is>
          <t>FDIV</t>
        </is>
      </c>
      <c r="C232" s="6">
        <f>INDEX('Fund Master'!$B$2:$B$7,MATCH(B232,'Fund Master'!$A$2:$A$7,0))</f>
        <v/>
      </c>
      <c r="D232" s="6">
        <f>INDEX('Fund Master'!$C$2:$C$7,MATCH(B232,'Fund Master'!$A$2:$A$7,0))</f>
        <v/>
      </c>
      <c r="E232" s="8" t="n">
        <v>252140371.19</v>
      </c>
      <c r="F232" s="8" t="n">
        <v>8025483.46</v>
      </c>
      <c r="G232" s="8" t="n">
        <v>1431515.31</v>
      </c>
      <c r="H232" s="8" t="n">
        <v>1153384.81</v>
      </c>
      <c r="I232" s="8" t="n">
        <v>318151.5</v>
      </c>
      <c r="J232" s="10" t="n">
        <v>21568627.451</v>
      </c>
      <c r="K232" s="9">
        <f>E232+F232+G232</f>
        <v/>
      </c>
      <c r="L232" s="9">
        <f>H232+I232</f>
        <v/>
      </c>
      <c r="M232" s="9">
        <f>K232-L232</f>
        <v/>
      </c>
      <c r="N232" s="11">
        <f>IFERROR(M232/J232,0)</f>
        <v/>
      </c>
      <c r="O232" s="11">
        <f>IF((B232=B231),N231,"")</f>
        <v/>
      </c>
      <c r="P232" s="12">
        <f>IF(O232="","",IFERROR((N232-O232)/O232,""))</f>
        <v/>
      </c>
      <c r="Q232" s="13">
        <f>INDEX('Fund Master'!$F$2:$F$7,MATCH(B232,'Fund Master'!$A$2:$A$7,0))</f>
        <v/>
      </c>
      <c r="R232" s="9">
        <f>SUMIFS('Capital Activity'!$E$2:$E$385,'Capital Activity'!$A$2:$A$385,A232,'Capital Activity'!$B$2:$B$385,B232)</f>
        <v/>
      </c>
      <c r="S232" s="6">
        <f>IF(O232="","",IF(ABS(P232)*10000&gt;Q232,"NAV MOVE BREACH",""))</f>
        <v/>
      </c>
      <c r="T232" s="6">
        <f>IF(AND((B232=B231),D232&lt;&gt;"Money Market",E232=E231),"STALE PRICE","")</f>
        <v/>
      </c>
      <c r="U232" s="6">
        <f>IF(F232&lt;0,"NEGATIVE CASH","")</f>
        <v/>
      </c>
      <c r="V232" s="6">
        <f>IF(ABS(R232)&gt;0.05*M232,"LARGE FLOW","")</f>
        <v/>
      </c>
      <c r="W232" s="6">
        <f>(S232&lt;&gt;"")*1+(T232&lt;&gt;"")*1+(U232&lt;&gt;"")*1+(V232&lt;&gt;"")*1</f>
        <v/>
      </c>
      <c r="X232" s="6">
        <f>IF(S232&lt;&gt;"",S232,IF(T232&lt;&gt;"",T232,IF(U232&lt;&gt;"",U232,IF(V232&lt;&gt;"",V232,""))))</f>
        <v/>
      </c>
    </row>
    <row r="233">
      <c r="A233" s="6" t="inlineStr">
        <is>
          <t>2026-05-27</t>
        </is>
      </c>
      <c r="B233" s="6" t="inlineStr">
        <is>
          <t>FDIV</t>
        </is>
      </c>
      <c r="C233" s="6">
        <f>INDEX('Fund Master'!$B$2:$B$7,MATCH(B233,'Fund Master'!$A$2:$A$7,0))</f>
        <v/>
      </c>
      <c r="D233" s="6">
        <f>INDEX('Fund Master'!$C$2:$C$7,MATCH(B233,'Fund Master'!$A$2:$A$7,0))</f>
        <v/>
      </c>
      <c r="E233" s="8" t="n">
        <v>249172284.36</v>
      </c>
      <c r="F233" s="8" t="n">
        <v>7838862.85</v>
      </c>
      <c r="G233" s="8" t="n">
        <v>1392226.88</v>
      </c>
      <c r="H233" s="8" t="n">
        <v>1120807.88</v>
      </c>
      <c r="I233" s="8" t="n">
        <v>326061.73</v>
      </c>
      <c r="J233" s="10" t="n">
        <v>21568627.451</v>
      </c>
      <c r="K233" s="9">
        <f>E233+F233+G233</f>
        <v/>
      </c>
      <c r="L233" s="9">
        <f>H233+I233</f>
        <v/>
      </c>
      <c r="M233" s="9">
        <f>K233-L233</f>
        <v/>
      </c>
      <c r="N233" s="11">
        <f>IFERROR(M233/J233,0)</f>
        <v/>
      </c>
      <c r="O233" s="11">
        <f>IF((B233=B232),N232,"")</f>
        <v/>
      </c>
      <c r="P233" s="12">
        <f>IF(O233="","",IFERROR((N233-O233)/O233,""))</f>
        <v/>
      </c>
      <c r="Q233" s="13">
        <f>INDEX('Fund Master'!$F$2:$F$7,MATCH(B233,'Fund Master'!$A$2:$A$7,0))</f>
        <v/>
      </c>
      <c r="R233" s="9">
        <f>SUMIFS('Capital Activity'!$E$2:$E$385,'Capital Activity'!$A$2:$A$385,A233,'Capital Activity'!$B$2:$B$385,B233)</f>
        <v/>
      </c>
      <c r="S233" s="6">
        <f>IF(O233="","",IF(ABS(P233)*10000&gt;Q233,"NAV MOVE BREACH",""))</f>
        <v/>
      </c>
      <c r="T233" s="6">
        <f>IF(AND((B233=B232),D233&lt;&gt;"Money Market",E233=E232),"STALE PRICE","")</f>
        <v/>
      </c>
      <c r="U233" s="6">
        <f>IF(F233&lt;0,"NEGATIVE CASH","")</f>
        <v/>
      </c>
      <c r="V233" s="6">
        <f>IF(ABS(R233)&gt;0.05*M233,"LARGE FLOW","")</f>
        <v/>
      </c>
      <c r="W233" s="6">
        <f>(S233&lt;&gt;"")*1+(T233&lt;&gt;"")*1+(U233&lt;&gt;"")*1+(V233&lt;&gt;"")*1</f>
        <v/>
      </c>
      <c r="X233" s="6">
        <f>IF(S233&lt;&gt;"",S233,IF(T233&lt;&gt;"",T233,IF(U233&lt;&gt;"",U233,IF(V233&lt;&gt;"",V233,""))))</f>
        <v/>
      </c>
    </row>
    <row r="234">
      <c r="A234" s="6" t="inlineStr">
        <is>
          <t>2026-05-28</t>
        </is>
      </c>
      <c r="B234" s="6" t="inlineStr">
        <is>
          <t>FDIV</t>
        </is>
      </c>
      <c r="C234" s="6">
        <f>INDEX('Fund Master'!$B$2:$B$7,MATCH(B234,'Fund Master'!$A$2:$A$7,0))</f>
        <v/>
      </c>
      <c r="D234" s="6">
        <f>INDEX('Fund Master'!$C$2:$C$7,MATCH(B234,'Fund Master'!$A$2:$A$7,0))</f>
        <v/>
      </c>
      <c r="E234" s="8" t="n">
        <v>246591145.89</v>
      </c>
      <c r="F234" s="8" t="n">
        <v>7794132.78</v>
      </c>
      <c r="G234" s="8" t="n">
        <v>1407290.71</v>
      </c>
      <c r="H234" s="8" t="n">
        <v>1176673.75</v>
      </c>
      <c r="I234" s="8" t="n">
        <v>333890.02</v>
      </c>
      <c r="J234" s="10" t="n">
        <v>21568627.451</v>
      </c>
      <c r="K234" s="9">
        <f>E234+F234+G234</f>
        <v/>
      </c>
      <c r="L234" s="9">
        <f>H234+I234</f>
        <v/>
      </c>
      <c r="M234" s="9">
        <f>K234-L234</f>
        <v/>
      </c>
      <c r="N234" s="11">
        <f>IFERROR(M234/J234,0)</f>
        <v/>
      </c>
      <c r="O234" s="11">
        <f>IF((B234=B233),N233,"")</f>
        <v/>
      </c>
      <c r="P234" s="12">
        <f>IF(O234="","",IFERROR((N234-O234)/O234,""))</f>
        <v/>
      </c>
      <c r="Q234" s="13">
        <f>INDEX('Fund Master'!$F$2:$F$7,MATCH(B234,'Fund Master'!$A$2:$A$7,0))</f>
        <v/>
      </c>
      <c r="R234" s="9">
        <f>SUMIFS('Capital Activity'!$E$2:$E$385,'Capital Activity'!$A$2:$A$385,A234,'Capital Activity'!$B$2:$B$385,B234)</f>
        <v/>
      </c>
      <c r="S234" s="6">
        <f>IF(O234="","",IF(ABS(P234)*10000&gt;Q234,"NAV MOVE BREACH",""))</f>
        <v/>
      </c>
      <c r="T234" s="6">
        <f>IF(AND((B234=B233),D234&lt;&gt;"Money Market",E234=E233),"STALE PRICE","")</f>
        <v/>
      </c>
      <c r="U234" s="6">
        <f>IF(F234&lt;0,"NEGATIVE CASH","")</f>
        <v/>
      </c>
      <c r="V234" s="6">
        <f>IF(ABS(R234)&gt;0.05*M234,"LARGE FLOW","")</f>
        <v/>
      </c>
      <c r="W234" s="6">
        <f>(S234&lt;&gt;"")*1+(T234&lt;&gt;"")*1+(U234&lt;&gt;"")*1+(V234&lt;&gt;"")*1</f>
        <v/>
      </c>
      <c r="X234" s="6">
        <f>IF(S234&lt;&gt;"",S234,IF(T234&lt;&gt;"",T234,IF(U234&lt;&gt;"",U234,IF(V234&lt;&gt;"",V234,""))))</f>
        <v/>
      </c>
    </row>
    <row r="235">
      <c r="A235" s="6" t="inlineStr">
        <is>
          <t>2026-05-29</t>
        </is>
      </c>
      <c r="B235" s="6" t="inlineStr">
        <is>
          <t>FDIV</t>
        </is>
      </c>
      <c r="C235" s="6">
        <f>INDEX('Fund Master'!$B$2:$B$7,MATCH(B235,'Fund Master'!$A$2:$A$7,0))</f>
        <v/>
      </c>
      <c r="D235" s="6">
        <f>INDEX('Fund Master'!$C$2:$C$7,MATCH(B235,'Fund Master'!$A$2:$A$7,0))</f>
        <v/>
      </c>
      <c r="E235" s="8" t="n">
        <v>244740936.43</v>
      </c>
      <c r="F235" s="8" t="n">
        <v>7550983.79</v>
      </c>
      <c r="G235" s="8" t="n">
        <v>1382985.78</v>
      </c>
      <c r="H235" s="8" t="n">
        <v>1195237.88</v>
      </c>
      <c r="I235" s="8" t="n">
        <v>341659.58</v>
      </c>
      <c r="J235" s="10" t="n">
        <v>21568627.451</v>
      </c>
      <c r="K235" s="9">
        <f>E235+F235+G235</f>
        <v/>
      </c>
      <c r="L235" s="9">
        <f>H235+I235</f>
        <v/>
      </c>
      <c r="M235" s="9">
        <f>K235-L235</f>
        <v/>
      </c>
      <c r="N235" s="11">
        <f>IFERROR(M235/J235,0)</f>
        <v/>
      </c>
      <c r="O235" s="11">
        <f>IF((B235=B234),N234,"")</f>
        <v/>
      </c>
      <c r="P235" s="12">
        <f>IF(O235="","",IFERROR((N235-O235)/O235,""))</f>
        <v/>
      </c>
      <c r="Q235" s="13">
        <f>INDEX('Fund Master'!$F$2:$F$7,MATCH(B235,'Fund Master'!$A$2:$A$7,0))</f>
        <v/>
      </c>
      <c r="R235" s="9">
        <f>SUMIFS('Capital Activity'!$E$2:$E$385,'Capital Activity'!$A$2:$A$385,A235,'Capital Activity'!$B$2:$B$385,B235)</f>
        <v/>
      </c>
      <c r="S235" s="6">
        <f>IF(O235="","",IF(ABS(P235)*10000&gt;Q235,"NAV MOVE BREACH",""))</f>
        <v/>
      </c>
      <c r="T235" s="6">
        <f>IF(AND((B235=B234),D235&lt;&gt;"Money Market",E235=E234),"STALE PRICE","")</f>
        <v/>
      </c>
      <c r="U235" s="6">
        <f>IF(F235&lt;0,"NEGATIVE CASH","")</f>
        <v/>
      </c>
      <c r="V235" s="6">
        <f>IF(ABS(R235)&gt;0.05*M235,"LARGE FLOW","")</f>
        <v/>
      </c>
      <c r="W235" s="6">
        <f>(S235&lt;&gt;"")*1+(T235&lt;&gt;"")*1+(U235&lt;&gt;"")*1+(V235&lt;&gt;"")*1</f>
        <v/>
      </c>
      <c r="X235" s="6">
        <f>IF(S235&lt;&gt;"",S235,IF(T235&lt;&gt;"",T235,IF(U235&lt;&gt;"",U235,IF(V235&lt;&gt;"",V235,""))))</f>
        <v/>
      </c>
    </row>
    <row r="236">
      <c r="A236" s="6" t="inlineStr">
        <is>
          <t>2026-06-01</t>
        </is>
      </c>
      <c r="B236" s="6" t="inlineStr">
        <is>
          <t>FDIV</t>
        </is>
      </c>
      <c r="C236" s="6">
        <f>INDEX('Fund Master'!$B$2:$B$7,MATCH(B236,'Fund Master'!$A$2:$A$7,0))</f>
        <v/>
      </c>
      <c r="D236" s="6">
        <f>INDEX('Fund Master'!$C$2:$C$7,MATCH(B236,'Fund Master'!$A$2:$A$7,0))</f>
        <v/>
      </c>
      <c r="E236" s="8" t="n">
        <v>244046226.69</v>
      </c>
      <c r="F236" s="8" t="n">
        <v>7551771.51</v>
      </c>
      <c r="G236" s="8" t="n">
        <v>1330144.87</v>
      </c>
      <c r="H236" s="8" t="n">
        <v>1314231.7</v>
      </c>
      <c r="I236" s="8" t="n">
        <v>349407.07</v>
      </c>
      <c r="J236" s="10" t="n">
        <v>21568627.451</v>
      </c>
      <c r="K236" s="9">
        <f>E236+F236+G236</f>
        <v/>
      </c>
      <c r="L236" s="9">
        <f>H236+I236</f>
        <v/>
      </c>
      <c r="M236" s="9">
        <f>K236-L236</f>
        <v/>
      </c>
      <c r="N236" s="11">
        <f>IFERROR(M236/J236,0)</f>
        <v/>
      </c>
      <c r="O236" s="11">
        <f>IF((B236=B235),N235,"")</f>
        <v/>
      </c>
      <c r="P236" s="12">
        <f>IF(O236="","",IFERROR((N236-O236)/O236,""))</f>
        <v/>
      </c>
      <c r="Q236" s="13">
        <f>INDEX('Fund Master'!$F$2:$F$7,MATCH(B236,'Fund Master'!$A$2:$A$7,0))</f>
        <v/>
      </c>
      <c r="R236" s="9">
        <f>SUMIFS('Capital Activity'!$E$2:$E$385,'Capital Activity'!$A$2:$A$385,A236,'Capital Activity'!$B$2:$B$385,B236)</f>
        <v/>
      </c>
      <c r="S236" s="6">
        <f>IF(O236="","",IF(ABS(P236)*10000&gt;Q236,"NAV MOVE BREACH",""))</f>
        <v/>
      </c>
      <c r="T236" s="6">
        <f>IF(AND((B236=B235),D236&lt;&gt;"Money Market",E236=E235),"STALE PRICE","")</f>
        <v/>
      </c>
      <c r="U236" s="6">
        <f>IF(F236&lt;0,"NEGATIVE CASH","")</f>
        <v/>
      </c>
      <c r="V236" s="6">
        <f>IF(ABS(R236)&gt;0.05*M236,"LARGE FLOW","")</f>
        <v/>
      </c>
      <c r="W236" s="6">
        <f>(S236&lt;&gt;"")*1+(T236&lt;&gt;"")*1+(U236&lt;&gt;"")*1+(V236&lt;&gt;"")*1</f>
        <v/>
      </c>
      <c r="X236" s="6">
        <f>IF(S236&lt;&gt;"",S236,IF(T236&lt;&gt;"",T236,IF(U236&lt;&gt;"",U236,IF(V236&lt;&gt;"",V236,""))))</f>
        <v/>
      </c>
    </row>
    <row r="237">
      <c r="A237" s="6" t="inlineStr">
        <is>
          <t>2026-06-02</t>
        </is>
      </c>
      <c r="B237" s="6" t="inlineStr">
        <is>
          <t>FDIV</t>
        </is>
      </c>
      <c r="C237" s="6">
        <f>INDEX('Fund Master'!$B$2:$B$7,MATCH(B237,'Fund Master'!$A$2:$A$7,0))</f>
        <v/>
      </c>
      <c r="D237" s="6">
        <f>INDEX('Fund Master'!$C$2:$C$7,MATCH(B237,'Fund Master'!$A$2:$A$7,0))</f>
        <v/>
      </c>
      <c r="E237" s="8" t="n">
        <v>248786643.83</v>
      </c>
      <c r="F237" s="8" t="n">
        <v>7699474.11</v>
      </c>
      <c r="G237" s="8" t="n">
        <v>1344634.95</v>
      </c>
      <c r="H237" s="8" t="n">
        <v>1318417.04</v>
      </c>
      <c r="I237" s="8" t="n">
        <v>357305.06</v>
      </c>
      <c r="J237" s="10" t="n">
        <v>21568627.451</v>
      </c>
      <c r="K237" s="9">
        <f>E237+F237+G237</f>
        <v/>
      </c>
      <c r="L237" s="9">
        <f>H237+I237</f>
        <v/>
      </c>
      <c r="M237" s="9">
        <f>K237-L237</f>
        <v/>
      </c>
      <c r="N237" s="11">
        <f>IFERROR(M237/J237,0)</f>
        <v/>
      </c>
      <c r="O237" s="11">
        <f>IF((B237=B236),N236,"")</f>
        <v/>
      </c>
      <c r="P237" s="12">
        <f>IF(O237="","",IFERROR((N237-O237)/O237,""))</f>
        <v/>
      </c>
      <c r="Q237" s="13">
        <f>INDEX('Fund Master'!$F$2:$F$7,MATCH(B237,'Fund Master'!$A$2:$A$7,0))</f>
        <v/>
      </c>
      <c r="R237" s="9">
        <f>SUMIFS('Capital Activity'!$E$2:$E$385,'Capital Activity'!$A$2:$A$385,A237,'Capital Activity'!$B$2:$B$385,B237)</f>
        <v/>
      </c>
      <c r="S237" s="6">
        <f>IF(O237="","",IF(ABS(P237)*10000&gt;Q237,"NAV MOVE BREACH",""))</f>
        <v/>
      </c>
      <c r="T237" s="6">
        <f>IF(AND((B237=B236),D237&lt;&gt;"Money Market",E237=E236),"STALE PRICE","")</f>
        <v/>
      </c>
      <c r="U237" s="6">
        <f>IF(F237&lt;0,"NEGATIVE CASH","")</f>
        <v/>
      </c>
      <c r="V237" s="6">
        <f>IF(ABS(R237)&gt;0.05*M237,"LARGE FLOW","")</f>
        <v/>
      </c>
      <c r="W237" s="6">
        <f>(S237&lt;&gt;"")*1+(T237&lt;&gt;"")*1+(U237&lt;&gt;"")*1+(V237&lt;&gt;"")*1</f>
        <v/>
      </c>
      <c r="X237" s="6">
        <f>IF(S237&lt;&gt;"",S237,IF(T237&lt;&gt;"",T237,IF(U237&lt;&gt;"",U237,IF(V237&lt;&gt;"",V237,""))))</f>
        <v/>
      </c>
    </row>
    <row r="238">
      <c r="A238" s="6" t="inlineStr">
        <is>
          <t>2026-06-03</t>
        </is>
      </c>
      <c r="B238" s="6" t="inlineStr">
        <is>
          <t>FDIV</t>
        </is>
      </c>
      <c r="C238" s="6">
        <f>INDEX('Fund Master'!$B$2:$B$7,MATCH(B238,'Fund Master'!$A$2:$A$7,0))</f>
        <v/>
      </c>
      <c r="D238" s="6">
        <f>INDEX('Fund Master'!$C$2:$C$7,MATCH(B238,'Fund Master'!$A$2:$A$7,0))</f>
        <v/>
      </c>
      <c r="E238" s="8" t="n">
        <v>243608724.99</v>
      </c>
      <c r="F238" s="8" t="n">
        <v>7763362.05</v>
      </c>
      <c r="G238" s="8" t="n">
        <v>1233396.27</v>
      </c>
      <c r="H238" s="8" t="n">
        <v>1275387.12</v>
      </c>
      <c r="I238" s="8" t="n">
        <v>365038.67</v>
      </c>
      <c r="J238" s="10" t="n">
        <v>21568627.451</v>
      </c>
      <c r="K238" s="9">
        <f>E238+F238+G238</f>
        <v/>
      </c>
      <c r="L238" s="9">
        <f>H238+I238</f>
        <v/>
      </c>
      <c r="M238" s="9">
        <f>K238-L238</f>
        <v/>
      </c>
      <c r="N238" s="11">
        <f>IFERROR(M238/J238,0)</f>
        <v/>
      </c>
      <c r="O238" s="11">
        <f>IF((B238=B237),N237,"")</f>
        <v/>
      </c>
      <c r="P238" s="12">
        <f>IF(O238="","",IFERROR((N238-O238)/O238,""))</f>
        <v/>
      </c>
      <c r="Q238" s="13">
        <f>INDEX('Fund Master'!$F$2:$F$7,MATCH(B238,'Fund Master'!$A$2:$A$7,0))</f>
        <v/>
      </c>
      <c r="R238" s="9">
        <f>SUMIFS('Capital Activity'!$E$2:$E$385,'Capital Activity'!$A$2:$A$385,A238,'Capital Activity'!$B$2:$B$385,B238)</f>
        <v/>
      </c>
      <c r="S238" s="6">
        <f>IF(O238="","",IF(ABS(P238)*10000&gt;Q238,"NAV MOVE BREACH",""))</f>
        <v/>
      </c>
      <c r="T238" s="6">
        <f>IF(AND((B238=B237),D238&lt;&gt;"Money Market",E238=E237),"STALE PRICE","")</f>
        <v/>
      </c>
      <c r="U238" s="6">
        <f>IF(F238&lt;0,"NEGATIVE CASH","")</f>
        <v/>
      </c>
      <c r="V238" s="6">
        <f>IF(ABS(R238)&gt;0.05*M238,"LARGE FLOW","")</f>
        <v/>
      </c>
      <c r="W238" s="6">
        <f>(S238&lt;&gt;"")*1+(T238&lt;&gt;"")*1+(U238&lt;&gt;"")*1+(V238&lt;&gt;"")*1</f>
        <v/>
      </c>
      <c r="X238" s="6">
        <f>IF(S238&lt;&gt;"",S238,IF(T238&lt;&gt;"",T238,IF(U238&lt;&gt;"",U238,IF(V238&lt;&gt;"",V238,""))))</f>
        <v/>
      </c>
    </row>
    <row r="239">
      <c r="A239" s="6" t="inlineStr">
        <is>
          <t>2026-06-04</t>
        </is>
      </c>
      <c r="B239" s="6" t="inlineStr">
        <is>
          <t>FDIV</t>
        </is>
      </c>
      <c r="C239" s="6">
        <f>INDEX('Fund Master'!$B$2:$B$7,MATCH(B239,'Fund Master'!$A$2:$A$7,0))</f>
        <v/>
      </c>
      <c r="D239" s="6">
        <f>INDEX('Fund Master'!$C$2:$C$7,MATCH(B239,'Fund Master'!$A$2:$A$7,0))</f>
        <v/>
      </c>
      <c r="E239" s="8" t="n">
        <v>239958934.89</v>
      </c>
      <c r="F239" s="8" t="n">
        <v>7713591.43</v>
      </c>
      <c r="G239" s="8" t="n">
        <v>1331497.59</v>
      </c>
      <c r="H239" s="8" t="n">
        <v>1177773.65</v>
      </c>
      <c r="I239" s="8" t="n">
        <v>372656.42</v>
      </c>
      <c r="J239" s="10" t="n">
        <v>21568627.451</v>
      </c>
      <c r="K239" s="9">
        <f>E239+F239+G239</f>
        <v/>
      </c>
      <c r="L239" s="9">
        <f>H239+I239</f>
        <v/>
      </c>
      <c r="M239" s="9">
        <f>K239-L239</f>
        <v/>
      </c>
      <c r="N239" s="11">
        <f>IFERROR(M239/J239,0)</f>
        <v/>
      </c>
      <c r="O239" s="11">
        <f>IF((B239=B238),N238,"")</f>
        <v/>
      </c>
      <c r="P239" s="12">
        <f>IF(O239="","",IFERROR((N239-O239)/O239,""))</f>
        <v/>
      </c>
      <c r="Q239" s="13">
        <f>INDEX('Fund Master'!$F$2:$F$7,MATCH(B239,'Fund Master'!$A$2:$A$7,0))</f>
        <v/>
      </c>
      <c r="R239" s="9">
        <f>SUMIFS('Capital Activity'!$E$2:$E$385,'Capital Activity'!$A$2:$A$385,A239,'Capital Activity'!$B$2:$B$385,B239)</f>
        <v/>
      </c>
      <c r="S239" s="6">
        <f>IF(O239="","",IF(ABS(P239)*10000&gt;Q239,"NAV MOVE BREACH",""))</f>
        <v/>
      </c>
      <c r="T239" s="6">
        <f>IF(AND((B239=B238),D239&lt;&gt;"Money Market",E239=E238),"STALE PRICE","")</f>
        <v/>
      </c>
      <c r="U239" s="6">
        <f>IF(F239&lt;0,"NEGATIVE CASH","")</f>
        <v/>
      </c>
      <c r="V239" s="6">
        <f>IF(ABS(R239)&gt;0.05*M239,"LARGE FLOW","")</f>
        <v/>
      </c>
      <c r="W239" s="6">
        <f>(S239&lt;&gt;"")*1+(T239&lt;&gt;"")*1+(U239&lt;&gt;"")*1+(V239&lt;&gt;"")*1</f>
        <v/>
      </c>
      <c r="X239" s="6">
        <f>IF(S239&lt;&gt;"",S239,IF(T239&lt;&gt;"",T239,IF(U239&lt;&gt;"",U239,IF(V239&lt;&gt;"",V239,""))))</f>
        <v/>
      </c>
    </row>
    <row r="240">
      <c r="A240" s="6" t="inlineStr">
        <is>
          <t>2026-06-05</t>
        </is>
      </c>
      <c r="B240" s="6" t="inlineStr">
        <is>
          <t>FDIV</t>
        </is>
      </c>
      <c r="C240" s="6">
        <f>INDEX('Fund Master'!$B$2:$B$7,MATCH(B240,'Fund Master'!$A$2:$A$7,0))</f>
        <v/>
      </c>
      <c r="D240" s="6">
        <f>INDEX('Fund Master'!$C$2:$C$7,MATCH(B240,'Fund Master'!$A$2:$A$7,0))</f>
        <v/>
      </c>
      <c r="E240" s="8" t="n">
        <v>240977783.37</v>
      </c>
      <c r="F240" s="8" t="n">
        <v>7749111.3</v>
      </c>
      <c r="G240" s="8" t="n">
        <v>1300050.85</v>
      </c>
      <c r="H240" s="8" t="n">
        <v>1210990.33</v>
      </c>
      <c r="I240" s="8" t="n">
        <v>380306.51</v>
      </c>
      <c r="J240" s="10" t="n">
        <v>21568627.451</v>
      </c>
      <c r="K240" s="9">
        <f>E240+F240+G240</f>
        <v/>
      </c>
      <c r="L240" s="9">
        <f>H240+I240</f>
        <v/>
      </c>
      <c r="M240" s="9">
        <f>K240-L240</f>
        <v/>
      </c>
      <c r="N240" s="11">
        <f>IFERROR(M240/J240,0)</f>
        <v/>
      </c>
      <c r="O240" s="11">
        <f>IF((B240=B239),N239,"")</f>
        <v/>
      </c>
      <c r="P240" s="12">
        <f>IF(O240="","",IFERROR((N240-O240)/O240,""))</f>
        <v/>
      </c>
      <c r="Q240" s="13">
        <f>INDEX('Fund Master'!$F$2:$F$7,MATCH(B240,'Fund Master'!$A$2:$A$7,0))</f>
        <v/>
      </c>
      <c r="R240" s="9">
        <f>SUMIFS('Capital Activity'!$E$2:$E$385,'Capital Activity'!$A$2:$A$385,A240,'Capital Activity'!$B$2:$B$385,B240)</f>
        <v/>
      </c>
      <c r="S240" s="6">
        <f>IF(O240="","",IF(ABS(P240)*10000&gt;Q240,"NAV MOVE BREACH",""))</f>
        <v/>
      </c>
      <c r="T240" s="6">
        <f>IF(AND((B240=B239),D240&lt;&gt;"Money Market",E240=E239),"STALE PRICE","")</f>
        <v/>
      </c>
      <c r="U240" s="6">
        <f>IF(F240&lt;0,"NEGATIVE CASH","")</f>
        <v/>
      </c>
      <c r="V240" s="6">
        <f>IF(ABS(R240)&gt;0.05*M240,"LARGE FLOW","")</f>
        <v/>
      </c>
      <c r="W240" s="6">
        <f>(S240&lt;&gt;"")*1+(T240&lt;&gt;"")*1+(U240&lt;&gt;"")*1+(V240&lt;&gt;"")*1</f>
        <v/>
      </c>
      <c r="X240" s="6">
        <f>IF(S240&lt;&gt;"",S240,IF(T240&lt;&gt;"",T240,IF(U240&lt;&gt;"",U240,IF(V240&lt;&gt;"",V240,""))))</f>
        <v/>
      </c>
    </row>
    <row r="241">
      <c r="A241" s="6" t="inlineStr">
        <is>
          <t>2026-06-08</t>
        </is>
      </c>
      <c r="B241" s="6" t="inlineStr">
        <is>
          <t>FDIV</t>
        </is>
      </c>
      <c r="C241" s="6">
        <f>INDEX('Fund Master'!$B$2:$B$7,MATCH(B241,'Fund Master'!$A$2:$A$7,0))</f>
        <v/>
      </c>
      <c r="D241" s="6">
        <f>INDEX('Fund Master'!$C$2:$C$7,MATCH(B241,'Fund Master'!$A$2:$A$7,0))</f>
        <v/>
      </c>
      <c r="E241" s="8" t="n">
        <v>242673712.82</v>
      </c>
      <c r="F241" s="8" t="n">
        <v>7615341.21</v>
      </c>
      <c r="G241" s="8" t="n">
        <v>1253495.74</v>
      </c>
      <c r="H241" s="8" t="n">
        <v>1247026.65</v>
      </c>
      <c r="I241" s="8" t="n">
        <v>388010.43</v>
      </c>
      <c r="J241" s="10" t="n">
        <v>21568627.451</v>
      </c>
      <c r="K241" s="9">
        <f>E241+F241+G241</f>
        <v/>
      </c>
      <c r="L241" s="9">
        <f>H241+I241</f>
        <v/>
      </c>
      <c r="M241" s="9">
        <f>K241-L241</f>
        <v/>
      </c>
      <c r="N241" s="11">
        <f>IFERROR(M241/J241,0)</f>
        <v/>
      </c>
      <c r="O241" s="11">
        <f>IF((B241=B240),N240,"")</f>
        <v/>
      </c>
      <c r="P241" s="12">
        <f>IF(O241="","",IFERROR((N241-O241)/O241,""))</f>
        <v/>
      </c>
      <c r="Q241" s="13">
        <f>INDEX('Fund Master'!$F$2:$F$7,MATCH(B241,'Fund Master'!$A$2:$A$7,0))</f>
        <v/>
      </c>
      <c r="R241" s="9">
        <f>SUMIFS('Capital Activity'!$E$2:$E$385,'Capital Activity'!$A$2:$A$385,A241,'Capital Activity'!$B$2:$B$385,B241)</f>
        <v/>
      </c>
      <c r="S241" s="6">
        <f>IF(O241="","",IF(ABS(P241)*10000&gt;Q241,"NAV MOVE BREACH",""))</f>
        <v/>
      </c>
      <c r="T241" s="6">
        <f>IF(AND((B241=B240),D241&lt;&gt;"Money Market",E241=E240),"STALE PRICE","")</f>
        <v/>
      </c>
      <c r="U241" s="6">
        <f>IF(F241&lt;0,"NEGATIVE CASH","")</f>
        <v/>
      </c>
      <c r="V241" s="6">
        <f>IF(ABS(R241)&gt;0.05*M241,"LARGE FLOW","")</f>
        <v/>
      </c>
      <c r="W241" s="6">
        <f>(S241&lt;&gt;"")*1+(T241&lt;&gt;"")*1+(U241&lt;&gt;"")*1+(V241&lt;&gt;"")*1</f>
        <v/>
      </c>
      <c r="X241" s="6">
        <f>IF(S241&lt;&gt;"",S241,IF(T241&lt;&gt;"",T241,IF(U241&lt;&gt;"",U241,IF(V241&lt;&gt;"",V241,""))))</f>
        <v/>
      </c>
    </row>
    <row r="242">
      <c r="A242" s="6" t="inlineStr">
        <is>
          <t>2026-06-09</t>
        </is>
      </c>
      <c r="B242" s="6" t="inlineStr">
        <is>
          <t>FDIV</t>
        </is>
      </c>
      <c r="C242" s="6">
        <f>INDEX('Fund Master'!$B$2:$B$7,MATCH(B242,'Fund Master'!$A$2:$A$7,0))</f>
        <v/>
      </c>
      <c r="D242" s="6">
        <f>INDEX('Fund Master'!$C$2:$C$7,MATCH(B242,'Fund Master'!$A$2:$A$7,0))</f>
        <v/>
      </c>
      <c r="E242" s="8" t="n">
        <v>242000523.49</v>
      </c>
      <c r="F242" s="8" t="n">
        <v>7594112.98</v>
      </c>
      <c r="G242" s="8" t="n">
        <v>1177394.65</v>
      </c>
      <c r="H242" s="8" t="n">
        <v>1278677.66</v>
      </c>
      <c r="I242" s="8" t="n">
        <v>395692.99</v>
      </c>
      <c r="J242" s="10" t="n">
        <v>21568627.451</v>
      </c>
      <c r="K242" s="9">
        <f>E242+F242+G242</f>
        <v/>
      </c>
      <c r="L242" s="9">
        <f>H242+I242</f>
        <v/>
      </c>
      <c r="M242" s="9">
        <f>K242-L242</f>
        <v/>
      </c>
      <c r="N242" s="11">
        <f>IFERROR(M242/J242,0)</f>
        <v/>
      </c>
      <c r="O242" s="11">
        <f>IF((B242=B241),N241,"")</f>
        <v/>
      </c>
      <c r="P242" s="12">
        <f>IF(O242="","",IFERROR((N242-O242)/O242,""))</f>
        <v/>
      </c>
      <c r="Q242" s="13">
        <f>INDEX('Fund Master'!$F$2:$F$7,MATCH(B242,'Fund Master'!$A$2:$A$7,0))</f>
        <v/>
      </c>
      <c r="R242" s="9">
        <f>SUMIFS('Capital Activity'!$E$2:$E$385,'Capital Activity'!$A$2:$A$385,A242,'Capital Activity'!$B$2:$B$385,B242)</f>
        <v/>
      </c>
      <c r="S242" s="6">
        <f>IF(O242="","",IF(ABS(P242)*10000&gt;Q242,"NAV MOVE BREACH",""))</f>
        <v/>
      </c>
      <c r="T242" s="6">
        <f>IF(AND((B242=B241),D242&lt;&gt;"Money Market",E242=E241),"STALE PRICE","")</f>
        <v/>
      </c>
      <c r="U242" s="6">
        <f>IF(F242&lt;0,"NEGATIVE CASH","")</f>
        <v/>
      </c>
      <c r="V242" s="6">
        <f>IF(ABS(R242)&gt;0.05*M242,"LARGE FLOW","")</f>
        <v/>
      </c>
      <c r="W242" s="6">
        <f>(S242&lt;&gt;"")*1+(T242&lt;&gt;"")*1+(U242&lt;&gt;"")*1+(V242&lt;&gt;"")*1</f>
        <v/>
      </c>
      <c r="X242" s="6">
        <f>IF(S242&lt;&gt;"",S242,IF(T242&lt;&gt;"",T242,IF(U242&lt;&gt;"",U242,IF(V242&lt;&gt;"",V242,""))))</f>
        <v/>
      </c>
    </row>
    <row r="243">
      <c r="A243" s="6" t="inlineStr">
        <is>
          <t>2026-06-10</t>
        </is>
      </c>
      <c r="B243" s="6" t="inlineStr">
        <is>
          <t>FDIV</t>
        </is>
      </c>
      <c r="C243" s="6">
        <f>INDEX('Fund Master'!$B$2:$B$7,MATCH(B243,'Fund Master'!$A$2:$A$7,0))</f>
        <v/>
      </c>
      <c r="D243" s="6">
        <f>INDEX('Fund Master'!$C$2:$C$7,MATCH(B243,'Fund Master'!$A$2:$A$7,0))</f>
        <v/>
      </c>
      <c r="E243" s="8" t="n">
        <v>240968294.36</v>
      </c>
      <c r="F243" s="8" t="n">
        <v>7600161.98</v>
      </c>
      <c r="G243" s="8" t="n">
        <v>1147116.04</v>
      </c>
      <c r="H243" s="8" t="n">
        <v>1269398.98</v>
      </c>
      <c r="I243" s="8" t="n">
        <v>403342.78</v>
      </c>
      <c r="J243" s="10" t="n">
        <v>21568627.451</v>
      </c>
      <c r="K243" s="9">
        <f>E243+F243+G243</f>
        <v/>
      </c>
      <c r="L243" s="9">
        <f>H243+I243</f>
        <v/>
      </c>
      <c r="M243" s="9">
        <f>K243-L243</f>
        <v/>
      </c>
      <c r="N243" s="11">
        <f>IFERROR(M243/J243,0)</f>
        <v/>
      </c>
      <c r="O243" s="11">
        <f>IF((B243=B242),N242,"")</f>
        <v/>
      </c>
      <c r="P243" s="12">
        <f>IF(O243="","",IFERROR((N243-O243)/O243,""))</f>
        <v/>
      </c>
      <c r="Q243" s="13">
        <f>INDEX('Fund Master'!$F$2:$F$7,MATCH(B243,'Fund Master'!$A$2:$A$7,0))</f>
        <v/>
      </c>
      <c r="R243" s="9">
        <f>SUMIFS('Capital Activity'!$E$2:$E$385,'Capital Activity'!$A$2:$A$385,A243,'Capital Activity'!$B$2:$B$385,B243)</f>
        <v/>
      </c>
      <c r="S243" s="6">
        <f>IF(O243="","",IF(ABS(P243)*10000&gt;Q243,"NAV MOVE BREACH",""))</f>
        <v/>
      </c>
      <c r="T243" s="6">
        <f>IF(AND((B243=B242),D243&lt;&gt;"Money Market",E243=E242),"STALE PRICE","")</f>
        <v/>
      </c>
      <c r="U243" s="6">
        <f>IF(F243&lt;0,"NEGATIVE CASH","")</f>
        <v/>
      </c>
      <c r="V243" s="6">
        <f>IF(ABS(R243)&gt;0.05*M243,"LARGE FLOW","")</f>
        <v/>
      </c>
      <c r="W243" s="6">
        <f>(S243&lt;&gt;"")*1+(T243&lt;&gt;"")*1+(U243&lt;&gt;"")*1+(V243&lt;&gt;"")*1</f>
        <v/>
      </c>
      <c r="X243" s="6">
        <f>IF(S243&lt;&gt;"",S243,IF(T243&lt;&gt;"",T243,IF(U243&lt;&gt;"",U243,IF(V243&lt;&gt;"",V243,""))))</f>
        <v/>
      </c>
    </row>
    <row r="244">
      <c r="A244" s="6" t="inlineStr">
        <is>
          <t>2026-06-11</t>
        </is>
      </c>
      <c r="B244" s="6" t="inlineStr">
        <is>
          <t>FDIV</t>
        </is>
      </c>
      <c r="C244" s="6">
        <f>INDEX('Fund Master'!$B$2:$B$7,MATCH(B244,'Fund Master'!$A$2:$A$7,0))</f>
        <v/>
      </c>
      <c r="D244" s="6">
        <f>INDEX('Fund Master'!$C$2:$C$7,MATCH(B244,'Fund Master'!$A$2:$A$7,0))</f>
        <v/>
      </c>
      <c r="E244" s="8" t="n">
        <v>240196176.18</v>
      </c>
      <c r="F244" s="8" t="n">
        <v>7482487.06</v>
      </c>
      <c r="G244" s="8" t="n">
        <v>1186340.91</v>
      </c>
      <c r="H244" s="8" t="n">
        <v>1254884.49</v>
      </c>
      <c r="I244" s="8" t="n">
        <v>410968.05</v>
      </c>
      <c r="J244" s="10" t="n">
        <v>21568627.451</v>
      </c>
      <c r="K244" s="9">
        <f>E244+F244+G244</f>
        <v/>
      </c>
      <c r="L244" s="9">
        <f>H244+I244</f>
        <v/>
      </c>
      <c r="M244" s="9">
        <f>K244-L244</f>
        <v/>
      </c>
      <c r="N244" s="11">
        <f>IFERROR(M244/J244,0)</f>
        <v/>
      </c>
      <c r="O244" s="11">
        <f>IF((B244=B243),N243,"")</f>
        <v/>
      </c>
      <c r="P244" s="12">
        <f>IF(O244="","",IFERROR((N244-O244)/O244,""))</f>
        <v/>
      </c>
      <c r="Q244" s="13">
        <f>INDEX('Fund Master'!$F$2:$F$7,MATCH(B244,'Fund Master'!$A$2:$A$7,0))</f>
        <v/>
      </c>
      <c r="R244" s="9">
        <f>SUMIFS('Capital Activity'!$E$2:$E$385,'Capital Activity'!$A$2:$A$385,A244,'Capital Activity'!$B$2:$B$385,B244)</f>
        <v/>
      </c>
      <c r="S244" s="6">
        <f>IF(O244="","",IF(ABS(P244)*10000&gt;Q244,"NAV MOVE BREACH",""))</f>
        <v/>
      </c>
      <c r="T244" s="6">
        <f>IF(AND((B244=B243),D244&lt;&gt;"Money Market",E244=E243),"STALE PRICE","")</f>
        <v/>
      </c>
      <c r="U244" s="6">
        <f>IF(F244&lt;0,"NEGATIVE CASH","")</f>
        <v/>
      </c>
      <c r="V244" s="6">
        <f>IF(ABS(R244)&gt;0.05*M244,"LARGE FLOW","")</f>
        <v/>
      </c>
      <c r="W244" s="6">
        <f>(S244&lt;&gt;"")*1+(T244&lt;&gt;"")*1+(U244&lt;&gt;"")*1+(V244&lt;&gt;"")*1</f>
        <v/>
      </c>
      <c r="X244" s="6">
        <f>IF(S244&lt;&gt;"",S244,IF(T244&lt;&gt;"",T244,IF(U244&lt;&gt;"",U244,IF(V244&lt;&gt;"",V244,""))))</f>
        <v/>
      </c>
    </row>
    <row r="245">
      <c r="A245" s="6" t="inlineStr">
        <is>
          <t>2026-06-12</t>
        </is>
      </c>
      <c r="B245" s="6" t="inlineStr">
        <is>
          <t>FDIV</t>
        </is>
      </c>
      <c r="C245" s="6">
        <f>INDEX('Fund Master'!$B$2:$B$7,MATCH(B245,'Fund Master'!$A$2:$A$7,0))</f>
        <v/>
      </c>
      <c r="D245" s="6">
        <f>INDEX('Fund Master'!$C$2:$C$7,MATCH(B245,'Fund Master'!$A$2:$A$7,0))</f>
        <v/>
      </c>
      <c r="E245" s="8" t="n">
        <v>243483555.94</v>
      </c>
      <c r="F245" s="8" t="n">
        <v>7497178.13</v>
      </c>
      <c r="G245" s="8" t="n">
        <v>1093504.21</v>
      </c>
      <c r="H245" s="8" t="n">
        <v>1330934.25</v>
      </c>
      <c r="I245" s="8" t="n">
        <v>418697.69</v>
      </c>
      <c r="J245" s="10" t="n">
        <v>21568627.451</v>
      </c>
      <c r="K245" s="9">
        <f>E245+F245+G245</f>
        <v/>
      </c>
      <c r="L245" s="9">
        <f>H245+I245</f>
        <v/>
      </c>
      <c r="M245" s="9">
        <f>K245-L245</f>
        <v/>
      </c>
      <c r="N245" s="11">
        <f>IFERROR(M245/J245,0)</f>
        <v/>
      </c>
      <c r="O245" s="11">
        <f>IF((B245=B244),N244,"")</f>
        <v/>
      </c>
      <c r="P245" s="12">
        <f>IF(O245="","",IFERROR((N245-O245)/O245,""))</f>
        <v/>
      </c>
      <c r="Q245" s="13">
        <f>INDEX('Fund Master'!$F$2:$F$7,MATCH(B245,'Fund Master'!$A$2:$A$7,0))</f>
        <v/>
      </c>
      <c r="R245" s="9">
        <f>SUMIFS('Capital Activity'!$E$2:$E$385,'Capital Activity'!$A$2:$A$385,A245,'Capital Activity'!$B$2:$B$385,B245)</f>
        <v/>
      </c>
      <c r="S245" s="6">
        <f>IF(O245="","",IF(ABS(P245)*10000&gt;Q245,"NAV MOVE BREACH",""))</f>
        <v/>
      </c>
      <c r="T245" s="6">
        <f>IF(AND((B245=B244),D245&lt;&gt;"Money Market",E245=E244),"STALE PRICE","")</f>
        <v/>
      </c>
      <c r="U245" s="6">
        <f>IF(F245&lt;0,"NEGATIVE CASH","")</f>
        <v/>
      </c>
      <c r="V245" s="6">
        <f>IF(ABS(R245)&gt;0.05*M245,"LARGE FLOW","")</f>
        <v/>
      </c>
      <c r="W245" s="6">
        <f>(S245&lt;&gt;"")*1+(T245&lt;&gt;"")*1+(U245&lt;&gt;"")*1+(V245&lt;&gt;"")*1</f>
        <v/>
      </c>
      <c r="X245" s="6">
        <f>IF(S245&lt;&gt;"",S245,IF(T245&lt;&gt;"",T245,IF(U245&lt;&gt;"",U245,IF(V245&lt;&gt;"",V245,""))))</f>
        <v/>
      </c>
    </row>
    <row r="246">
      <c r="A246" s="6" t="inlineStr">
        <is>
          <t>2026-06-15</t>
        </is>
      </c>
      <c r="B246" s="6" t="inlineStr">
        <is>
          <t>FDIV</t>
        </is>
      </c>
      <c r="C246" s="6">
        <f>INDEX('Fund Master'!$B$2:$B$7,MATCH(B246,'Fund Master'!$A$2:$A$7,0))</f>
        <v/>
      </c>
      <c r="D246" s="6">
        <f>INDEX('Fund Master'!$C$2:$C$7,MATCH(B246,'Fund Master'!$A$2:$A$7,0))</f>
        <v/>
      </c>
      <c r="E246" s="8" t="n">
        <v>238975217.76</v>
      </c>
      <c r="F246" s="8" t="n">
        <v>7486345.67</v>
      </c>
      <c r="G246" s="8" t="n">
        <v>1003791.29</v>
      </c>
      <c r="H246" s="8" t="n">
        <v>1348202.97</v>
      </c>
      <c r="I246" s="8" t="n">
        <v>426284.2</v>
      </c>
      <c r="J246" s="10" t="n">
        <v>21568627.451</v>
      </c>
      <c r="K246" s="9">
        <f>E246+F246+G246</f>
        <v/>
      </c>
      <c r="L246" s="9">
        <f>H246+I246</f>
        <v/>
      </c>
      <c r="M246" s="9">
        <f>K246-L246</f>
        <v/>
      </c>
      <c r="N246" s="11">
        <f>IFERROR(M246/J246,0)</f>
        <v/>
      </c>
      <c r="O246" s="11">
        <f>IF((B246=B245),N245,"")</f>
        <v/>
      </c>
      <c r="P246" s="12">
        <f>IF(O246="","",IFERROR((N246-O246)/O246,""))</f>
        <v/>
      </c>
      <c r="Q246" s="13">
        <f>INDEX('Fund Master'!$F$2:$F$7,MATCH(B246,'Fund Master'!$A$2:$A$7,0))</f>
        <v/>
      </c>
      <c r="R246" s="9">
        <f>SUMIFS('Capital Activity'!$E$2:$E$385,'Capital Activity'!$A$2:$A$385,A246,'Capital Activity'!$B$2:$B$385,B246)</f>
        <v/>
      </c>
      <c r="S246" s="6">
        <f>IF(O246="","",IF(ABS(P246)*10000&gt;Q246,"NAV MOVE BREACH",""))</f>
        <v/>
      </c>
      <c r="T246" s="6">
        <f>IF(AND((B246=B245),D246&lt;&gt;"Money Market",E246=E245),"STALE PRICE","")</f>
        <v/>
      </c>
      <c r="U246" s="6">
        <f>IF(F246&lt;0,"NEGATIVE CASH","")</f>
        <v/>
      </c>
      <c r="V246" s="6">
        <f>IF(ABS(R246)&gt;0.05*M246,"LARGE FLOW","")</f>
        <v/>
      </c>
      <c r="W246" s="6">
        <f>(S246&lt;&gt;"")*1+(T246&lt;&gt;"")*1+(U246&lt;&gt;"")*1+(V246&lt;&gt;"")*1</f>
        <v/>
      </c>
      <c r="X246" s="6">
        <f>IF(S246&lt;&gt;"",S246,IF(T246&lt;&gt;"",T246,IF(U246&lt;&gt;"",U246,IF(V246&lt;&gt;"",V246,""))))</f>
        <v/>
      </c>
    </row>
    <row r="247">
      <c r="A247" s="6" t="inlineStr">
        <is>
          <t>2026-06-16</t>
        </is>
      </c>
      <c r="B247" s="6" t="inlineStr">
        <is>
          <t>FDIV</t>
        </is>
      </c>
      <c r="C247" s="6">
        <f>INDEX('Fund Master'!$B$2:$B$7,MATCH(B247,'Fund Master'!$A$2:$A$7,0))</f>
        <v/>
      </c>
      <c r="D247" s="6">
        <f>INDEX('Fund Master'!$C$2:$C$7,MATCH(B247,'Fund Master'!$A$2:$A$7,0))</f>
        <v/>
      </c>
      <c r="E247" s="8" t="n">
        <v>238098932.69</v>
      </c>
      <c r="F247" s="8" t="n">
        <v>7556941.42</v>
      </c>
      <c r="G247" s="8" t="n">
        <v>1006161.75</v>
      </c>
      <c r="H247" s="8" t="n">
        <v>1376654.87</v>
      </c>
      <c r="I247" s="8" t="n">
        <v>433842.9</v>
      </c>
      <c r="J247" s="10" t="n">
        <v>21568627.451</v>
      </c>
      <c r="K247" s="9">
        <f>E247+F247+G247</f>
        <v/>
      </c>
      <c r="L247" s="9">
        <f>H247+I247</f>
        <v/>
      </c>
      <c r="M247" s="9">
        <f>K247-L247</f>
        <v/>
      </c>
      <c r="N247" s="11">
        <f>IFERROR(M247/J247,0)</f>
        <v/>
      </c>
      <c r="O247" s="11">
        <f>IF((B247=B246),N246,"")</f>
        <v/>
      </c>
      <c r="P247" s="12">
        <f>IF(O247="","",IFERROR((N247-O247)/O247,""))</f>
        <v/>
      </c>
      <c r="Q247" s="13">
        <f>INDEX('Fund Master'!$F$2:$F$7,MATCH(B247,'Fund Master'!$A$2:$A$7,0))</f>
        <v/>
      </c>
      <c r="R247" s="9">
        <f>SUMIFS('Capital Activity'!$E$2:$E$385,'Capital Activity'!$A$2:$A$385,A247,'Capital Activity'!$B$2:$B$385,B247)</f>
        <v/>
      </c>
      <c r="S247" s="6">
        <f>IF(O247="","",IF(ABS(P247)*10000&gt;Q247,"NAV MOVE BREACH",""))</f>
        <v/>
      </c>
      <c r="T247" s="6">
        <f>IF(AND((B247=B246),D247&lt;&gt;"Money Market",E247=E246),"STALE PRICE","")</f>
        <v/>
      </c>
      <c r="U247" s="6">
        <f>IF(F247&lt;0,"NEGATIVE CASH","")</f>
        <v/>
      </c>
      <c r="V247" s="6">
        <f>IF(ABS(R247)&gt;0.05*M247,"LARGE FLOW","")</f>
        <v/>
      </c>
      <c r="W247" s="6">
        <f>(S247&lt;&gt;"")*1+(T247&lt;&gt;"")*1+(U247&lt;&gt;"")*1+(V247&lt;&gt;"")*1</f>
        <v/>
      </c>
      <c r="X247" s="6">
        <f>IF(S247&lt;&gt;"",S247,IF(T247&lt;&gt;"",T247,IF(U247&lt;&gt;"",U247,IF(V247&lt;&gt;"",V247,""))))</f>
        <v/>
      </c>
    </row>
    <row r="248">
      <c r="A248" s="6" t="inlineStr">
        <is>
          <t>2026-06-17</t>
        </is>
      </c>
      <c r="B248" s="6" t="inlineStr">
        <is>
          <t>FDIV</t>
        </is>
      </c>
      <c r="C248" s="6">
        <f>INDEX('Fund Master'!$B$2:$B$7,MATCH(B248,'Fund Master'!$A$2:$A$7,0))</f>
        <v/>
      </c>
      <c r="D248" s="6">
        <f>INDEX('Fund Master'!$C$2:$C$7,MATCH(B248,'Fund Master'!$A$2:$A$7,0))</f>
        <v/>
      </c>
      <c r="E248" s="8" t="n">
        <v>241804590.06</v>
      </c>
      <c r="F248" s="8" t="n">
        <v>7689694.27</v>
      </c>
      <c r="G248" s="8" t="n">
        <v>969661.9399999999</v>
      </c>
      <c r="H248" s="8" t="n">
        <v>1320878.24</v>
      </c>
      <c r="I248" s="8" t="n">
        <v>441519.24</v>
      </c>
      <c r="J248" s="10" t="n">
        <v>21568627.451</v>
      </c>
      <c r="K248" s="9">
        <f>E248+F248+G248</f>
        <v/>
      </c>
      <c r="L248" s="9">
        <f>H248+I248</f>
        <v/>
      </c>
      <c r="M248" s="9">
        <f>K248-L248</f>
        <v/>
      </c>
      <c r="N248" s="11">
        <f>IFERROR(M248/J248,0)</f>
        <v/>
      </c>
      <c r="O248" s="11">
        <f>IF((B248=B247),N247,"")</f>
        <v/>
      </c>
      <c r="P248" s="12">
        <f>IF(O248="","",IFERROR((N248-O248)/O248,""))</f>
        <v/>
      </c>
      <c r="Q248" s="13">
        <f>INDEX('Fund Master'!$F$2:$F$7,MATCH(B248,'Fund Master'!$A$2:$A$7,0))</f>
        <v/>
      </c>
      <c r="R248" s="9">
        <f>SUMIFS('Capital Activity'!$E$2:$E$385,'Capital Activity'!$A$2:$A$385,A248,'Capital Activity'!$B$2:$B$385,B248)</f>
        <v/>
      </c>
      <c r="S248" s="6">
        <f>IF(O248="","",IF(ABS(P248)*10000&gt;Q248,"NAV MOVE BREACH",""))</f>
        <v/>
      </c>
      <c r="T248" s="6">
        <f>IF(AND((B248=B247),D248&lt;&gt;"Money Market",E248=E247),"STALE PRICE","")</f>
        <v/>
      </c>
      <c r="U248" s="6">
        <f>IF(F248&lt;0,"NEGATIVE CASH","")</f>
        <v/>
      </c>
      <c r="V248" s="6">
        <f>IF(ABS(R248)&gt;0.05*M248,"LARGE FLOW","")</f>
        <v/>
      </c>
      <c r="W248" s="6">
        <f>(S248&lt;&gt;"")*1+(T248&lt;&gt;"")*1+(U248&lt;&gt;"")*1+(V248&lt;&gt;"")*1</f>
        <v/>
      </c>
      <c r="X248" s="6">
        <f>IF(S248&lt;&gt;"",S248,IF(T248&lt;&gt;"",T248,IF(U248&lt;&gt;"",U248,IF(V248&lt;&gt;"",V248,""))))</f>
        <v/>
      </c>
    </row>
    <row r="249">
      <c r="A249" s="6" t="inlineStr">
        <is>
          <t>2026-06-18</t>
        </is>
      </c>
      <c r="B249" s="6" t="inlineStr">
        <is>
          <t>FDIV</t>
        </is>
      </c>
      <c r="C249" s="6">
        <f>INDEX('Fund Master'!$B$2:$B$7,MATCH(B249,'Fund Master'!$A$2:$A$7,0))</f>
        <v/>
      </c>
      <c r="D249" s="6">
        <f>INDEX('Fund Master'!$C$2:$C$7,MATCH(B249,'Fund Master'!$A$2:$A$7,0))</f>
        <v/>
      </c>
      <c r="E249" s="8" t="n">
        <v>241559952.33</v>
      </c>
      <c r="F249" s="8" t="n">
        <v>7900935.18</v>
      </c>
      <c r="G249" s="8" t="n">
        <v>884549.89</v>
      </c>
      <c r="H249" s="8" t="n">
        <v>1318841.03</v>
      </c>
      <c r="I249" s="8" t="n">
        <v>449187.81</v>
      </c>
      <c r="J249" s="10" t="n">
        <v>21568627.451</v>
      </c>
      <c r="K249" s="9">
        <f>E249+F249+G249</f>
        <v/>
      </c>
      <c r="L249" s="9">
        <f>H249+I249</f>
        <v/>
      </c>
      <c r="M249" s="9">
        <f>K249-L249</f>
        <v/>
      </c>
      <c r="N249" s="11">
        <f>IFERROR(M249/J249,0)</f>
        <v/>
      </c>
      <c r="O249" s="11">
        <f>IF((B249=B248),N248,"")</f>
        <v/>
      </c>
      <c r="P249" s="12">
        <f>IF(O249="","",IFERROR((N249-O249)/O249,""))</f>
        <v/>
      </c>
      <c r="Q249" s="13">
        <f>INDEX('Fund Master'!$F$2:$F$7,MATCH(B249,'Fund Master'!$A$2:$A$7,0))</f>
        <v/>
      </c>
      <c r="R249" s="9">
        <f>SUMIFS('Capital Activity'!$E$2:$E$385,'Capital Activity'!$A$2:$A$385,A249,'Capital Activity'!$B$2:$B$385,B249)</f>
        <v/>
      </c>
      <c r="S249" s="6">
        <f>IF(O249="","",IF(ABS(P249)*10000&gt;Q249,"NAV MOVE BREACH",""))</f>
        <v/>
      </c>
      <c r="T249" s="6">
        <f>IF(AND((B249=B248),D249&lt;&gt;"Money Market",E249=E248),"STALE PRICE","")</f>
        <v/>
      </c>
      <c r="U249" s="6">
        <f>IF(F249&lt;0,"NEGATIVE CASH","")</f>
        <v/>
      </c>
      <c r="V249" s="6">
        <f>IF(ABS(R249)&gt;0.05*M249,"LARGE FLOW","")</f>
        <v/>
      </c>
      <c r="W249" s="6">
        <f>(S249&lt;&gt;"")*1+(T249&lt;&gt;"")*1+(U249&lt;&gt;"")*1+(V249&lt;&gt;"")*1</f>
        <v/>
      </c>
      <c r="X249" s="6">
        <f>IF(S249&lt;&gt;"",S249,IF(T249&lt;&gt;"",T249,IF(U249&lt;&gt;"",U249,IF(V249&lt;&gt;"",V249,""))))</f>
        <v/>
      </c>
    </row>
    <row r="250">
      <c r="A250" s="6" t="inlineStr">
        <is>
          <t>2026-06-19</t>
        </is>
      </c>
      <c r="B250" s="6" t="inlineStr">
        <is>
          <t>FDIV</t>
        </is>
      </c>
      <c r="C250" s="6">
        <f>INDEX('Fund Master'!$B$2:$B$7,MATCH(B250,'Fund Master'!$A$2:$A$7,0))</f>
        <v/>
      </c>
      <c r="D250" s="6">
        <f>INDEX('Fund Master'!$C$2:$C$7,MATCH(B250,'Fund Master'!$A$2:$A$7,0))</f>
        <v/>
      </c>
      <c r="E250" s="8" t="n">
        <v>243643510.84</v>
      </c>
      <c r="F250" s="8" t="n">
        <v>7907574.62</v>
      </c>
      <c r="G250" s="8" t="n">
        <v>739899.5600000001</v>
      </c>
      <c r="H250" s="8" t="n">
        <v>1341849.99</v>
      </c>
      <c r="I250" s="8" t="n">
        <v>456922.52</v>
      </c>
      <c r="J250" s="10" t="n">
        <v>21568627.451</v>
      </c>
      <c r="K250" s="9">
        <f>E250+F250+G250</f>
        <v/>
      </c>
      <c r="L250" s="9">
        <f>H250+I250</f>
        <v/>
      </c>
      <c r="M250" s="9">
        <f>K250-L250</f>
        <v/>
      </c>
      <c r="N250" s="11">
        <f>IFERROR(M250/J250,0)</f>
        <v/>
      </c>
      <c r="O250" s="11">
        <f>IF((B250=B249),N249,"")</f>
        <v/>
      </c>
      <c r="P250" s="12">
        <f>IF(O250="","",IFERROR((N250-O250)/O250,""))</f>
        <v/>
      </c>
      <c r="Q250" s="13">
        <f>INDEX('Fund Master'!$F$2:$F$7,MATCH(B250,'Fund Master'!$A$2:$A$7,0))</f>
        <v/>
      </c>
      <c r="R250" s="9">
        <f>SUMIFS('Capital Activity'!$E$2:$E$385,'Capital Activity'!$A$2:$A$385,A250,'Capital Activity'!$B$2:$B$385,B250)</f>
        <v/>
      </c>
      <c r="S250" s="6">
        <f>IF(O250="","",IF(ABS(P250)*10000&gt;Q250,"NAV MOVE BREACH",""))</f>
        <v/>
      </c>
      <c r="T250" s="6">
        <f>IF(AND((B250=B249),D250&lt;&gt;"Money Market",E250=E249),"STALE PRICE","")</f>
        <v/>
      </c>
      <c r="U250" s="6">
        <f>IF(F250&lt;0,"NEGATIVE CASH","")</f>
        <v/>
      </c>
      <c r="V250" s="6">
        <f>IF(ABS(R250)&gt;0.05*M250,"LARGE FLOW","")</f>
        <v/>
      </c>
      <c r="W250" s="6">
        <f>(S250&lt;&gt;"")*1+(T250&lt;&gt;"")*1+(U250&lt;&gt;"")*1+(V250&lt;&gt;"")*1</f>
        <v/>
      </c>
      <c r="X250" s="6">
        <f>IF(S250&lt;&gt;"",S250,IF(T250&lt;&gt;"",T250,IF(U250&lt;&gt;"",U250,IF(V250&lt;&gt;"",V250,""))))</f>
        <v/>
      </c>
    </row>
    <row r="251">
      <c r="A251" s="6" t="inlineStr">
        <is>
          <t>2026-06-22</t>
        </is>
      </c>
      <c r="B251" s="6" t="inlineStr">
        <is>
          <t>FDIV</t>
        </is>
      </c>
      <c r="C251" s="6">
        <f>INDEX('Fund Master'!$B$2:$B$7,MATCH(B251,'Fund Master'!$A$2:$A$7,0))</f>
        <v/>
      </c>
      <c r="D251" s="6">
        <f>INDEX('Fund Master'!$C$2:$C$7,MATCH(B251,'Fund Master'!$A$2:$A$7,0))</f>
        <v/>
      </c>
      <c r="E251" s="8" t="n">
        <v>246552597.5</v>
      </c>
      <c r="F251" s="8" t="n">
        <v>7843547.87</v>
      </c>
      <c r="G251" s="8" t="n">
        <v>788984.08</v>
      </c>
      <c r="H251" s="8" t="n">
        <v>1428435.38</v>
      </c>
      <c r="I251" s="8" t="n">
        <v>464749.59</v>
      </c>
      <c r="J251" s="10" t="n">
        <v>21568627.451</v>
      </c>
      <c r="K251" s="9">
        <f>E251+F251+G251</f>
        <v/>
      </c>
      <c r="L251" s="9">
        <f>H251+I251</f>
        <v/>
      </c>
      <c r="M251" s="9">
        <f>K251-L251</f>
        <v/>
      </c>
      <c r="N251" s="11">
        <f>IFERROR(M251/J251,0)</f>
        <v/>
      </c>
      <c r="O251" s="11">
        <f>IF((B251=B250),N250,"")</f>
        <v/>
      </c>
      <c r="P251" s="12">
        <f>IF(O251="","",IFERROR((N251-O251)/O251,""))</f>
        <v/>
      </c>
      <c r="Q251" s="13">
        <f>INDEX('Fund Master'!$F$2:$F$7,MATCH(B251,'Fund Master'!$A$2:$A$7,0))</f>
        <v/>
      </c>
      <c r="R251" s="9">
        <f>SUMIFS('Capital Activity'!$E$2:$E$385,'Capital Activity'!$A$2:$A$385,A251,'Capital Activity'!$B$2:$B$385,B251)</f>
        <v/>
      </c>
      <c r="S251" s="6">
        <f>IF(O251="","",IF(ABS(P251)*10000&gt;Q251,"NAV MOVE BREACH",""))</f>
        <v/>
      </c>
      <c r="T251" s="6">
        <f>IF(AND((B251=B250),D251&lt;&gt;"Money Market",E251=E250),"STALE PRICE","")</f>
        <v/>
      </c>
      <c r="U251" s="6">
        <f>IF(F251&lt;0,"NEGATIVE CASH","")</f>
        <v/>
      </c>
      <c r="V251" s="6">
        <f>IF(ABS(R251)&gt;0.05*M251,"LARGE FLOW","")</f>
        <v/>
      </c>
      <c r="W251" s="6">
        <f>(S251&lt;&gt;"")*1+(T251&lt;&gt;"")*1+(U251&lt;&gt;"")*1+(V251&lt;&gt;"")*1</f>
        <v/>
      </c>
      <c r="X251" s="6">
        <f>IF(S251&lt;&gt;"",S251,IF(T251&lt;&gt;"",T251,IF(U251&lt;&gt;"",U251,IF(V251&lt;&gt;"",V251,""))))</f>
        <v/>
      </c>
    </row>
    <row r="252">
      <c r="A252" s="6" t="inlineStr">
        <is>
          <t>2026-06-23</t>
        </is>
      </c>
      <c r="B252" s="6" t="inlineStr">
        <is>
          <t>FDIV</t>
        </is>
      </c>
      <c r="C252" s="6">
        <f>INDEX('Fund Master'!$B$2:$B$7,MATCH(B252,'Fund Master'!$A$2:$A$7,0))</f>
        <v/>
      </c>
      <c r="D252" s="6">
        <f>INDEX('Fund Master'!$C$2:$C$7,MATCH(B252,'Fund Master'!$A$2:$A$7,0))</f>
        <v/>
      </c>
      <c r="E252" s="8" t="n">
        <v>245420992.98</v>
      </c>
      <c r="F252" s="8" t="n">
        <v>7795543.85</v>
      </c>
      <c r="G252" s="8" t="n">
        <v>805841.38</v>
      </c>
      <c r="H252" s="8" t="n">
        <v>1393181.01</v>
      </c>
      <c r="I252" s="8" t="n">
        <v>472540.73</v>
      </c>
      <c r="J252" s="10" t="n">
        <v>21568627.451</v>
      </c>
      <c r="K252" s="9">
        <f>E252+F252+G252</f>
        <v/>
      </c>
      <c r="L252" s="9">
        <f>H252+I252</f>
        <v/>
      </c>
      <c r="M252" s="9">
        <f>K252-L252</f>
        <v/>
      </c>
      <c r="N252" s="11">
        <f>IFERROR(M252/J252,0)</f>
        <v/>
      </c>
      <c r="O252" s="11">
        <f>IF((B252=B251),N251,"")</f>
        <v/>
      </c>
      <c r="P252" s="12">
        <f>IF(O252="","",IFERROR((N252-O252)/O252,""))</f>
        <v/>
      </c>
      <c r="Q252" s="13">
        <f>INDEX('Fund Master'!$F$2:$F$7,MATCH(B252,'Fund Master'!$A$2:$A$7,0))</f>
        <v/>
      </c>
      <c r="R252" s="9">
        <f>SUMIFS('Capital Activity'!$E$2:$E$385,'Capital Activity'!$A$2:$A$385,A252,'Capital Activity'!$B$2:$B$385,B252)</f>
        <v/>
      </c>
      <c r="S252" s="6">
        <f>IF(O252="","",IF(ABS(P252)*10000&gt;Q252,"NAV MOVE BREACH",""))</f>
        <v/>
      </c>
      <c r="T252" s="6">
        <f>IF(AND((B252=B251),D252&lt;&gt;"Money Market",E252=E251),"STALE PRICE","")</f>
        <v/>
      </c>
      <c r="U252" s="6">
        <f>IF(F252&lt;0,"NEGATIVE CASH","")</f>
        <v/>
      </c>
      <c r="V252" s="6">
        <f>IF(ABS(R252)&gt;0.05*M252,"LARGE FLOW","")</f>
        <v/>
      </c>
      <c r="W252" s="6">
        <f>(S252&lt;&gt;"")*1+(T252&lt;&gt;"")*1+(U252&lt;&gt;"")*1+(V252&lt;&gt;"")*1</f>
        <v/>
      </c>
      <c r="X252" s="6">
        <f>IF(S252&lt;&gt;"",S252,IF(T252&lt;&gt;"",T252,IF(U252&lt;&gt;"",U252,IF(V252&lt;&gt;"",V252,""))))</f>
        <v/>
      </c>
    </row>
    <row r="253">
      <c r="A253" s="6" t="inlineStr">
        <is>
          <t>2026-06-24</t>
        </is>
      </c>
      <c r="B253" s="6" t="inlineStr">
        <is>
          <t>FDIV</t>
        </is>
      </c>
      <c r="C253" s="6">
        <f>INDEX('Fund Master'!$B$2:$B$7,MATCH(B253,'Fund Master'!$A$2:$A$7,0))</f>
        <v/>
      </c>
      <c r="D253" s="6">
        <f>INDEX('Fund Master'!$C$2:$C$7,MATCH(B253,'Fund Master'!$A$2:$A$7,0))</f>
        <v/>
      </c>
      <c r="E253" s="8" t="n">
        <v>242935163.89</v>
      </c>
      <c r="F253" s="8" t="n">
        <v>7558313</v>
      </c>
      <c r="G253" s="8" t="n">
        <v>837289.62</v>
      </c>
      <c r="H253" s="8" t="n">
        <v>1312089.92</v>
      </c>
      <c r="I253" s="8" t="n">
        <v>480252.96</v>
      </c>
      <c r="J253" s="10" t="n">
        <v>21568627.451</v>
      </c>
      <c r="K253" s="9">
        <f>E253+F253+G253</f>
        <v/>
      </c>
      <c r="L253" s="9">
        <f>H253+I253</f>
        <v/>
      </c>
      <c r="M253" s="9">
        <f>K253-L253</f>
        <v/>
      </c>
      <c r="N253" s="11">
        <f>IFERROR(M253/J253,0)</f>
        <v/>
      </c>
      <c r="O253" s="11">
        <f>IF((B253=B252),N252,"")</f>
        <v/>
      </c>
      <c r="P253" s="12">
        <f>IF(O253="","",IFERROR((N253-O253)/O253,""))</f>
        <v/>
      </c>
      <c r="Q253" s="13">
        <f>INDEX('Fund Master'!$F$2:$F$7,MATCH(B253,'Fund Master'!$A$2:$A$7,0))</f>
        <v/>
      </c>
      <c r="R253" s="9">
        <f>SUMIFS('Capital Activity'!$E$2:$E$385,'Capital Activity'!$A$2:$A$385,A253,'Capital Activity'!$B$2:$B$385,B253)</f>
        <v/>
      </c>
      <c r="S253" s="6">
        <f>IF(O253="","",IF(ABS(P253)*10000&gt;Q253,"NAV MOVE BREACH",""))</f>
        <v/>
      </c>
      <c r="T253" s="6">
        <f>IF(AND((B253=B252),D253&lt;&gt;"Money Market",E253=E252),"STALE PRICE","")</f>
        <v/>
      </c>
      <c r="U253" s="6">
        <f>IF(F253&lt;0,"NEGATIVE CASH","")</f>
        <v/>
      </c>
      <c r="V253" s="6">
        <f>IF(ABS(R253)&gt;0.05*M253,"LARGE FLOW","")</f>
        <v/>
      </c>
      <c r="W253" s="6">
        <f>(S253&lt;&gt;"")*1+(T253&lt;&gt;"")*1+(U253&lt;&gt;"")*1+(V253&lt;&gt;"")*1</f>
        <v/>
      </c>
      <c r="X253" s="6">
        <f>IF(S253&lt;&gt;"",S253,IF(T253&lt;&gt;"",T253,IF(U253&lt;&gt;"",U253,IF(V253&lt;&gt;"",V253,""))))</f>
        <v/>
      </c>
    </row>
    <row r="254">
      <c r="A254" s="6" t="inlineStr">
        <is>
          <t>2026-06-25</t>
        </is>
      </c>
      <c r="B254" s="6" t="inlineStr">
        <is>
          <t>FDIV</t>
        </is>
      </c>
      <c r="C254" s="6">
        <f>INDEX('Fund Master'!$B$2:$B$7,MATCH(B254,'Fund Master'!$A$2:$A$7,0))</f>
        <v/>
      </c>
      <c r="D254" s="6">
        <f>INDEX('Fund Master'!$C$2:$C$7,MATCH(B254,'Fund Master'!$A$2:$A$7,0))</f>
        <v/>
      </c>
      <c r="E254" s="8" t="n">
        <v>239000789.08</v>
      </c>
      <c r="F254" s="8" t="n">
        <v>7338741.79</v>
      </c>
      <c r="G254" s="8" t="n">
        <v>892223.92</v>
      </c>
      <c r="H254" s="8" t="n">
        <v>1234560.56</v>
      </c>
      <c r="I254" s="8" t="n">
        <v>487840.28</v>
      </c>
      <c r="J254" s="10" t="n">
        <v>21568627.451</v>
      </c>
      <c r="K254" s="9">
        <f>E254+F254+G254</f>
        <v/>
      </c>
      <c r="L254" s="9">
        <f>H254+I254</f>
        <v/>
      </c>
      <c r="M254" s="9">
        <f>K254-L254</f>
        <v/>
      </c>
      <c r="N254" s="11">
        <f>IFERROR(M254/J254,0)</f>
        <v/>
      </c>
      <c r="O254" s="11">
        <f>IF((B254=B253),N253,"")</f>
        <v/>
      </c>
      <c r="P254" s="12">
        <f>IF(O254="","",IFERROR((N254-O254)/O254,""))</f>
        <v/>
      </c>
      <c r="Q254" s="13">
        <f>INDEX('Fund Master'!$F$2:$F$7,MATCH(B254,'Fund Master'!$A$2:$A$7,0))</f>
        <v/>
      </c>
      <c r="R254" s="9">
        <f>SUMIFS('Capital Activity'!$E$2:$E$385,'Capital Activity'!$A$2:$A$385,A254,'Capital Activity'!$B$2:$B$385,B254)</f>
        <v/>
      </c>
      <c r="S254" s="6">
        <f>IF(O254="","",IF(ABS(P254)*10000&gt;Q254,"NAV MOVE BREACH",""))</f>
        <v/>
      </c>
      <c r="T254" s="6">
        <f>IF(AND((B254=B253),D254&lt;&gt;"Money Market",E254=E253),"STALE PRICE","")</f>
        <v/>
      </c>
      <c r="U254" s="6">
        <f>IF(F254&lt;0,"NEGATIVE CASH","")</f>
        <v/>
      </c>
      <c r="V254" s="6">
        <f>IF(ABS(R254)&gt;0.05*M254,"LARGE FLOW","")</f>
        <v/>
      </c>
      <c r="W254" s="6">
        <f>(S254&lt;&gt;"")*1+(T254&lt;&gt;"")*1+(U254&lt;&gt;"")*1+(V254&lt;&gt;"")*1</f>
        <v/>
      </c>
      <c r="X254" s="6">
        <f>IF(S254&lt;&gt;"",S254,IF(T254&lt;&gt;"",T254,IF(U254&lt;&gt;"",U254,IF(V254&lt;&gt;"",V254,""))))</f>
        <v/>
      </c>
    </row>
    <row r="255">
      <c r="A255" s="6" t="inlineStr">
        <is>
          <t>2026-06-26</t>
        </is>
      </c>
      <c r="B255" s="6" t="inlineStr">
        <is>
          <t>FDIV</t>
        </is>
      </c>
      <c r="C255" s="6">
        <f>INDEX('Fund Master'!$B$2:$B$7,MATCH(B255,'Fund Master'!$A$2:$A$7,0))</f>
        <v/>
      </c>
      <c r="D255" s="6">
        <f>INDEX('Fund Master'!$C$2:$C$7,MATCH(B255,'Fund Master'!$A$2:$A$7,0))</f>
        <v/>
      </c>
      <c r="E255" s="8" t="n">
        <v>240827283.27</v>
      </c>
      <c r="F255" s="8" t="n">
        <v>7358479.54</v>
      </c>
      <c r="G255" s="8" t="n">
        <v>864507.26</v>
      </c>
      <c r="H255" s="8" t="n">
        <v>1326206.25</v>
      </c>
      <c r="I255" s="8" t="n">
        <v>495485.59</v>
      </c>
      <c r="J255" s="10" t="n">
        <v>21568627.451</v>
      </c>
      <c r="K255" s="9">
        <f>E255+F255+G255</f>
        <v/>
      </c>
      <c r="L255" s="9">
        <f>H255+I255</f>
        <v/>
      </c>
      <c r="M255" s="9">
        <f>K255-L255</f>
        <v/>
      </c>
      <c r="N255" s="11">
        <f>IFERROR(M255/J255,0)</f>
        <v/>
      </c>
      <c r="O255" s="11">
        <f>IF((B255=B254),N254,"")</f>
        <v/>
      </c>
      <c r="P255" s="12">
        <f>IF(O255="","",IFERROR((N255-O255)/O255,""))</f>
        <v/>
      </c>
      <c r="Q255" s="13">
        <f>INDEX('Fund Master'!$F$2:$F$7,MATCH(B255,'Fund Master'!$A$2:$A$7,0))</f>
        <v/>
      </c>
      <c r="R255" s="9">
        <f>SUMIFS('Capital Activity'!$E$2:$E$385,'Capital Activity'!$A$2:$A$385,A255,'Capital Activity'!$B$2:$B$385,B255)</f>
        <v/>
      </c>
      <c r="S255" s="6">
        <f>IF(O255="","",IF(ABS(P255)*10000&gt;Q255,"NAV MOVE BREACH",""))</f>
        <v/>
      </c>
      <c r="T255" s="6">
        <f>IF(AND((B255=B254),D255&lt;&gt;"Money Market",E255=E254),"STALE PRICE","")</f>
        <v/>
      </c>
      <c r="U255" s="6">
        <f>IF(F255&lt;0,"NEGATIVE CASH","")</f>
        <v/>
      </c>
      <c r="V255" s="6">
        <f>IF(ABS(R255)&gt;0.05*M255,"LARGE FLOW","")</f>
        <v/>
      </c>
      <c r="W255" s="6">
        <f>(S255&lt;&gt;"")*1+(T255&lt;&gt;"")*1+(U255&lt;&gt;"")*1+(V255&lt;&gt;"")*1</f>
        <v/>
      </c>
      <c r="X255" s="6">
        <f>IF(S255&lt;&gt;"",S255,IF(T255&lt;&gt;"",T255,IF(U255&lt;&gt;"",U255,IF(V255&lt;&gt;"",V255,""))))</f>
        <v/>
      </c>
    </row>
    <row r="256">
      <c r="A256" s="6" t="inlineStr">
        <is>
          <t>2026-06-29</t>
        </is>
      </c>
      <c r="B256" s="6" t="inlineStr">
        <is>
          <t>FDIV</t>
        </is>
      </c>
      <c r="C256" s="6">
        <f>INDEX('Fund Master'!$B$2:$B$7,MATCH(B256,'Fund Master'!$A$2:$A$7,0))</f>
        <v/>
      </c>
      <c r="D256" s="6">
        <f>INDEX('Fund Master'!$C$2:$C$7,MATCH(B256,'Fund Master'!$A$2:$A$7,0))</f>
        <v/>
      </c>
      <c r="E256" s="8" t="n">
        <v>241070644.62</v>
      </c>
      <c r="F256" s="8" t="n">
        <v>7249005.96</v>
      </c>
      <c r="G256" s="8" t="n">
        <v>817333.88</v>
      </c>
      <c r="H256" s="8" t="n">
        <v>1357777.48</v>
      </c>
      <c r="I256" s="8" t="n">
        <v>503138.63</v>
      </c>
      <c r="J256" s="10" t="n">
        <v>21568627.451</v>
      </c>
      <c r="K256" s="9">
        <f>E256+F256+G256</f>
        <v/>
      </c>
      <c r="L256" s="9">
        <f>H256+I256</f>
        <v/>
      </c>
      <c r="M256" s="9">
        <f>K256-L256</f>
        <v/>
      </c>
      <c r="N256" s="11">
        <f>IFERROR(M256/J256,0)</f>
        <v/>
      </c>
      <c r="O256" s="11">
        <f>IF((B256=B255),N255,"")</f>
        <v/>
      </c>
      <c r="P256" s="12">
        <f>IF(O256="","",IFERROR((N256-O256)/O256,""))</f>
        <v/>
      </c>
      <c r="Q256" s="13">
        <f>INDEX('Fund Master'!$F$2:$F$7,MATCH(B256,'Fund Master'!$A$2:$A$7,0))</f>
        <v/>
      </c>
      <c r="R256" s="9">
        <f>SUMIFS('Capital Activity'!$E$2:$E$385,'Capital Activity'!$A$2:$A$385,A256,'Capital Activity'!$B$2:$B$385,B256)</f>
        <v/>
      </c>
      <c r="S256" s="6">
        <f>IF(O256="","",IF(ABS(P256)*10000&gt;Q256,"NAV MOVE BREACH",""))</f>
        <v/>
      </c>
      <c r="T256" s="6">
        <f>IF(AND((B256=B255),D256&lt;&gt;"Money Market",E256=E255),"STALE PRICE","")</f>
        <v/>
      </c>
      <c r="U256" s="6">
        <f>IF(F256&lt;0,"NEGATIVE CASH","")</f>
        <v/>
      </c>
      <c r="V256" s="6">
        <f>IF(ABS(R256)&gt;0.05*M256,"LARGE FLOW","")</f>
        <v/>
      </c>
      <c r="W256" s="6">
        <f>(S256&lt;&gt;"")*1+(T256&lt;&gt;"")*1+(U256&lt;&gt;"")*1+(V256&lt;&gt;"")*1</f>
        <v/>
      </c>
      <c r="X256" s="6">
        <f>IF(S256&lt;&gt;"",S256,IF(T256&lt;&gt;"",T256,IF(U256&lt;&gt;"",U256,IF(V256&lt;&gt;"",V256,""))))</f>
        <v/>
      </c>
    </row>
    <row r="257">
      <c r="A257" s="6" t="inlineStr">
        <is>
          <t>2026-06-30</t>
        </is>
      </c>
      <c r="B257" s="6" t="inlineStr">
        <is>
          <t>FDIV</t>
        </is>
      </c>
      <c r="C257" s="6">
        <f>INDEX('Fund Master'!$B$2:$B$7,MATCH(B257,'Fund Master'!$A$2:$A$7,0))</f>
        <v/>
      </c>
      <c r="D257" s="6">
        <f>INDEX('Fund Master'!$C$2:$C$7,MATCH(B257,'Fund Master'!$A$2:$A$7,0))</f>
        <v/>
      </c>
      <c r="E257" s="8" t="n">
        <v>242608500.77</v>
      </c>
      <c r="F257" s="8" t="n">
        <v>7076453.34</v>
      </c>
      <c r="G257" s="8" t="n">
        <v>883798.63</v>
      </c>
      <c r="H257" s="8" t="n">
        <v>1308326</v>
      </c>
      <c r="I257" s="8" t="n">
        <v>510840.49</v>
      </c>
      <c r="J257" s="10" t="n">
        <v>21568627.451</v>
      </c>
      <c r="K257" s="9">
        <f>E257+F257+G257</f>
        <v/>
      </c>
      <c r="L257" s="9">
        <f>H257+I257</f>
        <v/>
      </c>
      <c r="M257" s="9">
        <f>K257-L257</f>
        <v/>
      </c>
      <c r="N257" s="11">
        <f>IFERROR(M257/J257,0)</f>
        <v/>
      </c>
      <c r="O257" s="11">
        <f>IF((B257=B256),N256,"")</f>
        <v/>
      </c>
      <c r="P257" s="12">
        <f>IF(O257="","",IFERROR((N257-O257)/O257,""))</f>
        <v/>
      </c>
      <c r="Q257" s="13">
        <f>INDEX('Fund Master'!$F$2:$F$7,MATCH(B257,'Fund Master'!$A$2:$A$7,0))</f>
        <v/>
      </c>
      <c r="R257" s="9">
        <f>SUMIFS('Capital Activity'!$E$2:$E$385,'Capital Activity'!$A$2:$A$385,A257,'Capital Activity'!$B$2:$B$385,B257)</f>
        <v/>
      </c>
      <c r="S257" s="6">
        <f>IF(O257="","",IF(ABS(P257)*10000&gt;Q257,"NAV MOVE BREACH",""))</f>
        <v/>
      </c>
      <c r="T257" s="6">
        <f>IF(AND((B257=B256),D257&lt;&gt;"Money Market",E257=E256),"STALE PRICE","")</f>
        <v/>
      </c>
      <c r="U257" s="6">
        <f>IF(F257&lt;0,"NEGATIVE CASH","")</f>
        <v/>
      </c>
      <c r="V257" s="6">
        <f>IF(ABS(R257)&gt;0.05*M257,"LARGE FLOW","")</f>
        <v/>
      </c>
      <c r="W257" s="6">
        <f>(S257&lt;&gt;"")*1+(T257&lt;&gt;"")*1+(U257&lt;&gt;"")*1+(V257&lt;&gt;"")*1</f>
        <v/>
      </c>
      <c r="X257" s="6">
        <f>IF(S257&lt;&gt;"",S257,IF(T257&lt;&gt;"",T257,IF(U257&lt;&gt;"",U257,IF(V257&lt;&gt;"",V257,""))))</f>
        <v/>
      </c>
    </row>
    <row r="258">
      <c r="A258" s="6" t="inlineStr">
        <is>
          <t>2026-04-01</t>
        </is>
      </c>
      <c r="B258" s="6" t="inlineStr">
        <is>
          <t>FIIG</t>
        </is>
      </c>
      <c r="C258" s="6">
        <f>INDEX('Fund Master'!$B$2:$B$7,MATCH(B258,'Fund Master'!$A$2:$A$7,0))</f>
        <v/>
      </c>
      <c r="D258" s="6">
        <f>INDEX('Fund Master'!$C$2:$C$7,MATCH(B258,'Fund Master'!$A$2:$A$7,0))</f>
        <v/>
      </c>
      <c r="E258" s="8" t="n">
        <v>539160025.8099999</v>
      </c>
      <c r="F258" s="8" t="n">
        <v>16761120.66</v>
      </c>
      <c r="G258" s="8" t="n">
        <v>3326542.13</v>
      </c>
      <c r="H258" s="8" t="n">
        <v>2623017.82</v>
      </c>
      <c r="I258" s="8" t="n">
        <v>8558.1</v>
      </c>
      <c r="J258" s="10" t="n">
        <v>45569620.2532</v>
      </c>
      <c r="K258" s="9">
        <f>E258+F258+G258</f>
        <v/>
      </c>
      <c r="L258" s="9">
        <f>H258+I258</f>
        <v/>
      </c>
      <c r="M258" s="9">
        <f>K258-L258</f>
        <v/>
      </c>
      <c r="N258" s="11">
        <f>IFERROR(M258/J258,0)</f>
        <v/>
      </c>
      <c r="O258" s="11">
        <f>IF((B258=B257),N257,"")</f>
        <v/>
      </c>
      <c r="P258" s="12">
        <f>IF(O258="","",IFERROR((N258-O258)/O258,""))</f>
        <v/>
      </c>
      <c r="Q258" s="13">
        <f>INDEX('Fund Master'!$F$2:$F$7,MATCH(B258,'Fund Master'!$A$2:$A$7,0))</f>
        <v/>
      </c>
      <c r="R258" s="9">
        <f>SUMIFS('Capital Activity'!$E$2:$E$385,'Capital Activity'!$A$2:$A$385,A258,'Capital Activity'!$B$2:$B$385,B258)</f>
        <v/>
      </c>
      <c r="S258" s="6">
        <f>IF(O258="","",IF(ABS(P258)*10000&gt;Q258,"NAV MOVE BREACH",""))</f>
        <v/>
      </c>
      <c r="T258" s="6">
        <f>IF(AND((B258=B257),D258&lt;&gt;"Money Market",E258=E257),"STALE PRICE","")</f>
        <v/>
      </c>
      <c r="U258" s="6">
        <f>IF(F258&lt;0,"NEGATIVE CASH","")</f>
        <v/>
      </c>
      <c r="V258" s="6">
        <f>IF(ABS(R258)&gt;0.05*M258,"LARGE FLOW","")</f>
        <v/>
      </c>
      <c r="W258" s="6">
        <f>(S258&lt;&gt;"")*1+(T258&lt;&gt;"")*1+(U258&lt;&gt;"")*1+(V258&lt;&gt;"")*1</f>
        <v/>
      </c>
      <c r="X258" s="6">
        <f>IF(S258&lt;&gt;"",S258,IF(T258&lt;&gt;"",T258,IF(U258&lt;&gt;"",U258,IF(V258&lt;&gt;"",V258,""))))</f>
        <v/>
      </c>
    </row>
    <row r="259">
      <c r="A259" s="6" t="inlineStr">
        <is>
          <t>2026-04-02</t>
        </is>
      </c>
      <c r="B259" s="6" t="inlineStr">
        <is>
          <t>FIIG</t>
        </is>
      </c>
      <c r="C259" s="6">
        <f>INDEX('Fund Master'!$B$2:$B$7,MATCH(B259,'Fund Master'!$A$2:$A$7,0))</f>
        <v/>
      </c>
      <c r="D259" s="6">
        <f>INDEX('Fund Master'!$C$2:$C$7,MATCH(B259,'Fund Master'!$A$2:$A$7,0))</f>
        <v/>
      </c>
      <c r="E259" s="8" t="n">
        <v>540206572.02</v>
      </c>
      <c r="F259" s="8" t="n">
        <v>16284707.71</v>
      </c>
      <c r="G259" s="8" t="n">
        <v>3238726.14</v>
      </c>
      <c r="H259" s="8" t="n">
        <v>2596018.59</v>
      </c>
      <c r="I259" s="8" t="n">
        <v>17132.8</v>
      </c>
      <c r="J259" s="10" t="n">
        <v>45569620.2532</v>
      </c>
      <c r="K259" s="9">
        <f>E259+F259+G259</f>
        <v/>
      </c>
      <c r="L259" s="9">
        <f>H259+I259</f>
        <v/>
      </c>
      <c r="M259" s="9">
        <f>K259-L259</f>
        <v/>
      </c>
      <c r="N259" s="11">
        <f>IFERROR(M259/J259,0)</f>
        <v/>
      </c>
      <c r="O259" s="11">
        <f>IF((B259=B258),N258,"")</f>
        <v/>
      </c>
      <c r="P259" s="12">
        <f>IF(O259="","",IFERROR((N259-O259)/O259,""))</f>
        <v/>
      </c>
      <c r="Q259" s="13">
        <f>INDEX('Fund Master'!$F$2:$F$7,MATCH(B259,'Fund Master'!$A$2:$A$7,0))</f>
        <v/>
      </c>
      <c r="R259" s="9">
        <f>SUMIFS('Capital Activity'!$E$2:$E$385,'Capital Activity'!$A$2:$A$385,A259,'Capital Activity'!$B$2:$B$385,B259)</f>
        <v/>
      </c>
      <c r="S259" s="6">
        <f>IF(O259="","",IF(ABS(P259)*10000&gt;Q259,"NAV MOVE BREACH",""))</f>
        <v/>
      </c>
      <c r="T259" s="6">
        <f>IF(AND((B259=B258),D259&lt;&gt;"Money Market",E259=E258),"STALE PRICE","")</f>
        <v/>
      </c>
      <c r="U259" s="6">
        <f>IF(F259&lt;0,"NEGATIVE CASH","")</f>
        <v/>
      </c>
      <c r="V259" s="6">
        <f>IF(ABS(R259)&gt;0.05*M259,"LARGE FLOW","")</f>
        <v/>
      </c>
      <c r="W259" s="6">
        <f>(S259&lt;&gt;"")*1+(T259&lt;&gt;"")*1+(U259&lt;&gt;"")*1+(V259&lt;&gt;"")*1</f>
        <v/>
      </c>
      <c r="X259" s="6">
        <f>IF(S259&lt;&gt;"",S259,IF(T259&lt;&gt;"",T259,IF(U259&lt;&gt;"",U259,IF(V259&lt;&gt;"",V259,""))))</f>
        <v/>
      </c>
    </row>
    <row r="260">
      <c r="A260" s="6" t="inlineStr">
        <is>
          <t>2026-04-03</t>
        </is>
      </c>
      <c r="B260" s="6" t="inlineStr">
        <is>
          <t>FIIG</t>
        </is>
      </c>
      <c r="C260" s="6">
        <f>INDEX('Fund Master'!$B$2:$B$7,MATCH(B260,'Fund Master'!$A$2:$A$7,0))</f>
        <v/>
      </c>
      <c r="D260" s="6">
        <f>INDEX('Fund Master'!$C$2:$C$7,MATCH(B260,'Fund Master'!$A$2:$A$7,0))</f>
        <v/>
      </c>
      <c r="E260" s="8" t="n">
        <v>540583400.03</v>
      </c>
      <c r="F260" s="8" t="n">
        <v>15862948.32</v>
      </c>
      <c r="G260" s="8" t="n">
        <v>3290312.23</v>
      </c>
      <c r="H260" s="8" t="n">
        <v>2677046.88</v>
      </c>
      <c r="I260" s="8" t="n">
        <v>25713.49</v>
      </c>
      <c r="J260" s="10" t="n">
        <v>45569620.2532</v>
      </c>
      <c r="K260" s="9">
        <f>E260+F260+G260</f>
        <v/>
      </c>
      <c r="L260" s="9">
        <f>H260+I260</f>
        <v/>
      </c>
      <c r="M260" s="9">
        <f>K260-L260</f>
        <v/>
      </c>
      <c r="N260" s="11">
        <f>IFERROR(M260/J260,0)</f>
        <v/>
      </c>
      <c r="O260" s="11">
        <f>IF((B260=B259),N259,"")</f>
        <v/>
      </c>
      <c r="P260" s="12">
        <f>IF(O260="","",IFERROR((N260-O260)/O260,""))</f>
        <v/>
      </c>
      <c r="Q260" s="13">
        <f>INDEX('Fund Master'!$F$2:$F$7,MATCH(B260,'Fund Master'!$A$2:$A$7,0))</f>
        <v/>
      </c>
      <c r="R260" s="9">
        <f>SUMIFS('Capital Activity'!$E$2:$E$385,'Capital Activity'!$A$2:$A$385,A260,'Capital Activity'!$B$2:$B$385,B260)</f>
        <v/>
      </c>
      <c r="S260" s="6">
        <f>IF(O260="","",IF(ABS(P260)*10000&gt;Q260,"NAV MOVE BREACH",""))</f>
        <v/>
      </c>
      <c r="T260" s="6">
        <f>IF(AND((B260=B259),D260&lt;&gt;"Money Market",E260=E259),"STALE PRICE","")</f>
        <v/>
      </c>
      <c r="U260" s="6">
        <f>IF(F260&lt;0,"NEGATIVE CASH","")</f>
        <v/>
      </c>
      <c r="V260" s="6">
        <f>IF(ABS(R260)&gt;0.05*M260,"LARGE FLOW","")</f>
        <v/>
      </c>
      <c r="W260" s="6">
        <f>(S260&lt;&gt;"")*1+(T260&lt;&gt;"")*1+(U260&lt;&gt;"")*1+(V260&lt;&gt;"")*1</f>
        <v/>
      </c>
      <c r="X260" s="6">
        <f>IF(S260&lt;&gt;"",S260,IF(T260&lt;&gt;"",T260,IF(U260&lt;&gt;"",U260,IF(V260&lt;&gt;"",V260,""))))</f>
        <v/>
      </c>
    </row>
    <row r="261">
      <c r="A261" s="6" t="inlineStr">
        <is>
          <t>2026-04-06</t>
        </is>
      </c>
      <c r="B261" s="6" t="inlineStr">
        <is>
          <t>FIIG</t>
        </is>
      </c>
      <c r="C261" s="6">
        <f>INDEX('Fund Master'!$B$2:$B$7,MATCH(B261,'Fund Master'!$A$2:$A$7,0))</f>
        <v/>
      </c>
      <c r="D261" s="6">
        <f>INDEX('Fund Master'!$C$2:$C$7,MATCH(B261,'Fund Master'!$A$2:$A$7,0))</f>
        <v/>
      </c>
      <c r="E261" s="8" t="n">
        <v>541953769.24</v>
      </c>
      <c r="F261" s="8" t="n">
        <v>16052473.23</v>
      </c>
      <c r="G261" s="8" t="n">
        <v>3289526.74</v>
      </c>
      <c r="H261" s="8" t="n">
        <v>2467793.78</v>
      </c>
      <c r="I261" s="8" t="n">
        <v>34315.93</v>
      </c>
      <c r="J261" s="10" t="n">
        <v>45569620.2532</v>
      </c>
      <c r="K261" s="9">
        <f>E261+F261+G261</f>
        <v/>
      </c>
      <c r="L261" s="9">
        <f>H261+I261</f>
        <v/>
      </c>
      <c r="M261" s="9">
        <f>K261-L261</f>
        <v/>
      </c>
      <c r="N261" s="11">
        <f>IFERROR(M261/J261,0)</f>
        <v/>
      </c>
      <c r="O261" s="11">
        <f>IF((B261=B260),N260,"")</f>
        <v/>
      </c>
      <c r="P261" s="12">
        <f>IF(O261="","",IFERROR((N261-O261)/O261,""))</f>
        <v/>
      </c>
      <c r="Q261" s="13">
        <f>INDEX('Fund Master'!$F$2:$F$7,MATCH(B261,'Fund Master'!$A$2:$A$7,0))</f>
        <v/>
      </c>
      <c r="R261" s="9">
        <f>SUMIFS('Capital Activity'!$E$2:$E$385,'Capital Activity'!$A$2:$A$385,A261,'Capital Activity'!$B$2:$B$385,B261)</f>
        <v/>
      </c>
      <c r="S261" s="6">
        <f>IF(O261="","",IF(ABS(P261)*10000&gt;Q261,"NAV MOVE BREACH",""))</f>
        <v/>
      </c>
      <c r="T261" s="6">
        <f>IF(AND((B261=B260),D261&lt;&gt;"Money Market",E261=E260),"STALE PRICE","")</f>
        <v/>
      </c>
      <c r="U261" s="6">
        <f>IF(F261&lt;0,"NEGATIVE CASH","")</f>
        <v/>
      </c>
      <c r="V261" s="6">
        <f>IF(ABS(R261)&gt;0.05*M261,"LARGE FLOW","")</f>
        <v/>
      </c>
      <c r="W261" s="6">
        <f>(S261&lt;&gt;"")*1+(T261&lt;&gt;"")*1+(U261&lt;&gt;"")*1+(V261&lt;&gt;"")*1</f>
        <v/>
      </c>
      <c r="X261" s="6">
        <f>IF(S261&lt;&gt;"",S261,IF(T261&lt;&gt;"",T261,IF(U261&lt;&gt;"",U261,IF(V261&lt;&gt;"",V261,""))))</f>
        <v/>
      </c>
    </row>
    <row r="262">
      <c r="A262" s="6" t="inlineStr">
        <is>
          <t>2026-04-07</t>
        </is>
      </c>
      <c r="B262" s="6" t="inlineStr">
        <is>
          <t>FIIG</t>
        </is>
      </c>
      <c r="C262" s="6">
        <f>INDEX('Fund Master'!$B$2:$B$7,MATCH(B262,'Fund Master'!$A$2:$A$7,0))</f>
        <v/>
      </c>
      <c r="D262" s="6">
        <f>INDEX('Fund Master'!$C$2:$C$7,MATCH(B262,'Fund Master'!$A$2:$A$7,0))</f>
        <v/>
      </c>
      <c r="E262" s="8" t="n">
        <v>542474272.88</v>
      </c>
      <c r="F262" s="8" t="n">
        <v>15652328.41</v>
      </c>
      <c r="G262" s="8" t="n">
        <v>3151939.18</v>
      </c>
      <c r="H262" s="8" t="n">
        <v>2607277.9</v>
      </c>
      <c r="I262" s="8" t="n">
        <v>42926.64</v>
      </c>
      <c r="J262" s="10" t="n">
        <v>45569620.2532</v>
      </c>
      <c r="K262" s="9">
        <f>E262+F262+G262</f>
        <v/>
      </c>
      <c r="L262" s="9">
        <f>H262+I262</f>
        <v/>
      </c>
      <c r="M262" s="9">
        <f>K262-L262</f>
        <v/>
      </c>
      <c r="N262" s="11">
        <f>IFERROR(M262/J262,0)</f>
        <v/>
      </c>
      <c r="O262" s="11">
        <f>IF((B262=B261),N261,"")</f>
        <v/>
      </c>
      <c r="P262" s="12">
        <f>IF(O262="","",IFERROR((N262-O262)/O262,""))</f>
        <v/>
      </c>
      <c r="Q262" s="13">
        <f>INDEX('Fund Master'!$F$2:$F$7,MATCH(B262,'Fund Master'!$A$2:$A$7,0))</f>
        <v/>
      </c>
      <c r="R262" s="9">
        <f>SUMIFS('Capital Activity'!$E$2:$E$385,'Capital Activity'!$A$2:$A$385,A262,'Capital Activity'!$B$2:$B$385,B262)</f>
        <v/>
      </c>
      <c r="S262" s="6">
        <f>IF(O262="","",IF(ABS(P262)*10000&gt;Q262,"NAV MOVE BREACH",""))</f>
        <v/>
      </c>
      <c r="T262" s="6">
        <f>IF(AND((B262=B261),D262&lt;&gt;"Money Market",E262=E261),"STALE PRICE","")</f>
        <v/>
      </c>
      <c r="U262" s="6">
        <f>IF(F262&lt;0,"NEGATIVE CASH","")</f>
        <v/>
      </c>
      <c r="V262" s="6">
        <f>IF(ABS(R262)&gt;0.05*M262,"LARGE FLOW","")</f>
        <v/>
      </c>
      <c r="W262" s="6">
        <f>(S262&lt;&gt;"")*1+(T262&lt;&gt;"")*1+(U262&lt;&gt;"")*1+(V262&lt;&gt;"")*1</f>
        <v/>
      </c>
      <c r="X262" s="6">
        <f>IF(S262&lt;&gt;"",S262,IF(T262&lt;&gt;"",T262,IF(U262&lt;&gt;"",U262,IF(V262&lt;&gt;"",V262,""))))</f>
        <v/>
      </c>
    </row>
    <row r="263">
      <c r="A263" s="6" t="inlineStr">
        <is>
          <t>2026-04-08</t>
        </is>
      </c>
      <c r="B263" s="6" t="inlineStr">
        <is>
          <t>FIIG</t>
        </is>
      </c>
      <c r="C263" s="6">
        <f>INDEX('Fund Master'!$B$2:$B$7,MATCH(B263,'Fund Master'!$A$2:$A$7,0))</f>
        <v/>
      </c>
      <c r="D263" s="6">
        <f>INDEX('Fund Master'!$C$2:$C$7,MATCH(B263,'Fund Master'!$A$2:$A$7,0))</f>
        <v/>
      </c>
      <c r="E263" s="8" t="n">
        <v>542625781.3099999</v>
      </c>
      <c r="F263" s="8" t="n">
        <v>15666387.84</v>
      </c>
      <c r="G263" s="8" t="n">
        <v>3275012.37</v>
      </c>
      <c r="H263" s="8" t="n">
        <v>2540801.49</v>
      </c>
      <c r="I263" s="8" t="n">
        <v>51539.74</v>
      </c>
      <c r="J263" s="10" t="n">
        <v>45569620.2532</v>
      </c>
      <c r="K263" s="9">
        <f>E263+F263+G263</f>
        <v/>
      </c>
      <c r="L263" s="9">
        <f>H263+I263</f>
        <v/>
      </c>
      <c r="M263" s="9">
        <f>K263-L263</f>
        <v/>
      </c>
      <c r="N263" s="11">
        <f>IFERROR(M263/J263,0)</f>
        <v/>
      </c>
      <c r="O263" s="11">
        <f>IF((B263=B262),N262,"")</f>
        <v/>
      </c>
      <c r="P263" s="12">
        <f>IF(O263="","",IFERROR((N263-O263)/O263,""))</f>
        <v/>
      </c>
      <c r="Q263" s="13">
        <f>INDEX('Fund Master'!$F$2:$F$7,MATCH(B263,'Fund Master'!$A$2:$A$7,0))</f>
        <v/>
      </c>
      <c r="R263" s="9">
        <f>SUMIFS('Capital Activity'!$E$2:$E$385,'Capital Activity'!$A$2:$A$385,A263,'Capital Activity'!$B$2:$B$385,B263)</f>
        <v/>
      </c>
      <c r="S263" s="6">
        <f>IF(O263="","",IF(ABS(P263)*10000&gt;Q263,"NAV MOVE BREACH",""))</f>
        <v/>
      </c>
      <c r="T263" s="6">
        <f>IF(AND((B263=B262),D263&lt;&gt;"Money Market",E263=E262),"STALE PRICE","")</f>
        <v/>
      </c>
      <c r="U263" s="6">
        <f>IF(F263&lt;0,"NEGATIVE CASH","")</f>
        <v/>
      </c>
      <c r="V263" s="6">
        <f>IF(ABS(R263)&gt;0.05*M263,"LARGE FLOW","")</f>
        <v/>
      </c>
      <c r="W263" s="6">
        <f>(S263&lt;&gt;"")*1+(T263&lt;&gt;"")*1+(U263&lt;&gt;"")*1+(V263&lt;&gt;"")*1</f>
        <v/>
      </c>
      <c r="X263" s="6">
        <f>IF(S263&lt;&gt;"",S263,IF(T263&lt;&gt;"",T263,IF(U263&lt;&gt;"",U263,IF(V263&lt;&gt;"",V263,""))))</f>
        <v/>
      </c>
    </row>
    <row r="264">
      <c r="A264" s="6" t="inlineStr">
        <is>
          <t>2026-04-09</t>
        </is>
      </c>
      <c r="B264" s="6" t="inlineStr">
        <is>
          <t>FIIG</t>
        </is>
      </c>
      <c r="C264" s="6">
        <f>INDEX('Fund Master'!$B$2:$B$7,MATCH(B264,'Fund Master'!$A$2:$A$7,0))</f>
        <v/>
      </c>
      <c r="D264" s="6">
        <f>INDEX('Fund Master'!$C$2:$C$7,MATCH(B264,'Fund Master'!$A$2:$A$7,0))</f>
        <v/>
      </c>
      <c r="E264" s="8" t="n">
        <v>542074153.67</v>
      </c>
      <c r="F264" s="8" t="n">
        <v>15549905.02</v>
      </c>
      <c r="G264" s="8" t="n">
        <v>3300582.14</v>
      </c>
      <c r="H264" s="8" t="n">
        <v>2475934.4</v>
      </c>
      <c r="I264" s="8" t="n">
        <v>60144.09</v>
      </c>
      <c r="J264" s="10" t="n">
        <v>45569620.2532</v>
      </c>
      <c r="K264" s="9">
        <f>E264+F264+G264</f>
        <v/>
      </c>
      <c r="L264" s="9">
        <f>H264+I264</f>
        <v/>
      </c>
      <c r="M264" s="9">
        <f>K264-L264</f>
        <v/>
      </c>
      <c r="N264" s="11">
        <f>IFERROR(M264/J264,0)</f>
        <v/>
      </c>
      <c r="O264" s="11">
        <f>IF((B264=B263),N263,"")</f>
        <v/>
      </c>
      <c r="P264" s="12">
        <f>IF(O264="","",IFERROR((N264-O264)/O264,""))</f>
        <v/>
      </c>
      <c r="Q264" s="13">
        <f>INDEX('Fund Master'!$F$2:$F$7,MATCH(B264,'Fund Master'!$A$2:$A$7,0))</f>
        <v/>
      </c>
      <c r="R264" s="9">
        <f>SUMIFS('Capital Activity'!$E$2:$E$385,'Capital Activity'!$A$2:$A$385,A264,'Capital Activity'!$B$2:$B$385,B264)</f>
        <v/>
      </c>
      <c r="S264" s="6">
        <f>IF(O264="","",IF(ABS(P264)*10000&gt;Q264,"NAV MOVE BREACH",""))</f>
        <v/>
      </c>
      <c r="T264" s="6">
        <f>IF(AND((B264=B263),D264&lt;&gt;"Money Market",E264=E263),"STALE PRICE","")</f>
        <v/>
      </c>
      <c r="U264" s="6">
        <f>IF(F264&lt;0,"NEGATIVE CASH","")</f>
        <v/>
      </c>
      <c r="V264" s="6">
        <f>IF(ABS(R264)&gt;0.05*M264,"LARGE FLOW","")</f>
        <v/>
      </c>
      <c r="W264" s="6">
        <f>(S264&lt;&gt;"")*1+(T264&lt;&gt;"")*1+(U264&lt;&gt;"")*1+(V264&lt;&gt;"")*1</f>
        <v/>
      </c>
      <c r="X264" s="6">
        <f>IF(S264&lt;&gt;"",S264,IF(T264&lt;&gt;"",T264,IF(U264&lt;&gt;"",U264,IF(V264&lt;&gt;"",V264,""))))</f>
        <v/>
      </c>
    </row>
    <row r="265">
      <c r="A265" s="6" t="inlineStr">
        <is>
          <t>2026-04-10</t>
        </is>
      </c>
      <c r="B265" s="6" t="inlineStr">
        <is>
          <t>FIIG</t>
        </is>
      </c>
      <c r="C265" s="6">
        <f>INDEX('Fund Master'!$B$2:$B$7,MATCH(B265,'Fund Master'!$A$2:$A$7,0))</f>
        <v/>
      </c>
      <c r="D265" s="6">
        <f>INDEX('Fund Master'!$C$2:$C$7,MATCH(B265,'Fund Master'!$A$2:$A$7,0))</f>
        <v/>
      </c>
      <c r="E265" s="8" t="n">
        <v>541898933.3</v>
      </c>
      <c r="F265" s="8" t="n">
        <v>15401904.79</v>
      </c>
      <c r="G265" s="8" t="n">
        <v>3487703.04</v>
      </c>
      <c r="H265" s="8" t="n">
        <v>2500697.15</v>
      </c>
      <c r="I265" s="8" t="n">
        <v>68745.67</v>
      </c>
      <c r="J265" s="10" t="n">
        <v>45569620.2532</v>
      </c>
      <c r="K265" s="9">
        <f>E265+F265+G265</f>
        <v/>
      </c>
      <c r="L265" s="9">
        <f>H265+I265</f>
        <v/>
      </c>
      <c r="M265" s="9">
        <f>K265-L265</f>
        <v/>
      </c>
      <c r="N265" s="11">
        <f>IFERROR(M265/J265,0)</f>
        <v/>
      </c>
      <c r="O265" s="11">
        <f>IF((B265=B264),N264,"")</f>
        <v/>
      </c>
      <c r="P265" s="12">
        <f>IF(O265="","",IFERROR((N265-O265)/O265,""))</f>
        <v/>
      </c>
      <c r="Q265" s="13">
        <f>INDEX('Fund Master'!$F$2:$F$7,MATCH(B265,'Fund Master'!$A$2:$A$7,0))</f>
        <v/>
      </c>
      <c r="R265" s="9">
        <f>SUMIFS('Capital Activity'!$E$2:$E$385,'Capital Activity'!$A$2:$A$385,A265,'Capital Activity'!$B$2:$B$385,B265)</f>
        <v/>
      </c>
      <c r="S265" s="6">
        <f>IF(O265="","",IF(ABS(P265)*10000&gt;Q265,"NAV MOVE BREACH",""))</f>
        <v/>
      </c>
      <c r="T265" s="6">
        <f>IF(AND((B265=B264),D265&lt;&gt;"Money Market",E265=E264),"STALE PRICE","")</f>
        <v/>
      </c>
      <c r="U265" s="6">
        <f>IF(F265&lt;0,"NEGATIVE CASH","")</f>
        <v/>
      </c>
      <c r="V265" s="6">
        <f>IF(ABS(R265)&gt;0.05*M265,"LARGE FLOW","")</f>
        <v/>
      </c>
      <c r="W265" s="6">
        <f>(S265&lt;&gt;"")*1+(T265&lt;&gt;"")*1+(U265&lt;&gt;"")*1+(V265&lt;&gt;"")*1</f>
        <v/>
      </c>
      <c r="X265" s="6">
        <f>IF(S265&lt;&gt;"",S265,IF(T265&lt;&gt;"",T265,IF(U265&lt;&gt;"",U265,IF(V265&lt;&gt;"",V265,""))))</f>
        <v/>
      </c>
    </row>
    <row r="266">
      <c r="A266" s="6" t="inlineStr">
        <is>
          <t>2026-04-13</t>
        </is>
      </c>
      <c r="B266" s="6" t="inlineStr">
        <is>
          <t>FIIG</t>
        </is>
      </c>
      <c r="C266" s="6">
        <f>INDEX('Fund Master'!$B$2:$B$7,MATCH(B266,'Fund Master'!$A$2:$A$7,0))</f>
        <v/>
      </c>
      <c r="D266" s="6">
        <f>INDEX('Fund Master'!$C$2:$C$7,MATCH(B266,'Fund Master'!$A$2:$A$7,0))</f>
        <v/>
      </c>
      <c r="E266" s="8" t="n">
        <v>542412513</v>
      </c>
      <c r="F266" s="8" t="n">
        <v>15706029.92</v>
      </c>
      <c r="G266" s="8" t="n">
        <v>3501720.13</v>
      </c>
      <c r="H266" s="8" t="n">
        <v>2641770.34</v>
      </c>
      <c r="I266" s="8" t="n">
        <v>77355.39</v>
      </c>
      <c r="J266" s="10" t="n">
        <v>45569620.2532</v>
      </c>
      <c r="K266" s="9">
        <f>E266+F266+G266</f>
        <v/>
      </c>
      <c r="L266" s="9">
        <f>H266+I266</f>
        <v/>
      </c>
      <c r="M266" s="9">
        <f>K266-L266</f>
        <v/>
      </c>
      <c r="N266" s="11">
        <f>IFERROR(M266/J266,0)</f>
        <v/>
      </c>
      <c r="O266" s="11">
        <f>IF((B266=B265),N265,"")</f>
        <v/>
      </c>
      <c r="P266" s="12">
        <f>IF(O266="","",IFERROR((N266-O266)/O266,""))</f>
        <v/>
      </c>
      <c r="Q266" s="13">
        <f>INDEX('Fund Master'!$F$2:$F$7,MATCH(B266,'Fund Master'!$A$2:$A$7,0))</f>
        <v/>
      </c>
      <c r="R266" s="9">
        <f>SUMIFS('Capital Activity'!$E$2:$E$385,'Capital Activity'!$A$2:$A$385,A266,'Capital Activity'!$B$2:$B$385,B266)</f>
        <v/>
      </c>
      <c r="S266" s="6">
        <f>IF(O266="","",IF(ABS(P266)*10000&gt;Q266,"NAV MOVE BREACH",""))</f>
        <v/>
      </c>
      <c r="T266" s="6">
        <f>IF(AND((B266=B265),D266&lt;&gt;"Money Market",E266=E265),"STALE PRICE","")</f>
        <v/>
      </c>
      <c r="U266" s="6">
        <f>IF(F266&lt;0,"NEGATIVE CASH","")</f>
        <v/>
      </c>
      <c r="V266" s="6">
        <f>IF(ABS(R266)&gt;0.05*M266,"LARGE FLOW","")</f>
        <v/>
      </c>
      <c r="W266" s="6">
        <f>(S266&lt;&gt;"")*1+(T266&lt;&gt;"")*1+(U266&lt;&gt;"")*1+(V266&lt;&gt;"")*1</f>
        <v/>
      </c>
      <c r="X266" s="6">
        <f>IF(S266&lt;&gt;"",S266,IF(T266&lt;&gt;"",T266,IF(U266&lt;&gt;"",U266,IF(V266&lt;&gt;"",V266,""))))</f>
        <v/>
      </c>
    </row>
    <row r="267">
      <c r="A267" s="6" t="inlineStr">
        <is>
          <t>2026-04-14</t>
        </is>
      </c>
      <c r="B267" s="6" t="inlineStr">
        <is>
          <t>FIIG</t>
        </is>
      </c>
      <c r="C267" s="6">
        <f>INDEX('Fund Master'!$B$2:$B$7,MATCH(B267,'Fund Master'!$A$2:$A$7,0))</f>
        <v/>
      </c>
      <c r="D267" s="6">
        <f>INDEX('Fund Master'!$C$2:$C$7,MATCH(B267,'Fund Master'!$A$2:$A$7,0))</f>
        <v/>
      </c>
      <c r="E267" s="8" t="n">
        <v>546012458.6</v>
      </c>
      <c r="F267" s="8" t="n">
        <v>15691400.88</v>
      </c>
      <c r="G267" s="8" t="n">
        <v>3466580.76</v>
      </c>
      <c r="H267" s="8" t="n">
        <v>2849759.39</v>
      </c>
      <c r="I267" s="8" t="n">
        <v>86022.25</v>
      </c>
      <c r="J267" s="10" t="n">
        <v>45569620.2532</v>
      </c>
      <c r="K267" s="9">
        <f>E267+F267+G267</f>
        <v/>
      </c>
      <c r="L267" s="9">
        <f>H267+I267</f>
        <v/>
      </c>
      <c r="M267" s="9">
        <f>K267-L267</f>
        <v/>
      </c>
      <c r="N267" s="11">
        <f>IFERROR(M267/J267,0)</f>
        <v/>
      </c>
      <c r="O267" s="11">
        <f>IF((B267=B266),N266,"")</f>
        <v/>
      </c>
      <c r="P267" s="12">
        <f>IF(O267="","",IFERROR((N267-O267)/O267,""))</f>
        <v/>
      </c>
      <c r="Q267" s="13">
        <f>INDEX('Fund Master'!$F$2:$F$7,MATCH(B267,'Fund Master'!$A$2:$A$7,0))</f>
        <v/>
      </c>
      <c r="R267" s="9">
        <f>SUMIFS('Capital Activity'!$E$2:$E$385,'Capital Activity'!$A$2:$A$385,A267,'Capital Activity'!$B$2:$B$385,B267)</f>
        <v/>
      </c>
      <c r="S267" s="6">
        <f>IF(O267="","",IF(ABS(P267)*10000&gt;Q267,"NAV MOVE BREACH",""))</f>
        <v/>
      </c>
      <c r="T267" s="6">
        <f>IF(AND((B267=B266),D267&lt;&gt;"Money Market",E267=E266),"STALE PRICE","")</f>
        <v/>
      </c>
      <c r="U267" s="6">
        <f>IF(F267&lt;0,"NEGATIVE CASH","")</f>
        <v/>
      </c>
      <c r="V267" s="6">
        <f>IF(ABS(R267)&gt;0.05*M267,"LARGE FLOW","")</f>
        <v/>
      </c>
      <c r="W267" s="6">
        <f>(S267&lt;&gt;"")*1+(T267&lt;&gt;"")*1+(U267&lt;&gt;"")*1+(V267&lt;&gt;"")*1</f>
        <v/>
      </c>
      <c r="X267" s="6">
        <f>IF(S267&lt;&gt;"",S267,IF(T267&lt;&gt;"",T267,IF(U267&lt;&gt;"",U267,IF(V267&lt;&gt;"",V267,""))))</f>
        <v/>
      </c>
    </row>
    <row r="268">
      <c r="A268" s="6" t="inlineStr">
        <is>
          <t>2026-04-15</t>
        </is>
      </c>
      <c r="B268" s="6" t="inlineStr">
        <is>
          <t>FIIG</t>
        </is>
      </c>
      <c r="C268" s="6">
        <f>INDEX('Fund Master'!$B$2:$B$7,MATCH(B268,'Fund Master'!$A$2:$A$7,0))</f>
        <v/>
      </c>
      <c r="D268" s="6">
        <f>INDEX('Fund Master'!$C$2:$C$7,MATCH(B268,'Fund Master'!$A$2:$A$7,0))</f>
        <v/>
      </c>
      <c r="E268" s="8" t="n">
        <v>545479264.83</v>
      </c>
      <c r="F268" s="8" t="n">
        <v>15583853.27</v>
      </c>
      <c r="G268" s="8" t="n">
        <v>3287186.8</v>
      </c>
      <c r="H268" s="8" t="n">
        <v>2726711.19</v>
      </c>
      <c r="I268" s="8" t="n">
        <v>94680.64999999999</v>
      </c>
      <c r="J268" s="10" t="n">
        <v>45569620.2532</v>
      </c>
      <c r="K268" s="9">
        <f>E268+F268+G268</f>
        <v/>
      </c>
      <c r="L268" s="9">
        <f>H268+I268</f>
        <v/>
      </c>
      <c r="M268" s="9">
        <f>K268-L268</f>
        <v/>
      </c>
      <c r="N268" s="11">
        <f>IFERROR(M268/J268,0)</f>
        <v/>
      </c>
      <c r="O268" s="11">
        <f>IF((B268=B267),N267,"")</f>
        <v/>
      </c>
      <c r="P268" s="12">
        <f>IF(O268="","",IFERROR((N268-O268)/O268,""))</f>
        <v/>
      </c>
      <c r="Q268" s="13">
        <f>INDEX('Fund Master'!$F$2:$F$7,MATCH(B268,'Fund Master'!$A$2:$A$7,0))</f>
        <v/>
      </c>
      <c r="R268" s="9">
        <f>SUMIFS('Capital Activity'!$E$2:$E$385,'Capital Activity'!$A$2:$A$385,A268,'Capital Activity'!$B$2:$B$385,B268)</f>
        <v/>
      </c>
      <c r="S268" s="6">
        <f>IF(O268="","",IF(ABS(P268)*10000&gt;Q268,"NAV MOVE BREACH",""))</f>
        <v/>
      </c>
      <c r="T268" s="6">
        <f>IF(AND((B268=B267),D268&lt;&gt;"Money Market",E268=E267),"STALE PRICE","")</f>
        <v/>
      </c>
      <c r="U268" s="6">
        <f>IF(F268&lt;0,"NEGATIVE CASH","")</f>
        <v/>
      </c>
      <c r="V268" s="6">
        <f>IF(ABS(R268)&gt;0.05*M268,"LARGE FLOW","")</f>
        <v/>
      </c>
      <c r="W268" s="6">
        <f>(S268&lt;&gt;"")*1+(T268&lt;&gt;"")*1+(U268&lt;&gt;"")*1+(V268&lt;&gt;"")*1</f>
        <v/>
      </c>
      <c r="X268" s="6">
        <f>IF(S268&lt;&gt;"",S268,IF(T268&lt;&gt;"",T268,IF(U268&lt;&gt;"",U268,IF(V268&lt;&gt;"",V268,""))))</f>
        <v/>
      </c>
    </row>
    <row r="269">
      <c r="A269" s="6" t="inlineStr">
        <is>
          <t>2026-04-16</t>
        </is>
      </c>
      <c r="B269" s="6" t="inlineStr">
        <is>
          <t>FIIG</t>
        </is>
      </c>
      <c r="C269" s="6">
        <f>INDEX('Fund Master'!$B$2:$B$7,MATCH(B269,'Fund Master'!$A$2:$A$7,0))</f>
        <v/>
      </c>
      <c r="D269" s="6">
        <f>INDEX('Fund Master'!$C$2:$C$7,MATCH(B269,'Fund Master'!$A$2:$A$7,0))</f>
        <v/>
      </c>
      <c r="E269" s="8" t="n">
        <v>545535385</v>
      </c>
      <c r="F269" s="8" t="n">
        <v>15662120.03</v>
      </c>
      <c r="G269" s="8" t="n">
        <v>3490529.68</v>
      </c>
      <c r="H269" s="8" t="n">
        <v>2596278.73</v>
      </c>
      <c r="I269" s="8" t="n">
        <v>103339.94</v>
      </c>
      <c r="J269" s="10" t="n">
        <v>45569620.2532</v>
      </c>
      <c r="K269" s="9">
        <f>E269+F269+G269</f>
        <v/>
      </c>
      <c r="L269" s="9">
        <f>H269+I269</f>
        <v/>
      </c>
      <c r="M269" s="9">
        <f>K269-L269</f>
        <v/>
      </c>
      <c r="N269" s="11">
        <f>IFERROR(M269/J269,0)</f>
        <v/>
      </c>
      <c r="O269" s="11">
        <f>IF((B269=B268),N268,"")</f>
        <v/>
      </c>
      <c r="P269" s="12">
        <f>IF(O269="","",IFERROR((N269-O269)/O269,""))</f>
        <v/>
      </c>
      <c r="Q269" s="13">
        <f>INDEX('Fund Master'!$F$2:$F$7,MATCH(B269,'Fund Master'!$A$2:$A$7,0))</f>
        <v/>
      </c>
      <c r="R269" s="9">
        <f>SUMIFS('Capital Activity'!$E$2:$E$385,'Capital Activity'!$A$2:$A$385,A269,'Capital Activity'!$B$2:$B$385,B269)</f>
        <v/>
      </c>
      <c r="S269" s="6">
        <f>IF(O269="","",IF(ABS(P269)*10000&gt;Q269,"NAV MOVE BREACH",""))</f>
        <v/>
      </c>
      <c r="T269" s="6">
        <f>IF(AND((B269=B268),D269&lt;&gt;"Money Market",E269=E268),"STALE PRICE","")</f>
        <v/>
      </c>
      <c r="U269" s="6">
        <f>IF(F269&lt;0,"NEGATIVE CASH","")</f>
        <v/>
      </c>
      <c r="V269" s="6">
        <f>IF(ABS(R269)&gt;0.05*M269,"LARGE FLOW","")</f>
        <v/>
      </c>
      <c r="W269" s="6">
        <f>(S269&lt;&gt;"")*1+(T269&lt;&gt;"")*1+(U269&lt;&gt;"")*1+(V269&lt;&gt;"")*1</f>
        <v/>
      </c>
      <c r="X269" s="6">
        <f>IF(S269&lt;&gt;"",S269,IF(T269&lt;&gt;"",T269,IF(U269&lt;&gt;"",U269,IF(V269&lt;&gt;"",V269,""))))</f>
        <v/>
      </c>
    </row>
    <row r="270">
      <c r="A270" s="6" t="inlineStr">
        <is>
          <t>2026-04-17</t>
        </is>
      </c>
      <c r="B270" s="6" t="inlineStr">
        <is>
          <t>FIIG</t>
        </is>
      </c>
      <c r="C270" s="6">
        <f>INDEX('Fund Master'!$B$2:$B$7,MATCH(B270,'Fund Master'!$A$2:$A$7,0))</f>
        <v/>
      </c>
      <c r="D270" s="6">
        <f>INDEX('Fund Master'!$C$2:$C$7,MATCH(B270,'Fund Master'!$A$2:$A$7,0))</f>
        <v/>
      </c>
      <c r="E270" s="8" t="n">
        <v>545568936.3099999</v>
      </c>
      <c r="F270" s="8" t="n">
        <v>15883979.6</v>
      </c>
      <c r="G270" s="8" t="n">
        <v>3343739.01</v>
      </c>
      <c r="H270" s="8" t="n">
        <v>2646509.82</v>
      </c>
      <c r="I270" s="8" t="n">
        <v>111999.77</v>
      </c>
      <c r="J270" s="10" t="n">
        <v>45569620.2532</v>
      </c>
      <c r="K270" s="9">
        <f>E270+F270+G270</f>
        <v/>
      </c>
      <c r="L270" s="9">
        <f>H270+I270</f>
        <v/>
      </c>
      <c r="M270" s="9">
        <f>K270-L270</f>
        <v/>
      </c>
      <c r="N270" s="11">
        <f>IFERROR(M270/J270,0)</f>
        <v/>
      </c>
      <c r="O270" s="11">
        <f>IF((B270=B269),N269,"")</f>
        <v/>
      </c>
      <c r="P270" s="12">
        <f>IF(O270="","",IFERROR((N270-O270)/O270,""))</f>
        <v/>
      </c>
      <c r="Q270" s="13">
        <f>INDEX('Fund Master'!$F$2:$F$7,MATCH(B270,'Fund Master'!$A$2:$A$7,0))</f>
        <v/>
      </c>
      <c r="R270" s="9">
        <f>SUMIFS('Capital Activity'!$E$2:$E$385,'Capital Activity'!$A$2:$A$385,A270,'Capital Activity'!$B$2:$B$385,B270)</f>
        <v/>
      </c>
      <c r="S270" s="6">
        <f>IF(O270="","",IF(ABS(P270)*10000&gt;Q270,"NAV MOVE BREACH",""))</f>
        <v/>
      </c>
      <c r="T270" s="6">
        <f>IF(AND((B270=B269),D270&lt;&gt;"Money Market",E270=E269),"STALE PRICE","")</f>
        <v/>
      </c>
      <c r="U270" s="6">
        <f>IF(F270&lt;0,"NEGATIVE CASH","")</f>
        <v/>
      </c>
      <c r="V270" s="6">
        <f>IF(ABS(R270)&gt;0.05*M270,"LARGE FLOW","")</f>
        <v/>
      </c>
      <c r="W270" s="6">
        <f>(S270&lt;&gt;"")*1+(T270&lt;&gt;"")*1+(U270&lt;&gt;"")*1+(V270&lt;&gt;"")*1</f>
        <v/>
      </c>
      <c r="X270" s="6">
        <f>IF(S270&lt;&gt;"",S270,IF(T270&lt;&gt;"",T270,IF(U270&lt;&gt;"",U270,IF(V270&lt;&gt;"",V270,""))))</f>
        <v/>
      </c>
    </row>
    <row r="271">
      <c r="A271" s="6" t="inlineStr">
        <is>
          <t>2026-04-20</t>
        </is>
      </c>
      <c r="B271" s="6" t="inlineStr">
        <is>
          <t>FIIG</t>
        </is>
      </c>
      <c r="C271" s="6">
        <f>INDEX('Fund Master'!$B$2:$B$7,MATCH(B271,'Fund Master'!$A$2:$A$7,0))</f>
        <v/>
      </c>
      <c r="D271" s="6">
        <f>INDEX('Fund Master'!$C$2:$C$7,MATCH(B271,'Fund Master'!$A$2:$A$7,0))</f>
        <v/>
      </c>
      <c r="E271" s="8" t="n">
        <v>546119782.1</v>
      </c>
      <c r="F271" s="8" t="n">
        <v>16704550</v>
      </c>
      <c r="G271" s="8" t="n">
        <v>3263527.31</v>
      </c>
      <c r="H271" s="8" t="n">
        <v>2579584.82</v>
      </c>
      <c r="I271" s="8" t="n">
        <v>120668.34</v>
      </c>
      <c r="J271" s="10" t="n">
        <v>45569620.2532</v>
      </c>
      <c r="K271" s="9">
        <f>E271+F271+G271</f>
        <v/>
      </c>
      <c r="L271" s="9">
        <f>H271+I271</f>
        <v/>
      </c>
      <c r="M271" s="9">
        <f>K271-L271</f>
        <v/>
      </c>
      <c r="N271" s="11">
        <f>IFERROR(M271/J271,0)</f>
        <v/>
      </c>
      <c r="O271" s="11">
        <f>IF((B271=B270),N270,"")</f>
        <v/>
      </c>
      <c r="P271" s="12">
        <f>IF(O271="","",IFERROR((N271-O271)/O271,""))</f>
        <v/>
      </c>
      <c r="Q271" s="13">
        <f>INDEX('Fund Master'!$F$2:$F$7,MATCH(B271,'Fund Master'!$A$2:$A$7,0))</f>
        <v/>
      </c>
      <c r="R271" s="9">
        <f>SUMIFS('Capital Activity'!$E$2:$E$385,'Capital Activity'!$A$2:$A$385,A271,'Capital Activity'!$B$2:$B$385,B271)</f>
        <v/>
      </c>
      <c r="S271" s="6">
        <f>IF(O271="","",IF(ABS(P271)*10000&gt;Q271,"NAV MOVE BREACH",""))</f>
        <v/>
      </c>
      <c r="T271" s="6">
        <f>IF(AND((B271=B270),D271&lt;&gt;"Money Market",E271=E270),"STALE PRICE","")</f>
        <v/>
      </c>
      <c r="U271" s="6">
        <f>IF(F271&lt;0,"NEGATIVE CASH","")</f>
        <v/>
      </c>
      <c r="V271" s="6">
        <f>IF(ABS(R271)&gt;0.05*M271,"LARGE FLOW","")</f>
        <v/>
      </c>
      <c r="W271" s="6">
        <f>(S271&lt;&gt;"")*1+(T271&lt;&gt;"")*1+(U271&lt;&gt;"")*1+(V271&lt;&gt;"")*1</f>
        <v/>
      </c>
      <c r="X271" s="6">
        <f>IF(S271&lt;&gt;"",S271,IF(T271&lt;&gt;"",T271,IF(U271&lt;&gt;"",U271,IF(V271&lt;&gt;"",V271,""))))</f>
        <v/>
      </c>
    </row>
    <row r="272">
      <c r="A272" s="6" t="inlineStr">
        <is>
          <t>2026-04-21</t>
        </is>
      </c>
      <c r="B272" s="6" t="inlineStr">
        <is>
          <t>FIIG</t>
        </is>
      </c>
      <c r="C272" s="6">
        <f>INDEX('Fund Master'!$B$2:$B$7,MATCH(B272,'Fund Master'!$A$2:$A$7,0))</f>
        <v/>
      </c>
      <c r="D272" s="6">
        <f>INDEX('Fund Master'!$C$2:$C$7,MATCH(B272,'Fund Master'!$A$2:$A$7,0))</f>
        <v/>
      </c>
      <c r="E272" s="8" t="n">
        <v>545254354.84</v>
      </c>
      <c r="F272" s="8" t="n">
        <v>17067068.43</v>
      </c>
      <c r="G272" s="8" t="n">
        <v>3444244.32</v>
      </c>
      <c r="H272" s="8" t="n">
        <v>2500808.54</v>
      </c>
      <c r="I272" s="8" t="n">
        <v>129323.17</v>
      </c>
      <c r="J272" s="10" t="n">
        <v>45569620.2532</v>
      </c>
      <c r="K272" s="9">
        <f>E272+F272+G272</f>
        <v/>
      </c>
      <c r="L272" s="9">
        <f>H272+I272</f>
        <v/>
      </c>
      <c r="M272" s="9">
        <f>K272-L272</f>
        <v/>
      </c>
      <c r="N272" s="11">
        <f>IFERROR(M272/J272,0)</f>
        <v/>
      </c>
      <c r="O272" s="11">
        <f>IF((B272=B271),N271,"")</f>
        <v/>
      </c>
      <c r="P272" s="12">
        <f>IF(O272="","",IFERROR((N272-O272)/O272,""))</f>
        <v/>
      </c>
      <c r="Q272" s="13">
        <f>INDEX('Fund Master'!$F$2:$F$7,MATCH(B272,'Fund Master'!$A$2:$A$7,0))</f>
        <v/>
      </c>
      <c r="R272" s="9">
        <f>SUMIFS('Capital Activity'!$E$2:$E$385,'Capital Activity'!$A$2:$A$385,A272,'Capital Activity'!$B$2:$B$385,B272)</f>
        <v/>
      </c>
      <c r="S272" s="6">
        <f>IF(O272="","",IF(ABS(P272)*10000&gt;Q272,"NAV MOVE BREACH",""))</f>
        <v/>
      </c>
      <c r="T272" s="6">
        <f>IF(AND((B272=B271),D272&lt;&gt;"Money Market",E272=E271),"STALE PRICE","")</f>
        <v/>
      </c>
      <c r="U272" s="6">
        <f>IF(F272&lt;0,"NEGATIVE CASH","")</f>
        <v/>
      </c>
      <c r="V272" s="6">
        <f>IF(ABS(R272)&gt;0.05*M272,"LARGE FLOW","")</f>
        <v/>
      </c>
      <c r="W272" s="6">
        <f>(S272&lt;&gt;"")*1+(T272&lt;&gt;"")*1+(U272&lt;&gt;"")*1+(V272&lt;&gt;"")*1</f>
        <v/>
      </c>
      <c r="X272" s="6">
        <f>IF(S272&lt;&gt;"",S272,IF(T272&lt;&gt;"",T272,IF(U272&lt;&gt;"",U272,IF(V272&lt;&gt;"",V272,""))))</f>
        <v/>
      </c>
    </row>
    <row r="273">
      <c r="A273" s="6" t="inlineStr">
        <is>
          <t>2026-04-22</t>
        </is>
      </c>
      <c r="B273" s="6" t="inlineStr">
        <is>
          <t>FIIG</t>
        </is>
      </c>
      <c r="C273" s="6">
        <f>INDEX('Fund Master'!$B$2:$B$7,MATCH(B273,'Fund Master'!$A$2:$A$7,0))</f>
        <v/>
      </c>
      <c r="D273" s="6">
        <f>INDEX('Fund Master'!$C$2:$C$7,MATCH(B273,'Fund Master'!$A$2:$A$7,0))</f>
        <v/>
      </c>
      <c r="E273" s="8" t="n">
        <v>544520320.05</v>
      </c>
      <c r="F273" s="8" t="n">
        <v>17250878.87</v>
      </c>
      <c r="G273" s="8" t="n">
        <v>3466126.57</v>
      </c>
      <c r="H273" s="8" t="n">
        <v>2299357.05</v>
      </c>
      <c r="I273" s="8" t="n">
        <v>137966.35</v>
      </c>
      <c r="J273" s="10" t="n">
        <v>45569620.2532</v>
      </c>
      <c r="K273" s="9">
        <f>E273+F273+G273</f>
        <v/>
      </c>
      <c r="L273" s="9">
        <f>H273+I273</f>
        <v/>
      </c>
      <c r="M273" s="9">
        <f>K273-L273</f>
        <v/>
      </c>
      <c r="N273" s="11">
        <f>IFERROR(M273/J273,0)</f>
        <v/>
      </c>
      <c r="O273" s="11">
        <f>IF((B273=B272),N272,"")</f>
        <v/>
      </c>
      <c r="P273" s="12">
        <f>IF(O273="","",IFERROR((N273-O273)/O273,""))</f>
        <v/>
      </c>
      <c r="Q273" s="13">
        <f>INDEX('Fund Master'!$F$2:$F$7,MATCH(B273,'Fund Master'!$A$2:$A$7,0))</f>
        <v/>
      </c>
      <c r="R273" s="9">
        <f>SUMIFS('Capital Activity'!$E$2:$E$385,'Capital Activity'!$A$2:$A$385,A273,'Capital Activity'!$B$2:$B$385,B273)</f>
        <v/>
      </c>
      <c r="S273" s="6">
        <f>IF(O273="","",IF(ABS(P273)*10000&gt;Q273,"NAV MOVE BREACH",""))</f>
        <v/>
      </c>
      <c r="T273" s="6">
        <f>IF(AND((B273=B272),D273&lt;&gt;"Money Market",E273=E272),"STALE PRICE","")</f>
        <v/>
      </c>
      <c r="U273" s="6">
        <f>IF(F273&lt;0,"NEGATIVE CASH","")</f>
        <v/>
      </c>
      <c r="V273" s="6">
        <f>IF(ABS(R273)&gt;0.05*M273,"LARGE FLOW","")</f>
        <v/>
      </c>
      <c r="W273" s="6">
        <f>(S273&lt;&gt;"")*1+(T273&lt;&gt;"")*1+(U273&lt;&gt;"")*1+(V273&lt;&gt;"")*1</f>
        <v/>
      </c>
      <c r="X273" s="6">
        <f>IF(S273&lt;&gt;"",S273,IF(T273&lt;&gt;"",T273,IF(U273&lt;&gt;"",U273,IF(V273&lt;&gt;"",V273,""))))</f>
        <v/>
      </c>
    </row>
    <row r="274">
      <c r="A274" s="6" t="inlineStr">
        <is>
          <t>2026-04-23</t>
        </is>
      </c>
      <c r="B274" s="6" t="inlineStr">
        <is>
          <t>FIIG</t>
        </is>
      </c>
      <c r="C274" s="6">
        <f>INDEX('Fund Master'!$B$2:$B$7,MATCH(B274,'Fund Master'!$A$2:$A$7,0))</f>
        <v/>
      </c>
      <c r="D274" s="6">
        <f>INDEX('Fund Master'!$C$2:$C$7,MATCH(B274,'Fund Master'!$A$2:$A$7,0))</f>
        <v/>
      </c>
      <c r="E274" s="8" t="n">
        <v>543694931.62</v>
      </c>
      <c r="F274" s="8" t="n">
        <v>17098255.02</v>
      </c>
      <c r="G274" s="8" t="n">
        <v>3498174.24</v>
      </c>
      <c r="H274" s="8" t="n">
        <v>2339513.86</v>
      </c>
      <c r="I274" s="8" t="n">
        <v>146596.43</v>
      </c>
      <c r="J274" s="10" t="n">
        <v>45569620.2532</v>
      </c>
      <c r="K274" s="9">
        <f>E274+F274+G274</f>
        <v/>
      </c>
      <c r="L274" s="9">
        <f>H274+I274</f>
        <v/>
      </c>
      <c r="M274" s="9">
        <f>K274-L274</f>
        <v/>
      </c>
      <c r="N274" s="11">
        <f>IFERROR(M274/J274,0)</f>
        <v/>
      </c>
      <c r="O274" s="11">
        <f>IF((B274=B273),N273,"")</f>
        <v/>
      </c>
      <c r="P274" s="12">
        <f>IF(O274="","",IFERROR((N274-O274)/O274,""))</f>
        <v/>
      </c>
      <c r="Q274" s="13">
        <f>INDEX('Fund Master'!$F$2:$F$7,MATCH(B274,'Fund Master'!$A$2:$A$7,0))</f>
        <v/>
      </c>
      <c r="R274" s="9">
        <f>SUMIFS('Capital Activity'!$E$2:$E$385,'Capital Activity'!$A$2:$A$385,A274,'Capital Activity'!$B$2:$B$385,B274)</f>
        <v/>
      </c>
      <c r="S274" s="6">
        <f>IF(O274="","",IF(ABS(P274)*10000&gt;Q274,"NAV MOVE BREACH",""))</f>
        <v/>
      </c>
      <c r="T274" s="6">
        <f>IF(AND((B274=B273),D274&lt;&gt;"Money Market",E274=E273),"STALE PRICE","")</f>
        <v/>
      </c>
      <c r="U274" s="6">
        <f>IF(F274&lt;0,"NEGATIVE CASH","")</f>
        <v/>
      </c>
      <c r="V274" s="6">
        <f>IF(ABS(R274)&gt;0.05*M274,"LARGE FLOW","")</f>
        <v/>
      </c>
      <c r="W274" s="6">
        <f>(S274&lt;&gt;"")*1+(T274&lt;&gt;"")*1+(U274&lt;&gt;"")*1+(V274&lt;&gt;"")*1</f>
        <v/>
      </c>
      <c r="X274" s="6">
        <f>IF(S274&lt;&gt;"",S274,IF(T274&lt;&gt;"",T274,IF(U274&lt;&gt;"",U274,IF(V274&lt;&gt;"",V274,""))))</f>
        <v/>
      </c>
    </row>
    <row r="275">
      <c r="A275" s="6" t="inlineStr">
        <is>
          <t>2026-04-24</t>
        </is>
      </c>
      <c r="B275" s="6" t="inlineStr">
        <is>
          <t>FIIG</t>
        </is>
      </c>
      <c r="C275" s="6">
        <f>INDEX('Fund Master'!$B$2:$B$7,MATCH(B275,'Fund Master'!$A$2:$A$7,0))</f>
        <v/>
      </c>
      <c r="D275" s="6">
        <f>INDEX('Fund Master'!$C$2:$C$7,MATCH(B275,'Fund Master'!$A$2:$A$7,0))</f>
        <v/>
      </c>
      <c r="E275" s="8" t="n">
        <v>543534295.73</v>
      </c>
      <c r="F275" s="8" t="n">
        <v>16832862.14</v>
      </c>
      <c r="G275" s="8" t="n">
        <v>3317210.94</v>
      </c>
      <c r="H275" s="8" t="n">
        <v>2243474.12</v>
      </c>
      <c r="I275" s="8" t="n">
        <v>155223.95</v>
      </c>
      <c r="J275" s="10" t="n">
        <v>45569620.2532</v>
      </c>
      <c r="K275" s="9">
        <f>E275+F275+G275</f>
        <v/>
      </c>
      <c r="L275" s="9">
        <f>H275+I275</f>
        <v/>
      </c>
      <c r="M275" s="9">
        <f>K275-L275</f>
        <v/>
      </c>
      <c r="N275" s="11">
        <f>IFERROR(M275/J275,0)</f>
        <v/>
      </c>
      <c r="O275" s="11">
        <f>IF((B275=B274),N274,"")</f>
        <v/>
      </c>
      <c r="P275" s="12">
        <f>IF(O275="","",IFERROR((N275-O275)/O275,""))</f>
        <v/>
      </c>
      <c r="Q275" s="13">
        <f>INDEX('Fund Master'!$F$2:$F$7,MATCH(B275,'Fund Master'!$A$2:$A$7,0))</f>
        <v/>
      </c>
      <c r="R275" s="9">
        <f>SUMIFS('Capital Activity'!$E$2:$E$385,'Capital Activity'!$A$2:$A$385,A275,'Capital Activity'!$B$2:$B$385,B275)</f>
        <v/>
      </c>
      <c r="S275" s="6">
        <f>IF(O275="","",IF(ABS(P275)*10000&gt;Q275,"NAV MOVE BREACH",""))</f>
        <v/>
      </c>
      <c r="T275" s="6">
        <f>IF(AND((B275=B274),D275&lt;&gt;"Money Market",E275=E274),"STALE PRICE","")</f>
        <v/>
      </c>
      <c r="U275" s="6">
        <f>IF(F275&lt;0,"NEGATIVE CASH","")</f>
        <v/>
      </c>
      <c r="V275" s="6">
        <f>IF(ABS(R275)&gt;0.05*M275,"LARGE FLOW","")</f>
        <v/>
      </c>
      <c r="W275" s="6">
        <f>(S275&lt;&gt;"")*1+(T275&lt;&gt;"")*1+(U275&lt;&gt;"")*1+(V275&lt;&gt;"")*1</f>
        <v/>
      </c>
      <c r="X275" s="6">
        <f>IF(S275&lt;&gt;"",S275,IF(T275&lt;&gt;"",T275,IF(U275&lt;&gt;"",U275,IF(V275&lt;&gt;"",V275,""))))</f>
        <v/>
      </c>
    </row>
    <row r="276">
      <c r="A276" s="6" t="inlineStr">
        <is>
          <t>2026-04-27</t>
        </is>
      </c>
      <c r="B276" s="6" t="inlineStr">
        <is>
          <t>FIIG</t>
        </is>
      </c>
      <c r="C276" s="6">
        <f>INDEX('Fund Master'!$B$2:$B$7,MATCH(B276,'Fund Master'!$A$2:$A$7,0))</f>
        <v/>
      </c>
      <c r="D276" s="6">
        <f>INDEX('Fund Master'!$C$2:$C$7,MATCH(B276,'Fund Master'!$A$2:$A$7,0))</f>
        <v/>
      </c>
      <c r="E276" s="8" t="n">
        <v>542855252.01</v>
      </c>
      <c r="F276" s="8" t="n">
        <v>16884723.33</v>
      </c>
      <c r="G276" s="8" t="n">
        <v>3310927.05</v>
      </c>
      <c r="H276" s="8" t="n">
        <v>2395501.44</v>
      </c>
      <c r="I276" s="8" t="n">
        <v>163840.7</v>
      </c>
      <c r="J276" s="10" t="n">
        <v>45569620.2532</v>
      </c>
      <c r="K276" s="9">
        <f>E276+F276+G276</f>
        <v/>
      </c>
      <c r="L276" s="9">
        <f>H276+I276</f>
        <v/>
      </c>
      <c r="M276" s="9">
        <f>K276-L276</f>
        <v/>
      </c>
      <c r="N276" s="11">
        <f>IFERROR(M276/J276,0)</f>
        <v/>
      </c>
      <c r="O276" s="11">
        <f>IF((B276=B275),N275,"")</f>
        <v/>
      </c>
      <c r="P276" s="12">
        <f>IF(O276="","",IFERROR((N276-O276)/O276,""))</f>
        <v/>
      </c>
      <c r="Q276" s="13">
        <f>INDEX('Fund Master'!$F$2:$F$7,MATCH(B276,'Fund Master'!$A$2:$A$7,0))</f>
        <v/>
      </c>
      <c r="R276" s="9">
        <f>SUMIFS('Capital Activity'!$E$2:$E$385,'Capital Activity'!$A$2:$A$385,A276,'Capital Activity'!$B$2:$B$385,B276)</f>
        <v/>
      </c>
      <c r="S276" s="6">
        <f>IF(O276="","",IF(ABS(P276)*10000&gt;Q276,"NAV MOVE BREACH",""))</f>
        <v/>
      </c>
      <c r="T276" s="6">
        <f>IF(AND((B276=B275),D276&lt;&gt;"Money Market",E276=E275),"STALE PRICE","")</f>
        <v/>
      </c>
      <c r="U276" s="6">
        <f>IF(F276&lt;0,"NEGATIVE CASH","")</f>
        <v/>
      </c>
      <c r="V276" s="6">
        <f>IF(ABS(R276)&gt;0.05*M276,"LARGE FLOW","")</f>
        <v/>
      </c>
      <c r="W276" s="6">
        <f>(S276&lt;&gt;"")*1+(T276&lt;&gt;"")*1+(U276&lt;&gt;"")*1+(V276&lt;&gt;"")*1</f>
        <v/>
      </c>
      <c r="X276" s="6">
        <f>IF(S276&lt;&gt;"",S276,IF(T276&lt;&gt;"",T276,IF(U276&lt;&gt;"",U276,IF(V276&lt;&gt;"",V276,""))))</f>
        <v/>
      </c>
    </row>
    <row r="277">
      <c r="A277" s="6" t="inlineStr">
        <is>
          <t>2026-04-28</t>
        </is>
      </c>
      <c r="B277" s="6" t="inlineStr">
        <is>
          <t>FIIG</t>
        </is>
      </c>
      <c r="C277" s="6">
        <f>INDEX('Fund Master'!$B$2:$B$7,MATCH(B277,'Fund Master'!$A$2:$A$7,0))</f>
        <v/>
      </c>
      <c r="D277" s="6">
        <f>INDEX('Fund Master'!$C$2:$C$7,MATCH(B277,'Fund Master'!$A$2:$A$7,0))</f>
        <v/>
      </c>
      <c r="E277" s="8" t="n">
        <v>542219877.7</v>
      </c>
      <c r="F277" s="8" t="n">
        <v>17204659.81</v>
      </c>
      <c r="G277" s="8" t="n">
        <v>3395788.27</v>
      </c>
      <c r="H277" s="8" t="n">
        <v>2633014.82</v>
      </c>
      <c r="I277" s="8" t="n">
        <v>172447.37</v>
      </c>
      <c r="J277" s="10" t="n">
        <v>45569620.2532</v>
      </c>
      <c r="K277" s="9">
        <f>E277+F277+G277</f>
        <v/>
      </c>
      <c r="L277" s="9">
        <f>H277+I277</f>
        <v/>
      </c>
      <c r="M277" s="9">
        <f>K277-L277</f>
        <v/>
      </c>
      <c r="N277" s="11">
        <f>IFERROR(M277/J277,0)</f>
        <v/>
      </c>
      <c r="O277" s="11">
        <f>IF((B277=B276),N276,"")</f>
        <v/>
      </c>
      <c r="P277" s="12">
        <f>IF(O277="","",IFERROR((N277-O277)/O277,""))</f>
        <v/>
      </c>
      <c r="Q277" s="13">
        <f>INDEX('Fund Master'!$F$2:$F$7,MATCH(B277,'Fund Master'!$A$2:$A$7,0))</f>
        <v/>
      </c>
      <c r="R277" s="9">
        <f>SUMIFS('Capital Activity'!$E$2:$E$385,'Capital Activity'!$A$2:$A$385,A277,'Capital Activity'!$B$2:$B$385,B277)</f>
        <v/>
      </c>
      <c r="S277" s="6">
        <f>IF(O277="","",IF(ABS(P277)*10000&gt;Q277,"NAV MOVE BREACH",""))</f>
        <v/>
      </c>
      <c r="T277" s="6">
        <f>IF(AND((B277=B276),D277&lt;&gt;"Money Market",E277=E276),"STALE PRICE","")</f>
        <v/>
      </c>
      <c r="U277" s="6">
        <f>IF(F277&lt;0,"NEGATIVE CASH","")</f>
        <v/>
      </c>
      <c r="V277" s="6">
        <f>IF(ABS(R277)&gt;0.05*M277,"LARGE FLOW","")</f>
        <v/>
      </c>
      <c r="W277" s="6">
        <f>(S277&lt;&gt;"")*1+(T277&lt;&gt;"")*1+(U277&lt;&gt;"")*1+(V277&lt;&gt;"")*1</f>
        <v/>
      </c>
      <c r="X277" s="6">
        <f>IF(S277&lt;&gt;"",S277,IF(T277&lt;&gt;"",T277,IF(U277&lt;&gt;"",U277,IF(V277&lt;&gt;"",V277,""))))</f>
        <v/>
      </c>
    </row>
    <row r="278">
      <c r="A278" s="6" t="inlineStr">
        <is>
          <t>2026-04-29</t>
        </is>
      </c>
      <c r="B278" s="6" t="inlineStr">
        <is>
          <t>FIIG</t>
        </is>
      </c>
      <c r="C278" s="6">
        <f>INDEX('Fund Master'!$B$2:$B$7,MATCH(B278,'Fund Master'!$A$2:$A$7,0))</f>
        <v/>
      </c>
      <c r="D278" s="6">
        <f>INDEX('Fund Master'!$C$2:$C$7,MATCH(B278,'Fund Master'!$A$2:$A$7,0))</f>
        <v/>
      </c>
      <c r="E278" s="8" t="n">
        <v>543225063.09</v>
      </c>
      <c r="F278" s="8" t="n">
        <v>17597919.73</v>
      </c>
      <c r="G278" s="8" t="n">
        <v>3509053.05</v>
      </c>
      <c r="H278" s="8" t="n">
        <v>2704031.34</v>
      </c>
      <c r="I278" s="8" t="n">
        <v>181069.99</v>
      </c>
      <c r="J278" s="10" t="n">
        <v>45569620.2532</v>
      </c>
      <c r="K278" s="9">
        <f>E278+F278+G278</f>
        <v/>
      </c>
      <c r="L278" s="9">
        <f>H278+I278</f>
        <v/>
      </c>
      <c r="M278" s="9">
        <f>K278-L278</f>
        <v/>
      </c>
      <c r="N278" s="11">
        <f>IFERROR(M278/J278,0)</f>
        <v/>
      </c>
      <c r="O278" s="11">
        <f>IF((B278=B277),N277,"")</f>
        <v/>
      </c>
      <c r="P278" s="12">
        <f>IF(O278="","",IFERROR((N278-O278)/O278,""))</f>
        <v/>
      </c>
      <c r="Q278" s="13">
        <f>INDEX('Fund Master'!$F$2:$F$7,MATCH(B278,'Fund Master'!$A$2:$A$7,0))</f>
        <v/>
      </c>
      <c r="R278" s="9">
        <f>SUMIFS('Capital Activity'!$E$2:$E$385,'Capital Activity'!$A$2:$A$385,A278,'Capital Activity'!$B$2:$B$385,B278)</f>
        <v/>
      </c>
      <c r="S278" s="6">
        <f>IF(O278="","",IF(ABS(P278)*10000&gt;Q278,"NAV MOVE BREACH",""))</f>
        <v/>
      </c>
      <c r="T278" s="6">
        <f>IF(AND((B278=B277),D278&lt;&gt;"Money Market",E278=E277),"STALE PRICE","")</f>
        <v/>
      </c>
      <c r="U278" s="6">
        <f>IF(F278&lt;0,"NEGATIVE CASH","")</f>
        <v/>
      </c>
      <c r="V278" s="6">
        <f>IF(ABS(R278)&gt;0.05*M278,"LARGE FLOW","")</f>
        <v/>
      </c>
      <c r="W278" s="6">
        <f>(S278&lt;&gt;"")*1+(T278&lt;&gt;"")*1+(U278&lt;&gt;"")*1+(V278&lt;&gt;"")*1</f>
        <v/>
      </c>
      <c r="X278" s="6">
        <f>IF(S278&lt;&gt;"",S278,IF(T278&lt;&gt;"",T278,IF(U278&lt;&gt;"",U278,IF(V278&lt;&gt;"",V278,""))))</f>
        <v/>
      </c>
    </row>
    <row r="279">
      <c r="A279" s="6" t="inlineStr">
        <is>
          <t>2026-04-30</t>
        </is>
      </c>
      <c r="B279" s="6" t="inlineStr">
        <is>
          <t>FIIG</t>
        </is>
      </c>
      <c r="C279" s="6">
        <f>INDEX('Fund Master'!$B$2:$B$7,MATCH(B279,'Fund Master'!$A$2:$A$7,0))</f>
        <v/>
      </c>
      <c r="D279" s="6">
        <f>INDEX('Fund Master'!$C$2:$C$7,MATCH(B279,'Fund Master'!$A$2:$A$7,0))</f>
        <v/>
      </c>
      <c r="E279" s="8" t="n">
        <v>545436013.63</v>
      </c>
      <c r="F279" s="8" t="n">
        <v>17881841.9</v>
      </c>
      <c r="G279" s="8" t="n">
        <v>3501458.53</v>
      </c>
      <c r="H279" s="8" t="n">
        <v>2734242.37</v>
      </c>
      <c r="I279" s="8" t="n">
        <v>189727.7</v>
      </c>
      <c r="J279" s="10" t="n">
        <v>45569620.2532</v>
      </c>
      <c r="K279" s="9">
        <f>E279+F279+G279</f>
        <v/>
      </c>
      <c r="L279" s="9">
        <f>H279+I279</f>
        <v/>
      </c>
      <c r="M279" s="9">
        <f>K279-L279</f>
        <v/>
      </c>
      <c r="N279" s="11">
        <f>IFERROR(M279/J279,0)</f>
        <v/>
      </c>
      <c r="O279" s="11">
        <f>IF((B279=B278),N278,"")</f>
        <v/>
      </c>
      <c r="P279" s="12">
        <f>IF(O279="","",IFERROR((N279-O279)/O279,""))</f>
        <v/>
      </c>
      <c r="Q279" s="13">
        <f>INDEX('Fund Master'!$F$2:$F$7,MATCH(B279,'Fund Master'!$A$2:$A$7,0))</f>
        <v/>
      </c>
      <c r="R279" s="9">
        <f>SUMIFS('Capital Activity'!$E$2:$E$385,'Capital Activity'!$A$2:$A$385,A279,'Capital Activity'!$B$2:$B$385,B279)</f>
        <v/>
      </c>
      <c r="S279" s="6">
        <f>IF(O279="","",IF(ABS(P279)*10000&gt;Q279,"NAV MOVE BREACH",""))</f>
        <v/>
      </c>
      <c r="T279" s="6">
        <f>IF(AND((B279=B278),D279&lt;&gt;"Money Market",E279=E278),"STALE PRICE","")</f>
        <v/>
      </c>
      <c r="U279" s="6">
        <f>IF(F279&lt;0,"NEGATIVE CASH","")</f>
        <v/>
      </c>
      <c r="V279" s="6">
        <f>IF(ABS(R279)&gt;0.05*M279,"LARGE FLOW","")</f>
        <v/>
      </c>
      <c r="W279" s="6">
        <f>(S279&lt;&gt;"")*1+(T279&lt;&gt;"")*1+(U279&lt;&gt;"")*1+(V279&lt;&gt;"")*1</f>
        <v/>
      </c>
      <c r="X279" s="6">
        <f>IF(S279&lt;&gt;"",S279,IF(T279&lt;&gt;"",T279,IF(U279&lt;&gt;"",U279,IF(V279&lt;&gt;"",V279,""))))</f>
        <v/>
      </c>
    </row>
    <row r="280">
      <c r="A280" s="6" t="inlineStr">
        <is>
          <t>2026-05-01</t>
        </is>
      </c>
      <c r="B280" s="6" t="inlineStr">
        <is>
          <t>FIIG</t>
        </is>
      </c>
      <c r="C280" s="6">
        <f>INDEX('Fund Master'!$B$2:$B$7,MATCH(B280,'Fund Master'!$A$2:$A$7,0))</f>
        <v/>
      </c>
      <c r="D280" s="6">
        <f>INDEX('Fund Master'!$C$2:$C$7,MATCH(B280,'Fund Master'!$A$2:$A$7,0))</f>
        <v/>
      </c>
      <c r="E280" s="8" t="n">
        <v>546108146.4</v>
      </c>
      <c r="F280" s="8" t="n">
        <v>17774994.11</v>
      </c>
      <c r="G280" s="8" t="n">
        <v>3509540.79</v>
      </c>
      <c r="H280" s="8" t="n">
        <v>2905173.25</v>
      </c>
      <c r="I280" s="8" t="n">
        <v>198396.09</v>
      </c>
      <c r="J280" s="10" t="n">
        <v>45569620.2532</v>
      </c>
      <c r="K280" s="9">
        <f>E280+F280+G280</f>
        <v/>
      </c>
      <c r="L280" s="9">
        <f>H280+I280</f>
        <v/>
      </c>
      <c r="M280" s="9">
        <f>K280-L280</f>
        <v/>
      </c>
      <c r="N280" s="11">
        <f>IFERROR(M280/J280,0)</f>
        <v/>
      </c>
      <c r="O280" s="11">
        <f>IF((B280=B279),N279,"")</f>
        <v/>
      </c>
      <c r="P280" s="12">
        <f>IF(O280="","",IFERROR((N280-O280)/O280,""))</f>
        <v/>
      </c>
      <c r="Q280" s="13">
        <f>INDEX('Fund Master'!$F$2:$F$7,MATCH(B280,'Fund Master'!$A$2:$A$7,0))</f>
        <v/>
      </c>
      <c r="R280" s="9">
        <f>SUMIFS('Capital Activity'!$E$2:$E$385,'Capital Activity'!$A$2:$A$385,A280,'Capital Activity'!$B$2:$B$385,B280)</f>
        <v/>
      </c>
      <c r="S280" s="6">
        <f>IF(O280="","",IF(ABS(P280)*10000&gt;Q280,"NAV MOVE BREACH",""))</f>
        <v/>
      </c>
      <c r="T280" s="6">
        <f>IF(AND((B280=B279),D280&lt;&gt;"Money Market",E280=E279),"STALE PRICE","")</f>
        <v/>
      </c>
      <c r="U280" s="6">
        <f>IF(F280&lt;0,"NEGATIVE CASH","")</f>
        <v/>
      </c>
      <c r="V280" s="6">
        <f>IF(ABS(R280)&gt;0.05*M280,"LARGE FLOW","")</f>
        <v/>
      </c>
      <c r="W280" s="6">
        <f>(S280&lt;&gt;"")*1+(T280&lt;&gt;"")*1+(U280&lt;&gt;"")*1+(V280&lt;&gt;"")*1</f>
        <v/>
      </c>
      <c r="X280" s="6">
        <f>IF(S280&lt;&gt;"",S280,IF(T280&lt;&gt;"",T280,IF(U280&lt;&gt;"",U280,IF(V280&lt;&gt;"",V280,""))))</f>
        <v/>
      </c>
    </row>
    <row r="281">
      <c r="A281" s="6" t="inlineStr">
        <is>
          <t>2026-05-04</t>
        </is>
      </c>
      <c r="B281" s="6" t="inlineStr">
        <is>
          <t>FIIG</t>
        </is>
      </c>
      <c r="C281" s="6">
        <f>INDEX('Fund Master'!$B$2:$B$7,MATCH(B281,'Fund Master'!$A$2:$A$7,0))</f>
        <v/>
      </c>
      <c r="D281" s="6">
        <f>INDEX('Fund Master'!$C$2:$C$7,MATCH(B281,'Fund Master'!$A$2:$A$7,0))</f>
        <v/>
      </c>
      <c r="E281" s="8" t="n">
        <v>544138008.1799999</v>
      </c>
      <c r="F281" s="8" t="n">
        <v>17954508.05</v>
      </c>
      <c r="G281" s="8" t="n">
        <v>3581175.57</v>
      </c>
      <c r="H281" s="8" t="n">
        <v>3177198.75</v>
      </c>
      <c r="I281" s="8" t="n">
        <v>207033.2</v>
      </c>
      <c r="J281" s="10" t="n">
        <v>45569620.2532</v>
      </c>
      <c r="K281" s="9">
        <f>E281+F281+G281</f>
        <v/>
      </c>
      <c r="L281" s="9">
        <f>H281+I281</f>
        <v/>
      </c>
      <c r="M281" s="9">
        <f>K281-L281</f>
        <v/>
      </c>
      <c r="N281" s="11">
        <f>IFERROR(M281/J281,0)</f>
        <v/>
      </c>
      <c r="O281" s="11">
        <f>IF((B281=B280),N280,"")</f>
        <v/>
      </c>
      <c r="P281" s="12">
        <f>IF(O281="","",IFERROR((N281-O281)/O281,""))</f>
        <v/>
      </c>
      <c r="Q281" s="13">
        <f>INDEX('Fund Master'!$F$2:$F$7,MATCH(B281,'Fund Master'!$A$2:$A$7,0))</f>
        <v/>
      </c>
      <c r="R281" s="9">
        <f>SUMIFS('Capital Activity'!$E$2:$E$385,'Capital Activity'!$A$2:$A$385,A281,'Capital Activity'!$B$2:$B$385,B281)</f>
        <v/>
      </c>
      <c r="S281" s="6">
        <f>IF(O281="","",IF(ABS(P281)*10000&gt;Q281,"NAV MOVE BREACH",""))</f>
        <v/>
      </c>
      <c r="T281" s="6">
        <f>IF(AND((B281=B280),D281&lt;&gt;"Money Market",E281=E280),"STALE PRICE","")</f>
        <v/>
      </c>
      <c r="U281" s="6">
        <f>IF(F281&lt;0,"NEGATIVE CASH","")</f>
        <v/>
      </c>
      <c r="V281" s="6">
        <f>IF(ABS(R281)&gt;0.05*M281,"LARGE FLOW","")</f>
        <v/>
      </c>
      <c r="W281" s="6">
        <f>(S281&lt;&gt;"")*1+(T281&lt;&gt;"")*1+(U281&lt;&gt;"")*1+(V281&lt;&gt;"")*1</f>
        <v/>
      </c>
      <c r="X281" s="6">
        <f>IF(S281&lt;&gt;"",S281,IF(T281&lt;&gt;"",T281,IF(U281&lt;&gt;"",U281,IF(V281&lt;&gt;"",V281,""))))</f>
        <v/>
      </c>
    </row>
    <row r="282">
      <c r="A282" s="6" t="inlineStr">
        <is>
          <t>2026-05-05</t>
        </is>
      </c>
      <c r="B282" s="6" t="inlineStr">
        <is>
          <t>FIIG</t>
        </is>
      </c>
      <c r="C282" s="6">
        <f>INDEX('Fund Master'!$B$2:$B$7,MATCH(B282,'Fund Master'!$A$2:$A$7,0))</f>
        <v/>
      </c>
      <c r="D282" s="6">
        <f>INDEX('Fund Master'!$C$2:$C$7,MATCH(B282,'Fund Master'!$A$2:$A$7,0))</f>
        <v/>
      </c>
      <c r="E282" s="8" t="n">
        <v>544626793.38</v>
      </c>
      <c r="F282" s="8" t="n">
        <v>18486110.11</v>
      </c>
      <c r="G282" s="8" t="n">
        <v>3571936.33</v>
      </c>
      <c r="H282" s="8" t="n">
        <v>3216523.77</v>
      </c>
      <c r="I282" s="8" t="n">
        <v>215678.07</v>
      </c>
      <c r="J282" s="10" t="n">
        <v>45569620.2532</v>
      </c>
      <c r="K282" s="9">
        <f>E282+F282+G282</f>
        <v/>
      </c>
      <c r="L282" s="9">
        <f>H282+I282</f>
        <v/>
      </c>
      <c r="M282" s="9">
        <f>K282-L282</f>
        <v/>
      </c>
      <c r="N282" s="11">
        <f>IFERROR(M282/J282,0)</f>
        <v/>
      </c>
      <c r="O282" s="11">
        <f>IF((B282=B281),N281,"")</f>
        <v/>
      </c>
      <c r="P282" s="12">
        <f>IF(O282="","",IFERROR((N282-O282)/O282,""))</f>
        <v/>
      </c>
      <c r="Q282" s="13">
        <f>INDEX('Fund Master'!$F$2:$F$7,MATCH(B282,'Fund Master'!$A$2:$A$7,0))</f>
        <v/>
      </c>
      <c r="R282" s="9">
        <f>SUMIFS('Capital Activity'!$E$2:$E$385,'Capital Activity'!$A$2:$A$385,A282,'Capital Activity'!$B$2:$B$385,B282)</f>
        <v/>
      </c>
      <c r="S282" s="6">
        <f>IF(O282="","",IF(ABS(P282)*10000&gt;Q282,"NAV MOVE BREACH",""))</f>
        <v/>
      </c>
      <c r="T282" s="6">
        <f>IF(AND((B282=B281),D282&lt;&gt;"Money Market",E282=E281),"STALE PRICE","")</f>
        <v/>
      </c>
      <c r="U282" s="6">
        <f>IF(F282&lt;0,"NEGATIVE CASH","")</f>
        <v/>
      </c>
      <c r="V282" s="6">
        <f>IF(ABS(R282)&gt;0.05*M282,"LARGE FLOW","")</f>
        <v/>
      </c>
      <c r="W282" s="6">
        <f>(S282&lt;&gt;"")*1+(T282&lt;&gt;"")*1+(U282&lt;&gt;"")*1+(V282&lt;&gt;"")*1</f>
        <v/>
      </c>
      <c r="X282" s="6">
        <f>IF(S282&lt;&gt;"",S282,IF(T282&lt;&gt;"",T282,IF(U282&lt;&gt;"",U282,IF(V282&lt;&gt;"",V282,""))))</f>
        <v/>
      </c>
    </row>
    <row r="283">
      <c r="A283" s="6" t="inlineStr">
        <is>
          <t>2026-05-06</t>
        </is>
      </c>
      <c r="B283" s="6" t="inlineStr">
        <is>
          <t>FIIG</t>
        </is>
      </c>
      <c r="C283" s="6">
        <f>INDEX('Fund Master'!$B$2:$B$7,MATCH(B283,'Fund Master'!$A$2:$A$7,0))</f>
        <v/>
      </c>
      <c r="D283" s="6">
        <f>INDEX('Fund Master'!$C$2:$C$7,MATCH(B283,'Fund Master'!$A$2:$A$7,0))</f>
        <v/>
      </c>
      <c r="E283" s="8" t="n">
        <v>544054927.55</v>
      </c>
      <c r="F283" s="8" t="n">
        <v>18530056.81</v>
      </c>
      <c r="G283" s="8" t="n">
        <v>3708373.26</v>
      </c>
      <c r="H283" s="8" t="n">
        <v>3079111</v>
      </c>
      <c r="I283" s="8" t="n">
        <v>224313.86</v>
      </c>
      <c r="J283" s="10" t="n">
        <v>45569620.2532</v>
      </c>
      <c r="K283" s="9">
        <f>E283+F283+G283</f>
        <v/>
      </c>
      <c r="L283" s="9">
        <f>H283+I283</f>
        <v/>
      </c>
      <c r="M283" s="9">
        <f>K283-L283</f>
        <v/>
      </c>
      <c r="N283" s="11">
        <f>IFERROR(M283/J283,0)</f>
        <v/>
      </c>
      <c r="O283" s="11">
        <f>IF((B283=B282),N282,"")</f>
        <v/>
      </c>
      <c r="P283" s="12">
        <f>IF(O283="","",IFERROR((N283-O283)/O283,""))</f>
        <v/>
      </c>
      <c r="Q283" s="13">
        <f>INDEX('Fund Master'!$F$2:$F$7,MATCH(B283,'Fund Master'!$A$2:$A$7,0))</f>
        <v/>
      </c>
      <c r="R283" s="9">
        <f>SUMIFS('Capital Activity'!$E$2:$E$385,'Capital Activity'!$A$2:$A$385,A283,'Capital Activity'!$B$2:$B$385,B283)</f>
        <v/>
      </c>
      <c r="S283" s="6">
        <f>IF(O283="","",IF(ABS(P283)*10000&gt;Q283,"NAV MOVE BREACH",""))</f>
        <v/>
      </c>
      <c r="T283" s="6">
        <f>IF(AND((B283=B282),D283&lt;&gt;"Money Market",E283=E282),"STALE PRICE","")</f>
        <v/>
      </c>
      <c r="U283" s="6">
        <f>IF(F283&lt;0,"NEGATIVE CASH","")</f>
        <v/>
      </c>
      <c r="V283" s="6">
        <f>IF(ABS(R283)&gt;0.05*M283,"LARGE FLOW","")</f>
        <v/>
      </c>
      <c r="W283" s="6">
        <f>(S283&lt;&gt;"")*1+(T283&lt;&gt;"")*1+(U283&lt;&gt;"")*1+(V283&lt;&gt;"")*1</f>
        <v/>
      </c>
      <c r="X283" s="6">
        <f>IF(S283&lt;&gt;"",S283,IF(T283&lt;&gt;"",T283,IF(U283&lt;&gt;"",U283,IF(V283&lt;&gt;"",V283,""))))</f>
        <v/>
      </c>
    </row>
    <row r="284">
      <c r="A284" s="6" t="inlineStr">
        <is>
          <t>2026-05-07</t>
        </is>
      </c>
      <c r="B284" s="6" t="inlineStr">
        <is>
          <t>FIIG</t>
        </is>
      </c>
      <c r="C284" s="6">
        <f>INDEX('Fund Master'!$B$2:$B$7,MATCH(B284,'Fund Master'!$A$2:$A$7,0))</f>
        <v/>
      </c>
      <c r="D284" s="6">
        <f>INDEX('Fund Master'!$C$2:$C$7,MATCH(B284,'Fund Master'!$A$2:$A$7,0))</f>
        <v/>
      </c>
      <c r="E284" s="8" t="n">
        <v>545984217.36</v>
      </c>
      <c r="F284" s="8" t="n">
        <v>18096785.2</v>
      </c>
      <c r="G284" s="8" t="n">
        <v>3648284.64</v>
      </c>
      <c r="H284" s="8" t="n">
        <v>3139458.35</v>
      </c>
      <c r="I284" s="8" t="n">
        <v>232980.28</v>
      </c>
      <c r="J284" s="10" t="n">
        <v>45569620.2532</v>
      </c>
      <c r="K284" s="9">
        <f>E284+F284+G284</f>
        <v/>
      </c>
      <c r="L284" s="9">
        <f>H284+I284</f>
        <v/>
      </c>
      <c r="M284" s="9">
        <f>K284-L284</f>
        <v/>
      </c>
      <c r="N284" s="11">
        <f>IFERROR(M284/J284,0)</f>
        <v/>
      </c>
      <c r="O284" s="11">
        <f>IF((B284=B283),N283,"")</f>
        <v/>
      </c>
      <c r="P284" s="12">
        <f>IF(O284="","",IFERROR((N284-O284)/O284,""))</f>
        <v/>
      </c>
      <c r="Q284" s="13">
        <f>INDEX('Fund Master'!$F$2:$F$7,MATCH(B284,'Fund Master'!$A$2:$A$7,0))</f>
        <v/>
      </c>
      <c r="R284" s="9">
        <f>SUMIFS('Capital Activity'!$E$2:$E$385,'Capital Activity'!$A$2:$A$385,A284,'Capital Activity'!$B$2:$B$385,B284)</f>
        <v/>
      </c>
      <c r="S284" s="6">
        <f>IF(O284="","",IF(ABS(P284)*10000&gt;Q284,"NAV MOVE BREACH",""))</f>
        <v/>
      </c>
      <c r="T284" s="6">
        <f>IF(AND((B284=B283),D284&lt;&gt;"Money Market",E284=E283),"STALE PRICE","")</f>
        <v/>
      </c>
      <c r="U284" s="6">
        <f>IF(F284&lt;0,"NEGATIVE CASH","")</f>
        <v/>
      </c>
      <c r="V284" s="6">
        <f>IF(ABS(R284)&gt;0.05*M284,"LARGE FLOW","")</f>
        <v/>
      </c>
      <c r="W284" s="6">
        <f>(S284&lt;&gt;"")*1+(T284&lt;&gt;"")*1+(U284&lt;&gt;"")*1+(V284&lt;&gt;"")*1</f>
        <v/>
      </c>
      <c r="X284" s="6">
        <f>IF(S284&lt;&gt;"",S284,IF(T284&lt;&gt;"",T284,IF(U284&lt;&gt;"",U284,IF(V284&lt;&gt;"",V284,""))))</f>
        <v/>
      </c>
    </row>
    <row r="285">
      <c r="A285" s="6" t="inlineStr">
        <is>
          <t>2026-05-08</t>
        </is>
      </c>
      <c r="B285" s="6" t="inlineStr">
        <is>
          <t>FIIG</t>
        </is>
      </c>
      <c r="C285" s="6">
        <f>INDEX('Fund Master'!$B$2:$B$7,MATCH(B285,'Fund Master'!$A$2:$A$7,0))</f>
        <v/>
      </c>
      <c r="D285" s="6">
        <f>INDEX('Fund Master'!$C$2:$C$7,MATCH(B285,'Fund Master'!$A$2:$A$7,0))</f>
        <v/>
      </c>
      <c r="E285" s="8" t="n">
        <v>545244649.7</v>
      </c>
      <c r="F285" s="8" t="n">
        <v>18687686.54</v>
      </c>
      <c r="G285" s="8" t="n">
        <v>3453857.58</v>
      </c>
      <c r="H285" s="8" t="n">
        <v>2847472.84</v>
      </c>
      <c r="I285" s="8" t="n">
        <v>241634.95</v>
      </c>
      <c r="J285" s="10" t="n">
        <v>45569620.2532</v>
      </c>
      <c r="K285" s="9">
        <f>E285+F285+G285</f>
        <v/>
      </c>
      <c r="L285" s="9">
        <f>H285+I285</f>
        <v/>
      </c>
      <c r="M285" s="9">
        <f>K285-L285</f>
        <v/>
      </c>
      <c r="N285" s="11">
        <f>IFERROR(M285/J285,0)</f>
        <v/>
      </c>
      <c r="O285" s="11">
        <f>IF((B285=B284),N284,"")</f>
        <v/>
      </c>
      <c r="P285" s="12">
        <f>IF(O285="","",IFERROR((N285-O285)/O285,""))</f>
        <v/>
      </c>
      <c r="Q285" s="13">
        <f>INDEX('Fund Master'!$F$2:$F$7,MATCH(B285,'Fund Master'!$A$2:$A$7,0))</f>
        <v/>
      </c>
      <c r="R285" s="9">
        <f>SUMIFS('Capital Activity'!$E$2:$E$385,'Capital Activity'!$A$2:$A$385,A285,'Capital Activity'!$B$2:$B$385,B285)</f>
        <v/>
      </c>
      <c r="S285" s="6">
        <f>IF(O285="","",IF(ABS(P285)*10000&gt;Q285,"NAV MOVE BREACH",""))</f>
        <v/>
      </c>
      <c r="T285" s="6">
        <f>IF(AND((B285=B284),D285&lt;&gt;"Money Market",E285=E284),"STALE PRICE","")</f>
        <v/>
      </c>
      <c r="U285" s="6">
        <f>IF(F285&lt;0,"NEGATIVE CASH","")</f>
        <v/>
      </c>
      <c r="V285" s="6">
        <f>IF(ABS(R285)&gt;0.05*M285,"LARGE FLOW","")</f>
        <v/>
      </c>
      <c r="W285" s="6">
        <f>(S285&lt;&gt;"")*1+(T285&lt;&gt;"")*1+(U285&lt;&gt;"")*1+(V285&lt;&gt;"")*1</f>
        <v/>
      </c>
      <c r="X285" s="6">
        <f>IF(S285&lt;&gt;"",S285,IF(T285&lt;&gt;"",T285,IF(U285&lt;&gt;"",U285,IF(V285&lt;&gt;"",V285,""))))</f>
        <v/>
      </c>
    </row>
    <row r="286">
      <c r="A286" s="6" t="inlineStr">
        <is>
          <t>2026-05-11</t>
        </is>
      </c>
      <c r="B286" s="6" t="inlineStr">
        <is>
          <t>FIIG</t>
        </is>
      </c>
      <c r="C286" s="6">
        <f>INDEX('Fund Master'!$B$2:$B$7,MATCH(B286,'Fund Master'!$A$2:$A$7,0))</f>
        <v/>
      </c>
      <c r="D286" s="6">
        <f>INDEX('Fund Master'!$C$2:$C$7,MATCH(B286,'Fund Master'!$A$2:$A$7,0))</f>
        <v/>
      </c>
      <c r="E286" s="8" t="n">
        <v>543794597.79</v>
      </c>
      <c r="F286" s="8" t="n">
        <v>18869107.78</v>
      </c>
      <c r="G286" s="8" t="n">
        <v>3476490.82</v>
      </c>
      <c r="H286" s="8" t="n">
        <v>2766281.83</v>
      </c>
      <c r="I286" s="8" t="n">
        <v>250266.61</v>
      </c>
      <c r="J286" s="10" t="n">
        <v>45569620.2532</v>
      </c>
      <c r="K286" s="9">
        <f>E286+F286+G286</f>
        <v/>
      </c>
      <c r="L286" s="9">
        <f>H286+I286</f>
        <v/>
      </c>
      <c r="M286" s="9">
        <f>K286-L286</f>
        <v/>
      </c>
      <c r="N286" s="11">
        <f>IFERROR(M286/J286,0)</f>
        <v/>
      </c>
      <c r="O286" s="11">
        <f>IF((B286=B285),N285,"")</f>
        <v/>
      </c>
      <c r="P286" s="12">
        <f>IF(O286="","",IFERROR((N286-O286)/O286,""))</f>
        <v/>
      </c>
      <c r="Q286" s="13">
        <f>INDEX('Fund Master'!$F$2:$F$7,MATCH(B286,'Fund Master'!$A$2:$A$7,0))</f>
        <v/>
      </c>
      <c r="R286" s="9">
        <f>SUMIFS('Capital Activity'!$E$2:$E$385,'Capital Activity'!$A$2:$A$385,A286,'Capital Activity'!$B$2:$B$385,B286)</f>
        <v/>
      </c>
      <c r="S286" s="6">
        <f>IF(O286="","",IF(ABS(P286)*10000&gt;Q286,"NAV MOVE BREACH",""))</f>
        <v/>
      </c>
      <c r="T286" s="6">
        <f>IF(AND((B286=B285),D286&lt;&gt;"Money Market",E286=E285),"STALE PRICE","")</f>
        <v/>
      </c>
      <c r="U286" s="6">
        <f>IF(F286&lt;0,"NEGATIVE CASH","")</f>
        <v/>
      </c>
      <c r="V286" s="6">
        <f>IF(ABS(R286)&gt;0.05*M286,"LARGE FLOW","")</f>
        <v/>
      </c>
      <c r="W286" s="6">
        <f>(S286&lt;&gt;"")*1+(T286&lt;&gt;"")*1+(U286&lt;&gt;"")*1+(V286&lt;&gt;"")*1</f>
        <v/>
      </c>
      <c r="X286" s="6">
        <f>IF(S286&lt;&gt;"",S286,IF(T286&lt;&gt;"",T286,IF(U286&lt;&gt;"",U286,IF(V286&lt;&gt;"",V286,""))))</f>
        <v/>
      </c>
    </row>
    <row r="287">
      <c r="A287" s="6" t="inlineStr">
        <is>
          <t>2026-05-12</t>
        </is>
      </c>
      <c r="B287" s="6" t="inlineStr">
        <is>
          <t>FIIG</t>
        </is>
      </c>
      <c r="C287" s="6">
        <f>INDEX('Fund Master'!$B$2:$B$7,MATCH(B287,'Fund Master'!$A$2:$A$7,0))</f>
        <v/>
      </c>
      <c r="D287" s="6">
        <f>INDEX('Fund Master'!$C$2:$C$7,MATCH(B287,'Fund Master'!$A$2:$A$7,0))</f>
        <v/>
      </c>
      <c r="E287" s="8" t="n">
        <v>544893369.1900001</v>
      </c>
      <c r="F287" s="8" t="n">
        <v>18874809.85</v>
      </c>
      <c r="G287" s="8" t="n">
        <v>3725008.15</v>
      </c>
      <c r="H287" s="8" t="n">
        <v>2631931.57</v>
      </c>
      <c r="I287" s="8" t="n">
        <v>258915.72</v>
      </c>
      <c r="J287" s="10" t="n">
        <v>45569620.2532</v>
      </c>
      <c r="K287" s="9">
        <f>E287+F287+G287</f>
        <v/>
      </c>
      <c r="L287" s="9">
        <f>H287+I287</f>
        <v/>
      </c>
      <c r="M287" s="9">
        <f>K287-L287</f>
        <v/>
      </c>
      <c r="N287" s="11">
        <f>IFERROR(M287/J287,0)</f>
        <v/>
      </c>
      <c r="O287" s="11">
        <f>IF((B287=B286),N286,"")</f>
        <v/>
      </c>
      <c r="P287" s="12">
        <f>IF(O287="","",IFERROR((N287-O287)/O287,""))</f>
        <v/>
      </c>
      <c r="Q287" s="13">
        <f>INDEX('Fund Master'!$F$2:$F$7,MATCH(B287,'Fund Master'!$A$2:$A$7,0))</f>
        <v/>
      </c>
      <c r="R287" s="9">
        <f>SUMIFS('Capital Activity'!$E$2:$E$385,'Capital Activity'!$A$2:$A$385,A287,'Capital Activity'!$B$2:$B$385,B287)</f>
        <v/>
      </c>
      <c r="S287" s="6">
        <f>IF(O287="","",IF(ABS(P287)*10000&gt;Q287,"NAV MOVE BREACH",""))</f>
        <v/>
      </c>
      <c r="T287" s="6">
        <f>IF(AND((B287=B286),D287&lt;&gt;"Money Market",E287=E286),"STALE PRICE","")</f>
        <v/>
      </c>
      <c r="U287" s="6">
        <f>IF(F287&lt;0,"NEGATIVE CASH","")</f>
        <v/>
      </c>
      <c r="V287" s="6">
        <f>IF(ABS(R287)&gt;0.05*M287,"LARGE FLOW","")</f>
        <v/>
      </c>
      <c r="W287" s="6">
        <f>(S287&lt;&gt;"")*1+(T287&lt;&gt;"")*1+(U287&lt;&gt;"")*1+(V287&lt;&gt;"")*1</f>
        <v/>
      </c>
      <c r="X287" s="6">
        <f>IF(S287&lt;&gt;"",S287,IF(T287&lt;&gt;"",T287,IF(U287&lt;&gt;"",U287,IF(V287&lt;&gt;"",V287,""))))</f>
        <v/>
      </c>
    </row>
    <row r="288">
      <c r="A288" s="6" t="inlineStr">
        <is>
          <t>2026-05-13</t>
        </is>
      </c>
      <c r="B288" s="6" t="inlineStr">
        <is>
          <t>FIIG</t>
        </is>
      </c>
      <c r="C288" s="6">
        <f>INDEX('Fund Master'!$B$2:$B$7,MATCH(B288,'Fund Master'!$A$2:$A$7,0))</f>
        <v/>
      </c>
      <c r="D288" s="6">
        <f>INDEX('Fund Master'!$C$2:$C$7,MATCH(B288,'Fund Master'!$A$2:$A$7,0))</f>
        <v/>
      </c>
      <c r="E288" s="8" t="n">
        <v>544932797.22</v>
      </c>
      <c r="F288" s="8" t="n">
        <v>18955737.8</v>
      </c>
      <c r="G288" s="8" t="n">
        <v>3693727.9</v>
      </c>
      <c r="H288" s="8" t="n">
        <v>2678165.18</v>
      </c>
      <c r="I288" s="8" t="n">
        <v>267565.44</v>
      </c>
      <c r="J288" s="10" t="n">
        <v>45569620.2532</v>
      </c>
      <c r="K288" s="9">
        <f>E288+F288+G288</f>
        <v/>
      </c>
      <c r="L288" s="9">
        <f>H288+I288</f>
        <v/>
      </c>
      <c r="M288" s="9">
        <f>K288-L288</f>
        <v/>
      </c>
      <c r="N288" s="11">
        <f>IFERROR(M288/J288,0)</f>
        <v/>
      </c>
      <c r="O288" s="11">
        <f>IF((B288=B287),N287,"")</f>
        <v/>
      </c>
      <c r="P288" s="12">
        <f>IF(O288="","",IFERROR((N288-O288)/O288,""))</f>
        <v/>
      </c>
      <c r="Q288" s="13">
        <f>INDEX('Fund Master'!$F$2:$F$7,MATCH(B288,'Fund Master'!$A$2:$A$7,0))</f>
        <v/>
      </c>
      <c r="R288" s="9">
        <f>SUMIFS('Capital Activity'!$E$2:$E$385,'Capital Activity'!$A$2:$A$385,A288,'Capital Activity'!$B$2:$B$385,B288)</f>
        <v/>
      </c>
      <c r="S288" s="6">
        <f>IF(O288="","",IF(ABS(P288)*10000&gt;Q288,"NAV MOVE BREACH",""))</f>
        <v/>
      </c>
      <c r="T288" s="6">
        <f>IF(AND((B288=B287),D288&lt;&gt;"Money Market",E288=E287),"STALE PRICE","")</f>
        <v/>
      </c>
      <c r="U288" s="6">
        <f>IF(F288&lt;0,"NEGATIVE CASH","")</f>
        <v/>
      </c>
      <c r="V288" s="6">
        <f>IF(ABS(R288)&gt;0.05*M288,"LARGE FLOW","")</f>
        <v/>
      </c>
      <c r="W288" s="6">
        <f>(S288&lt;&gt;"")*1+(T288&lt;&gt;"")*1+(U288&lt;&gt;"")*1+(V288&lt;&gt;"")*1</f>
        <v/>
      </c>
      <c r="X288" s="6">
        <f>IF(S288&lt;&gt;"",S288,IF(T288&lt;&gt;"",T288,IF(U288&lt;&gt;"",U288,IF(V288&lt;&gt;"",V288,""))))</f>
        <v/>
      </c>
    </row>
    <row r="289">
      <c r="A289" s="6" t="inlineStr">
        <is>
          <t>2026-05-14</t>
        </is>
      </c>
      <c r="B289" s="6" t="inlineStr">
        <is>
          <t>FIIG</t>
        </is>
      </c>
      <c r="C289" s="6">
        <f>INDEX('Fund Master'!$B$2:$B$7,MATCH(B289,'Fund Master'!$A$2:$A$7,0))</f>
        <v/>
      </c>
      <c r="D289" s="6">
        <f>INDEX('Fund Master'!$C$2:$C$7,MATCH(B289,'Fund Master'!$A$2:$A$7,0))</f>
        <v/>
      </c>
      <c r="E289" s="8" t="n">
        <v>544916436.54</v>
      </c>
      <c r="F289" s="8" t="n">
        <v>19320468.41</v>
      </c>
      <c r="G289" s="8" t="n">
        <v>3738438.6</v>
      </c>
      <c r="H289" s="8" t="n">
        <v>2737818.94</v>
      </c>
      <c r="I289" s="8" t="n">
        <v>276214.91</v>
      </c>
      <c r="J289" s="10" t="n">
        <v>45569620.2532</v>
      </c>
      <c r="K289" s="9">
        <f>E289+F289+G289</f>
        <v/>
      </c>
      <c r="L289" s="9">
        <f>H289+I289</f>
        <v/>
      </c>
      <c r="M289" s="9">
        <f>K289-L289</f>
        <v/>
      </c>
      <c r="N289" s="11">
        <f>IFERROR(M289/J289,0)</f>
        <v/>
      </c>
      <c r="O289" s="11">
        <f>IF((B289=B288),N288,"")</f>
        <v/>
      </c>
      <c r="P289" s="12">
        <f>IF(O289="","",IFERROR((N289-O289)/O289,""))</f>
        <v/>
      </c>
      <c r="Q289" s="13">
        <f>INDEX('Fund Master'!$F$2:$F$7,MATCH(B289,'Fund Master'!$A$2:$A$7,0))</f>
        <v/>
      </c>
      <c r="R289" s="9">
        <f>SUMIFS('Capital Activity'!$E$2:$E$385,'Capital Activity'!$A$2:$A$385,A289,'Capital Activity'!$B$2:$B$385,B289)</f>
        <v/>
      </c>
      <c r="S289" s="6">
        <f>IF(O289="","",IF(ABS(P289)*10000&gt;Q289,"NAV MOVE BREACH",""))</f>
        <v/>
      </c>
      <c r="T289" s="6">
        <f>IF(AND((B289=B288),D289&lt;&gt;"Money Market",E289=E288),"STALE PRICE","")</f>
        <v/>
      </c>
      <c r="U289" s="6">
        <f>IF(F289&lt;0,"NEGATIVE CASH","")</f>
        <v/>
      </c>
      <c r="V289" s="6">
        <f>IF(ABS(R289)&gt;0.05*M289,"LARGE FLOW","")</f>
        <v/>
      </c>
      <c r="W289" s="6">
        <f>(S289&lt;&gt;"")*1+(T289&lt;&gt;"")*1+(U289&lt;&gt;"")*1+(V289&lt;&gt;"")*1</f>
        <v/>
      </c>
      <c r="X289" s="6">
        <f>IF(S289&lt;&gt;"",S289,IF(T289&lt;&gt;"",T289,IF(U289&lt;&gt;"",U289,IF(V289&lt;&gt;"",V289,""))))</f>
        <v/>
      </c>
    </row>
    <row r="290">
      <c r="A290" s="6" t="inlineStr">
        <is>
          <t>2026-05-15</t>
        </is>
      </c>
      <c r="B290" s="6" t="inlineStr">
        <is>
          <t>FIIG</t>
        </is>
      </c>
      <c r="C290" s="6">
        <f>INDEX('Fund Master'!$B$2:$B$7,MATCH(B290,'Fund Master'!$A$2:$A$7,0))</f>
        <v/>
      </c>
      <c r="D290" s="6">
        <f>INDEX('Fund Master'!$C$2:$C$7,MATCH(B290,'Fund Master'!$A$2:$A$7,0))</f>
        <v/>
      </c>
      <c r="E290" s="8" t="n">
        <v>546006064.37</v>
      </c>
      <c r="F290" s="8" t="n">
        <v>19794537.28</v>
      </c>
      <c r="G290" s="8" t="n">
        <v>3771666.49</v>
      </c>
      <c r="H290" s="8" t="n">
        <v>2836202.43</v>
      </c>
      <c r="I290" s="8" t="n">
        <v>284881.67</v>
      </c>
      <c r="J290" s="10" t="n">
        <v>45569620.2532</v>
      </c>
      <c r="K290" s="9">
        <f>E290+F290+G290</f>
        <v/>
      </c>
      <c r="L290" s="9">
        <f>H290+I290</f>
        <v/>
      </c>
      <c r="M290" s="9">
        <f>K290-L290</f>
        <v/>
      </c>
      <c r="N290" s="11">
        <f>IFERROR(M290/J290,0)</f>
        <v/>
      </c>
      <c r="O290" s="11">
        <f>IF((B290=B289),N289,"")</f>
        <v/>
      </c>
      <c r="P290" s="12">
        <f>IF(O290="","",IFERROR((N290-O290)/O290,""))</f>
        <v/>
      </c>
      <c r="Q290" s="13">
        <f>INDEX('Fund Master'!$F$2:$F$7,MATCH(B290,'Fund Master'!$A$2:$A$7,0))</f>
        <v/>
      </c>
      <c r="R290" s="9">
        <f>SUMIFS('Capital Activity'!$E$2:$E$385,'Capital Activity'!$A$2:$A$385,A290,'Capital Activity'!$B$2:$B$385,B290)</f>
        <v/>
      </c>
      <c r="S290" s="6">
        <f>IF(O290="","",IF(ABS(P290)*10000&gt;Q290,"NAV MOVE BREACH",""))</f>
        <v/>
      </c>
      <c r="T290" s="6">
        <f>IF(AND((B290=B289),D290&lt;&gt;"Money Market",E290=E289),"STALE PRICE","")</f>
        <v/>
      </c>
      <c r="U290" s="6">
        <f>IF(F290&lt;0,"NEGATIVE CASH","")</f>
        <v/>
      </c>
      <c r="V290" s="6">
        <f>IF(ABS(R290)&gt;0.05*M290,"LARGE FLOW","")</f>
        <v/>
      </c>
      <c r="W290" s="6">
        <f>(S290&lt;&gt;"")*1+(T290&lt;&gt;"")*1+(U290&lt;&gt;"")*1+(V290&lt;&gt;"")*1</f>
        <v/>
      </c>
      <c r="X290" s="6">
        <f>IF(S290&lt;&gt;"",S290,IF(T290&lt;&gt;"",T290,IF(U290&lt;&gt;"",U290,IF(V290&lt;&gt;"",V290,""))))</f>
        <v/>
      </c>
    </row>
    <row r="291">
      <c r="A291" s="6" t="inlineStr">
        <is>
          <t>2026-05-18</t>
        </is>
      </c>
      <c r="B291" s="6" t="inlineStr">
        <is>
          <t>FIIG</t>
        </is>
      </c>
      <c r="C291" s="6">
        <f>INDEX('Fund Master'!$B$2:$B$7,MATCH(B291,'Fund Master'!$A$2:$A$7,0))</f>
        <v/>
      </c>
      <c r="D291" s="6">
        <f>INDEX('Fund Master'!$C$2:$C$7,MATCH(B291,'Fund Master'!$A$2:$A$7,0))</f>
        <v/>
      </c>
      <c r="E291" s="8" t="n">
        <v>545081185.55</v>
      </c>
      <c r="F291" s="8" t="n">
        <v>20350002.59</v>
      </c>
      <c r="G291" s="8" t="n">
        <v>3760024.23</v>
      </c>
      <c r="H291" s="8" t="n">
        <v>2644224.93</v>
      </c>
      <c r="I291" s="8" t="n">
        <v>293533.75</v>
      </c>
      <c r="J291" s="10" t="n">
        <v>45569620.2532</v>
      </c>
      <c r="K291" s="9">
        <f>E291+F291+G291</f>
        <v/>
      </c>
      <c r="L291" s="9">
        <f>H291+I291</f>
        <v/>
      </c>
      <c r="M291" s="9">
        <f>K291-L291</f>
        <v/>
      </c>
      <c r="N291" s="11">
        <f>IFERROR(M291/J291,0)</f>
        <v/>
      </c>
      <c r="O291" s="11">
        <f>IF((B291=B290),N290,"")</f>
        <v/>
      </c>
      <c r="P291" s="12">
        <f>IF(O291="","",IFERROR((N291-O291)/O291,""))</f>
        <v/>
      </c>
      <c r="Q291" s="13">
        <f>INDEX('Fund Master'!$F$2:$F$7,MATCH(B291,'Fund Master'!$A$2:$A$7,0))</f>
        <v/>
      </c>
      <c r="R291" s="9">
        <f>SUMIFS('Capital Activity'!$E$2:$E$385,'Capital Activity'!$A$2:$A$385,A291,'Capital Activity'!$B$2:$B$385,B291)</f>
        <v/>
      </c>
      <c r="S291" s="6">
        <f>IF(O291="","",IF(ABS(P291)*10000&gt;Q291,"NAV MOVE BREACH",""))</f>
        <v/>
      </c>
      <c r="T291" s="6">
        <f>IF(AND((B291=B290),D291&lt;&gt;"Money Market",E291=E290),"STALE PRICE","")</f>
        <v/>
      </c>
      <c r="U291" s="6">
        <f>IF(F291&lt;0,"NEGATIVE CASH","")</f>
        <v/>
      </c>
      <c r="V291" s="6">
        <f>IF(ABS(R291)&gt;0.05*M291,"LARGE FLOW","")</f>
        <v/>
      </c>
      <c r="W291" s="6">
        <f>(S291&lt;&gt;"")*1+(T291&lt;&gt;"")*1+(U291&lt;&gt;"")*1+(V291&lt;&gt;"")*1</f>
        <v/>
      </c>
      <c r="X291" s="6">
        <f>IF(S291&lt;&gt;"",S291,IF(T291&lt;&gt;"",T291,IF(U291&lt;&gt;"",U291,IF(V291&lt;&gt;"",V291,""))))</f>
        <v/>
      </c>
    </row>
    <row r="292">
      <c r="A292" s="6" t="inlineStr">
        <is>
          <t>2026-05-19</t>
        </is>
      </c>
      <c r="B292" s="6" t="inlineStr">
        <is>
          <t>FIIG</t>
        </is>
      </c>
      <c r="C292" s="6">
        <f>INDEX('Fund Master'!$B$2:$B$7,MATCH(B292,'Fund Master'!$A$2:$A$7,0))</f>
        <v/>
      </c>
      <c r="D292" s="6">
        <f>INDEX('Fund Master'!$C$2:$C$7,MATCH(B292,'Fund Master'!$A$2:$A$7,0))</f>
        <v/>
      </c>
      <c r="E292" s="8" t="n">
        <v>546473214.9400001</v>
      </c>
      <c r="F292" s="8" t="n">
        <v>20187987.55</v>
      </c>
      <c r="G292" s="8" t="n">
        <v>3711108.04</v>
      </c>
      <c r="H292" s="8" t="n">
        <v>2403157.74</v>
      </c>
      <c r="I292" s="8" t="n">
        <v>302207.93</v>
      </c>
      <c r="J292" s="10" t="n">
        <v>45569620.2532</v>
      </c>
      <c r="K292" s="9">
        <f>E292+F292+G292</f>
        <v/>
      </c>
      <c r="L292" s="9">
        <f>H292+I292</f>
        <v/>
      </c>
      <c r="M292" s="9">
        <f>K292-L292</f>
        <v/>
      </c>
      <c r="N292" s="11">
        <f>IFERROR(M292/J292,0)</f>
        <v/>
      </c>
      <c r="O292" s="11">
        <f>IF((B292=B291),N291,"")</f>
        <v/>
      </c>
      <c r="P292" s="12">
        <f>IF(O292="","",IFERROR((N292-O292)/O292,""))</f>
        <v/>
      </c>
      <c r="Q292" s="13">
        <f>INDEX('Fund Master'!$F$2:$F$7,MATCH(B292,'Fund Master'!$A$2:$A$7,0))</f>
        <v/>
      </c>
      <c r="R292" s="9">
        <f>SUMIFS('Capital Activity'!$E$2:$E$385,'Capital Activity'!$A$2:$A$385,A292,'Capital Activity'!$B$2:$B$385,B292)</f>
        <v/>
      </c>
      <c r="S292" s="6">
        <f>IF(O292="","",IF(ABS(P292)*10000&gt;Q292,"NAV MOVE BREACH",""))</f>
        <v/>
      </c>
      <c r="T292" s="6">
        <f>IF(AND((B292=B291),D292&lt;&gt;"Money Market",E292=E291),"STALE PRICE","")</f>
        <v/>
      </c>
      <c r="U292" s="6">
        <f>IF(F292&lt;0,"NEGATIVE CASH","")</f>
        <v/>
      </c>
      <c r="V292" s="6">
        <f>IF(ABS(R292)&gt;0.05*M292,"LARGE FLOW","")</f>
        <v/>
      </c>
      <c r="W292" s="6">
        <f>(S292&lt;&gt;"")*1+(T292&lt;&gt;"")*1+(U292&lt;&gt;"")*1+(V292&lt;&gt;"")*1</f>
        <v/>
      </c>
      <c r="X292" s="6">
        <f>IF(S292&lt;&gt;"",S292,IF(T292&lt;&gt;"",T292,IF(U292&lt;&gt;"",U292,IF(V292&lt;&gt;"",V292,""))))</f>
        <v/>
      </c>
    </row>
    <row r="293">
      <c r="A293" s="6" t="inlineStr">
        <is>
          <t>2026-05-20</t>
        </is>
      </c>
      <c r="B293" s="6" t="inlineStr">
        <is>
          <t>FIIG</t>
        </is>
      </c>
      <c r="C293" s="6">
        <f>INDEX('Fund Master'!$B$2:$B$7,MATCH(B293,'Fund Master'!$A$2:$A$7,0))</f>
        <v/>
      </c>
      <c r="D293" s="6">
        <f>INDEX('Fund Master'!$C$2:$C$7,MATCH(B293,'Fund Master'!$A$2:$A$7,0))</f>
        <v/>
      </c>
      <c r="E293" s="8" t="n">
        <v>544158940.27</v>
      </c>
      <c r="F293" s="8" t="n">
        <v>20350764.74</v>
      </c>
      <c r="G293" s="8" t="n">
        <v>3798015.81</v>
      </c>
      <c r="H293" s="8" t="n">
        <v>2448544.51</v>
      </c>
      <c r="I293" s="8" t="n">
        <v>310845.38</v>
      </c>
      <c r="J293" s="10" t="n">
        <v>45569620.2532</v>
      </c>
      <c r="K293" s="9">
        <f>E293+F293+G293</f>
        <v/>
      </c>
      <c r="L293" s="9">
        <f>H293+I293</f>
        <v/>
      </c>
      <c r="M293" s="9">
        <f>K293-L293</f>
        <v/>
      </c>
      <c r="N293" s="11">
        <f>IFERROR(M293/J293,0)</f>
        <v/>
      </c>
      <c r="O293" s="11">
        <f>IF((B293=B292),N292,"")</f>
        <v/>
      </c>
      <c r="P293" s="12">
        <f>IF(O293="","",IFERROR((N293-O293)/O293,""))</f>
        <v/>
      </c>
      <c r="Q293" s="13">
        <f>INDEX('Fund Master'!$F$2:$F$7,MATCH(B293,'Fund Master'!$A$2:$A$7,0))</f>
        <v/>
      </c>
      <c r="R293" s="9">
        <f>SUMIFS('Capital Activity'!$E$2:$E$385,'Capital Activity'!$A$2:$A$385,A293,'Capital Activity'!$B$2:$B$385,B293)</f>
        <v/>
      </c>
      <c r="S293" s="6">
        <f>IF(O293="","",IF(ABS(P293)*10000&gt;Q293,"NAV MOVE BREACH",""))</f>
        <v/>
      </c>
      <c r="T293" s="6">
        <f>IF(AND((B293=B292),D293&lt;&gt;"Money Market",E293=E292),"STALE PRICE","")</f>
        <v/>
      </c>
      <c r="U293" s="6">
        <f>IF(F293&lt;0,"NEGATIVE CASH","")</f>
        <v/>
      </c>
      <c r="V293" s="6">
        <f>IF(ABS(R293)&gt;0.05*M293,"LARGE FLOW","")</f>
        <v/>
      </c>
      <c r="W293" s="6">
        <f>(S293&lt;&gt;"")*1+(T293&lt;&gt;"")*1+(U293&lt;&gt;"")*1+(V293&lt;&gt;"")*1</f>
        <v/>
      </c>
      <c r="X293" s="6">
        <f>IF(S293&lt;&gt;"",S293,IF(T293&lt;&gt;"",T293,IF(U293&lt;&gt;"",U293,IF(V293&lt;&gt;"",V293,""))))</f>
        <v/>
      </c>
    </row>
    <row r="294">
      <c r="A294" s="6" t="inlineStr">
        <is>
          <t>2026-05-21</t>
        </is>
      </c>
      <c r="B294" s="6" t="inlineStr">
        <is>
          <t>FIIG</t>
        </is>
      </c>
      <c r="C294" s="6">
        <f>INDEX('Fund Master'!$B$2:$B$7,MATCH(B294,'Fund Master'!$A$2:$A$7,0))</f>
        <v/>
      </c>
      <c r="D294" s="6">
        <f>INDEX('Fund Master'!$C$2:$C$7,MATCH(B294,'Fund Master'!$A$2:$A$7,0))</f>
        <v/>
      </c>
      <c r="E294" s="8" t="n">
        <v>544262283.0700001</v>
      </c>
      <c r="F294" s="8" t="n">
        <v>19976357.09</v>
      </c>
      <c r="G294" s="8" t="n">
        <v>3995115.42</v>
      </c>
      <c r="H294" s="8" t="n">
        <v>2563613.17</v>
      </c>
      <c r="I294" s="8" t="n">
        <v>319484.46</v>
      </c>
      <c r="J294" s="10" t="n">
        <v>45569620.2532</v>
      </c>
      <c r="K294" s="9">
        <f>E294+F294+G294</f>
        <v/>
      </c>
      <c r="L294" s="9">
        <f>H294+I294</f>
        <v/>
      </c>
      <c r="M294" s="9">
        <f>K294-L294</f>
        <v/>
      </c>
      <c r="N294" s="11">
        <f>IFERROR(M294/J294,0)</f>
        <v/>
      </c>
      <c r="O294" s="11">
        <f>IF((B294=B293),N293,"")</f>
        <v/>
      </c>
      <c r="P294" s="12">
        <f>IF(O294="","",IFERROR((N294-O294)/O294,""))</f>
        <v/>
      </c>
      <c r="Q294" s="13">
        <f>INDEX('Fund Master'!$F$2:$F$7,MATCH(B294,'Fund Master'!$A$2:$A$7,0))</f>
        <v/>
      </c>
      <c r="R294" s="9">
        <f>SUMIFS('Capital Activity'!$E$2:$E$385,'Capital Activity'!$A$2:$A$385,A294,'Capital Activity'!$B$2:$B$385,B294)</f>
        <v/>
      </c>
      <c r="S294" s="6">
        <f>IF(O294="","",IF(ABS(P294)*10000&gt;Q294,"NAV MOVE BREACH",""))</f>
        <v/>
      </c>
      <c r="T294" s="6">
        <f>IF(AND((B294=B293),D294&lt;&gt;"Money Market",E294=E293),"STALE PRICE","")</f>
        <v/>
      </c>
      <c r="U294" s="6">
        <f>IF(F294&lt;0,"NEGATIVE CASH","")</f>
        <v/>
      </c>
      <c r="V294" s="6">
        <f>IF(ABS(R294)&gt;0.05*M294,"LARGE FLOW","")</f>
        <v/>
      </c>
      <c r="W294" s="6">
        <f>(S294&lt;&gt;"")*1+(T294&lt;&gt;"")*1+(U294&lt;&gt;"")*1+(V294&lt;&gt;"")*1</f>
        <v/>
      </c>
      <c r="X294" s="6">
        <f>IF(S294&lt;&gt;"",S294,IF(T294&lt;&gt;"",T294,IF(U294&lt;&gt;"",U294,IF(V294&lt;&gt;"",V294,""))))</f>
        <v/>
      </c>
    </row>
    <row r="295">
      <c r="A295" s="6" t="inlineStr">
        <is>
          <t>2026-05-22</t>
        </is>
      </c>
      <c r="B295" s="6" t="inlineStr">
        <is>
          <t>FIIG</t>
        </is>
      </c>
      <c r="C295" s="6">
        <f>INDEX('Fund Master'!$B$2:$B$7,MATCH(B295,'Fund Master'!$A$2:$A$7,0))</f>
        <v/>
      </c>
      <c r="D295" s="6">
        <f>INDEX('Fund Master'!$C$2:$C$7,MATCH(B295,'Fund Master'!$A$2:$A$7,0))</f>
        <v/>
      </c>
      <c r="E295" s="8" t="n">
        <v>544688697.25</v>
      </c>
      <c r="F295" s="8" t="n">
        <v>19324742.06</v>
      </c>
      <c r="G295" s="8" t="n">
        <v>3965933.14</v>
      </c>
      <c r="H295" s="8" t="n">
        <v>2476469.1</v>
      </c>
      <c r="I295" s="8" t="n">
        <v>328130.31</v>
      </c>
      <c r="J295" s="10" t="n">
        <v>45569620.2532</v>
      </c>
      <c r="K295" s="9">
        <f>E295+F295+G295</f>
        <v/>
      </c>
      <c r="L295" s="9">
        <f>H295+I295</f>
        <v/>
      </c>
      <c r="M295" s="9">
        <f>K295-L295</f>
        <v/>
      </c>
      <c r="N295" s="11">
        <f>IFERROR(M295/J295,0)</f>
        <v/>
      </c>
      <c r="O295" s="11">
        <f>IF((B295=B294),N294,"")</f>
        <v/>
      </c>
      <c r="P295" s="12">
        <f>IF(O295="","",IFERROR((N295-O295)/O295,""))</f>
        <v/>
      </c>
      <c r="Q295" s="13">
        <f>INDEX('Fund Master'!$F$2:$F$7,MATCH(B295,'Fund Master'!$A$2:$A$7,0))</f>
        <v/>
      </c>
      <c r="R295" s="9">
        <f>SUMIFS('Capital Activity'!$E$2:$E$385,'Capital Activity'!$A$2:$A$385,A295,'Capital Activity'!$B$2:$B$385,B295)</f>
        <v/>
      </c>
      <c r="S295" s="6">
        <f>IF(O295="","",IF(ABS(P295)*10000&gt;Q295,"NAV MOVE BREACH",""))</f>
        <v/>
      </c>
      <c r="T295" s="6">
        <f>IF(AND((B295=B294),D295&lt;&gt;"Money Market",E295=E294),"STALE PRICE","")</f>
        <v/>
      </c>
      <c r="U295" s="6">
        <f>IF(F295&lt;0,"NEGATIVE CASH","")</f>
        <v/>
      </c>
      <c r="V295" s="6">
        <f>IF(ABS(R295)&gt;0.05*M295,"LARGE FLOW","")</f>
        <v/>
      </c>
      <c r="W295" s="6">
        <f>(S295&lt;&gt;"")*1+(T295&lt;&gt;"")*1+(U295&lt;&gt;"")*1+(V295&lt;&gt;"")*1</f>
        <v/>
      </c>
      <c r="X295" s="6">
        <f>IF(S295&lt;&gt;"",S295,IF(T295&lt;&gt;"",T295,IF(U295&lt;&gt;"",U295,IF(V295&lt;&gt;"",V295,""))))</f>
        <v/>
      </c>
    </row>
    <row r="296">
      <c r="A296" s="6" t="inlineStr">
        <is>
          <t>2026-05-26</t>
        </is>
      </c>
      <c r="B296" s="6" t="inlineStr">
        <is>
          <t>FIIG</t>
        </is>
      </c>
      <c r="C296" s="6">
        <f>INDEX('Fund Master'!$B$2:$B$7,MATCH(B296,'Fund Master'!$A$2:$A$7,0))</f>
        <v/>
      </c>
      <c r="D296" s="6">
        <f>INDEX('Fund Master'!$C$2:$C$7,MATCH(B296,'Fund Master'!$A$2:$A$7,0))</f>
        <v/>
      </c>
      <c r="E296" s="8" t="n">
        <v>547539337.6799999</v>
      </c>
      <c r="F296" s="8" t="n">
        <v>19636410.53</v>
      </c>
      <c r="G296" s="8" t="n">
        <v>3911630.63</v>
      </c>
      <c r="H296" s="8" t="n">
        <v>2564672.54</v>
      </c>
      <c r="I296" s="8" t="n">
        <v>336821.41</v>
      </c>
      <c r="J296" s="10" t="n">
        <v>45569620.2532</v>
      </c>
      <c r="K296" s="9">
        <f>E296+F296+G296</f>
        <v/>
      </c>
      <c r="L296" s="9">
        <f>H296+I296</f>
        <v/>
      </c>
      <c r="M296" s="9">
        <f>K296-L296</f>
        <v/>
      </c>
      <c r="N296" s="11">
        <f>IFERROR(M296/J296,0)</f>
        <v/>
      </c>
      <c r="O296" s="11">
        <f>IF((B296=B295),N295,"")</f>
        <v/>
      </c>
      <c r="P296" s="12">
        <f>IF(O296="","",IFERROR((N296-O296)/O296,""))</f>
        <v/>
      </c>
      <c r="Q296" s="13">
        <f>INDEX('Fund Master'!$F$2:$F$7,MATCH(B296,'Fund Master'!$A$2:$A$7,0))</f>
        <v/>
      </c>
      <c r="R296" s="9">
        <f>SUMIFS('Capital Activity'!$E$2:$E$385,'Capital Activity'!$A$2:$A$385,A296,'Capital Activity'!$B$2:$B$385,B296)</f>
        <v/>
      </c>
      <c r="S296" s="6">
        <f>IF(O296="","",IF(ABS(P296)*10000&gt;Q296,"NAV MOVE BREACH",""))</f>
        <v/>
      </c>
      <c r="T296" s="6">
        <f>IF(AND((B296=B295),D296&lt;&gt;"Money Market",E296=E295),"STALE PRICE","")</f>
        <v/>
      </c>
      <c r="U296" s="6">
        <f>IF(F296&lt;0,"NEGATIVE CASH","")</f>
        <v/>
      </c>
      <c r="V296" s="6">
        <f>IF(ABS(R296)&gt;0.05*M296,"LARGE FLOW","")</f>
        <v/>
      </c>
      <c r="W296" s="6">
        <f>(S296&lt;&gt;"")*1+(T296&lt;&gt;"")*1+(U296&lt;&gt;"")*1+(V296&lt;&gt;"")*1</f>
        <v/>
      </c>
      <c r="X296" s="6">
        <f>IF(S296&lt;&gt;"",S296,IF(T296&lt;&gt;"",T296,IF(U296&lt;&gt;"",U296,IF(V296&lt;&gt;"",V296,""))))</f>
        <v/>
      </c>
    </row>
    <row r="297">
      <c r="A297" s="6" t="inlineStr">
        <is>
          <t>2026-05-27</t>
        </is>
      </c>
      <c r="B297" s="6" t="inlineStr">
        <is>
          <t>FIIG</t>
        </is>
      </c>
      <c r="C297" s="6">
        <f>INDEX('Fund Master'!$B$2:$B$7,MATCH(B297,'Fund Master'!$A$2:$A$7,0))</f>
        <v/>
      </c>
      <c r="D297" s="6">
        <f>INDEX('Fund Master'!$C$2:$C$7,MATCH(B297,'Fund Master'!$A$2:$A$7,0))</f>
        <v/>
      </c>
      <c r="E297" s="8" t="n">
        <v>547740265.47</v>
      </c>
      <c r="F297" s="8" t="n">
        <v>19431004.41</v>
      </c>
      <c r="G297" s="8" t="n">
        <v>4004852.87</v>
      </c>
      <c r="H297" s="8" t="n">
        <v>2617340.35</v>
      </c>
      <c r="I297" s="8" t="n">
        <v>345515.7</v>
      </c>
      <c r="J297" s="10" t="n">
        <v>45569620.2532</v>
      </c>
      <c r="K297" s="9">
        <f>E297+F297+G297</f>
        <v/>
      </c>
      <c r="L297" s="9">
        <f>H297+I297</f>
        <v/>
      </c>
      <c r="M297" s="9">
        <f>K297-L297</f>
        <v/>
      </c>
      <c r="N297" s="11">
        <f>IFERROR(M297/J297,0)</f>
        <v/>
      </c>
      <c r="O297" s="11">
        <f>IF((B297=B296),N296,"")</f>
        <v/>
      </c>
      <c r="P297" s="12">
        <f>IF(O297="","",IFERROR((N297-O297)/O297,""))</f>
        <v/>
      </c>
      <c r="Q297" s="13">
        <f>INDEX('Fund Master'!$F$2:$F$7,MATCH(B297,'Fund Master'!$A$2:$A$7,0))</f>
        <v/>
      </c>
      <c r="R297" s="9">
        <f>SUMIFS('Capital Activity'!$E$2:$E$385,'Capital Activity'!$A$2:$A$385,A297,'Capital Activity'!$B$2:$B$385,B297)</f>
        <v/>
      </c>
      <c r="S297" s="6">
        <f>IF(O297="","",IF(ABS(P297)*10000&gt;Q297,"NAV MOVE BREACH",""))</f>
        <v/>
      </c>
      <c r="T297" s="6">
        <f>IF(AND((B297=B296),D297&lt;&gt;"Money Market",E297=E296),"STALE PRICE","")</f>
        <v/>
      </c>
      <c r="U297" s="6">
        <f>IF(F297&lt;0,"NEGATIVE CASH","")</f>
        <v/>
      </c>
      <c r="V297" s="6">
        <f>IF(ABS(R297)&gt;0.05*M297,"LARGE FLOW","")</f>
        <v/>
      </c>
      <c r="W297" s="6">
        <f>(S297&lt;&gt;"")*1+(T297&lt;&gt;"")*1+(U297&lt;&gt;"")*1+(V297&lt;&gt;"")*1</f>
        <v/>
      </c>
      <c r="X297" s="6">
        <f>IF(S297&lt;&gt;"",S297,IF(T297&lt;&gt;"",T297,IF(U297&lt;&gt;"",U297,IF(V297&lt;&gt;"",V297,""))))</f>
        <v/>
      </c>
    </row>
    <row r="298">
      <c r="A298" s="6" t="inlineStr">
        <is>
          <t>2026-05-28</t>
        </is>
      </c>
      <c r="B298" s="6" t="inlineStr">
        <is>
          <t>FIIG</t>
        </is>
      </c>
      <c r="C298" s="6">
        <f>INDEX('Fund Master'!$B$2:$B$7,MATCH(B298,'Fund Master'!$A$2:$A$7,0))</f>
        <v/>
      </c>
      <c r="D298" s="6">
        <f>INDEX('Fund Master'!$C$2:$C$7,MATCH(B298,'Fund Master'!$A$2:$A$7,0))</f>
        <v/>
      </c>
      <c r="E298" s="8" t="n">
        <v>549459483.92</v>
      </c>
      <c r="F298" s="8" t="n">
        <v>-2897330.91</v>
      </c>
      <c r="G298" s="8" t="n">
        <v>4191148.21</v>
      </c>
      <c r="H298" s="8" t="n">
        <v>2651613.04</v>
      </c>
      <c r="I298" s="8" t="n">
        <v>354237.28</v>
      </c>
      <c r="J298" s="10" t="n">
        <v>45569620.2532</v>
      </c>
      <c r="K298" s="9">
        <f>E298+F298+G298</f>
        <v/>
      </c>
      <c r="L298" s="9">
        <f>H298+I298</f>
        <v/>
      </c>
      <c r="M298" s="9">
        <f>K298-L298</f>
        <v/>
      </c>
      <c r="N298" s="11">
        <f>IFERROR(M298/J298,0)</f>
        <v/>
      </c>
      <c r="O298" s="11">
        <f>IF((B298=B297),N297,"")</f>
        <v/>
      </c>
      <c r="P298" s="12">
        <f>IF(O298="","",IFERROR((N298-O298)/O298,""))</f>
        <v/>
      </c>
      <c r="Q298" s="13">
        <f>INDEX('Fund Master'!$F$2:$F$7,MATCH(B298,'Fund Master'!$A$2:$A$7,0))</f>
        <v/>
      </c>
      <c r="R298" s="9">
        <f>SUMIFS('Capital Activity'!$E$2:$E$385,'Capital Activity'!$A$2:$A$385,A298,'Capital Activity'!$B$2:$B$385,B298)</f>
        <v/>
      </c>
      <c r="S298" s="6">
        <f>IF(O298="","",IF(ABS(P298)*10000&gt;Q298,"NAV MOVE BREACH",""))</f>
        <v/>
      </c>
      <c r="T298" s="6">
        <f>IF(AND((B298=B297),D298&lt;&gt;"Money Market",E298=E297),"STALE PRICE","")</f>
        <v/>
      </c>
      <c r="U298" s="6">
        <f>IF(F298&lt;0,"NEGATIVE CASH","")</f>
        <v/>
      </c>
      <c r="V298" s="6">
        <f>IF(ABS(R298)&gt;0.05*M298,"LARGE FLOW","")</f>
        <v/>
      </c>
      <c r="W298" s="6">
        <f>(S298&lt;&gt;"")*1+(T298&lt;&gt;"")*1+(U298&lt;&gt;"")*1+(V298&lt;&gt;"")*1</f>
        <v/>
      </c>
      <c r="X298" s="6">
        <f>IF(S298&lt;&gt;"",S298,IF(T298&lt;&gt;"",T298,IF(U298&lt;&gt;"",U298,IF(V298&lt;&gt;"",V298,""))))</f>
        <v/>
      </c>
    </row>
    <row r="299">
      <c r="A299" s="6" t="inlineStr">
        <is>
          <t>2026-05-29</t>
        </is>
      </c>
      <c r="B299" s="6" t="inlineStr">
        <is>
          <t>FIIG</t>
        </is>
      </c>
      <c r="C299" s="6">
        <f>INDEX('Fund Master'!$B$2:$B$7,MATCH(B299,'Fund Master'!$A$2:$A$7,0))</f>
        <v/>
      </c>
      <c r="D299" s="6">
        <f>INDEX('Fund Master'!$C$2:$C$7,MATCH(B299,'Fund Master'!$A$2:$A$7,0))</f>
        <v/>
      </c>
      <c r="E299" s="8" t="n">
        <v>552240132.79</v>
      </c>
      <c r="F299" s="8" t="n">
        <v>19478866.08</v>
      </c>
      <c r="G299" s="8" t="n">
        <v>4126020.95</v>
      </c>
      <c r="H299" s="8" t="n">
        <v>2600898.97</v>
      </c>
      <c r="I299" s="8" t="n">
        <v>363003</v>
      </c>
      <c r="J299" s="10" t="n">
        <v>45569620.2532</v>
      </c>
      <c r="K299" s="9">
        <f>E299+F299+G299</f>
        <v/>
      </c>
      <c r="L299" s="9">
        <f>H299+I299</f>
        <v/>
      </c>
      <c r="M299" s="9">
        <f>K299-L299</f>
        <v/>
      </c>
      <c r="N299" s="11">
        <f>IFERROR(M299/J299,0)</f>
        <v/>
      </c>
      <c r="O299" s="11">
        <f>IF((B299=B298),N298,"")</f>
        <v/>
      </c>
      <c r="P299" s="12">
        <f>IF(O299="","",IFERROR((N299-O299)/O299,""))</f>
        <v/>
      </c>
      <c r="Q299" s="13">
        <f>INDEX('Fund Master'!$F$2:$F$7,MATCH(B299,'Fund Master'!$A$2:$A$7,0))</f>
        <v/>
      </c>
      <c r="R299" s="9">
        <f>SUMIFS('Capital Activity'!$E$2:$E$385,'Capital Activity'!$A$2:$A$385,A299,'Capital Activity'!$B$2:$B$385,B299)</f>
        <v/>
      </c>
      <c r="S299" s="6">
        <f>IF(O299="","",IF(ABS(P299)*10000&gt;Q299,"NAV MOVE BREACH",""))</f>
        <v/>
      </c>
      <c r="T299" s="6">
        <f>IF(AND((B299=B298),D299&lt;&gt;"Money Market",E299=E298),"STALE PRICE","")</f>
        <v/>
      </c>
      <c r="U299" s="6">
        <f>IF(F299&lt;0,"NEGATIVE CASH","")</f>
        <v/>
      </c>
      <c r="V299" s="6">
        <f>IF(ABS(R299)&gt;0.05*M299,"LARGE FLOW","")</f>
        <v/>
      </c>
      <c r="W299" s="6">
        <f>(S299&lt;&gt;"")*1+(T299&lt;&gt;"")*1+(U299&lt;&gt;"")*1+(V299&lt;&gt;"")*1</f>
        <v/>
      </c>
      <c r="X299" s="6">
        <f>IF(S299&lt;&gt;"",S299,IF(T299&lt;&gt;"",T299,IF(U299&lt;&gt;"",U299,IF(V299&lt;&gt;"",V299,""))))</f>
        <v/>
      </c>
    </row>
    <row r="300">
      <c r="A300" s="6" t="inlineStr">
        <is>
          <t>2026-06-01</t>
        </is>
      </c>
      <c r="B300" s="6" t="inlineStr">
        <is>
          <t>FIIG</t>
        </is>
      </c>
      <c r="C300" s="6">
        <f>INDEX('Fund Master'!$B$2:$B$7,MATCH(B300,'Fund Master'!$A$2:$A$7,0))</f>
        <v/>
      </c>
      <c r="D300" s="6">
        <f>INDEX('Fund Master'!$C$2:$C$7,MATCH(B300,'Fund Master'!$A$2:$A$7,0))</f>
        <v/>
      </c>
      <c r="E300" s="8" t="n">
        <v>553159026.88</v>
      </c>
      <c r="F300" s="8" t="n">
        <v>19320869.33</v>
      </c>
      <c r="G300" s="8" t="n">
        <v>4129653.13</v>
      </c>
      <c r="H300" s="8" t="n">
        <v>2889630.59</v>
      </c>
      <c r="I300" s="8" t="n">
        <v>371783.3</v>
      </c>
      <c r="J300" s="10" t="n">
        <v>45569620.2532</v>
      </c>
      <c r="K300" s="9">
        <f>E300+F300+G300</f>
        <v/>
      </c>
      <c r="L300" s="9">
        <f>H300+I300</f>
        <v/>
      </c>
      <c r="M300" s="9">
        <f>K300-L300</f>
        <v/>
      </c>
      <c r="N300" s="11">
        <f>IFERROR(M300/J300,0)</f>
        <v/>
      </c>
      <c r="O300" s="11">
        <f>IF((B300=B299),N299,"")</f>
        <v/>
      </c>
      <c r="P300" s="12">
        <f>IF(O300="","",IFERROR((N300-O300)/O300,""))</f>
        <v/>
      </c>
      <c r="Q300" s="13">
        <f>INDEX('Fund Master'!$F$2:$F$7,MATCH(B300,'Fund Master'!$A$2:$A$7,0))</f>
        <v/>
      </c>
      <c r="R300" s="9">
        <f>SUMIFS('Capital Activity'!$E$2:$E$385,'Capital Activity'!$A$2:$A$385,A300,'Capital Activity'!$B$2:$B$385,B300)</f>
        <v/>
      </c>
      <c r="S300" s="6">
        <f>IF(O300="","",IF(ABS(P300)*10000&gt;Q300,"NAV MOVE BREACH",""))</f>
        <v/>
      </c>
      <c r="T300" s="6">
        <f>IF(AND((B300=B299),D300&lt;&gt;"Money Market",E300=E299),"STALE PRICE","")</f>
        <v/>
      </c>
      <c r="U300" s="6">
        <f>IF(F300&lt;0,"NEGATIVE CASH","")</f>
        <v/>
      </c>
      <c r="V300" s="6">
        <f>IF(ABS(R300)&gt;0.05*M300,"LARGE FLOW","")</f>
        <v/>
      </c>
      <c r="W300" s="6">
        <f>(S300&lt;&gt;"")*1+(T300&lt;&gt;"")*1+(U300&lt;&gt;"")*1+(V300&lt;&gt;"")*1</f>
        <v/>
      </c>
      <c r="X300" s="6">
        <f>IF(S300&lt;&gt;"",S300,IF(T300&lt;&gt;"",T300,IF(U300&lt;&gt;"",U300,IF(V300&lt;&gt;"",V300,""))))</f>
        <v/>
      </c>
    </row>
    <row r="301">
      <c r="A301" s="6" t="inlineStr">
        <is>
          <t>2026-06-02</t>
        </is>
      </c>
      <c r="B301" s="6" t="inlineStr">
        <is>
          <t>FIIG</t>
        </is>
      </c>
      <c r="C301" s="6">
        <f>INDEX('Fund Master'!$B$2:$B$7,MATCH(B301,'Fund Master'!$A$2:$A$7,0))</f>
        <v/>
      </c>
      <c r="D301" s="6">
        <f>INDEX('Fund Master'!$C$2:$C$7,MATCH(B301,'Fund Master'!$A$2:$A$7,0))</f>
        <v/>
      </c>
      <c r="E301" s="8" t="n">
        <v>553328520.2</v>
      </c>
      <c r="F301" s="8" t="n">
        <v>19366639.49</v>
      </c>
      <c r="G301" s="8" t="n">
        <v>4212392.97</v>
      </c>
      <c r="H301" s="8" t="n">
        <v>2754690.33</v>
      </c>
      <c r="I301" s="8" t="n">
        <v>380566.29</v>
      </c>
      <c r="J301" s="10" t="n">
        <v>45569620.2532</v>
      </c>
      <c r="K301" s="9">
        <f>E301+F301+G301</f>
        <v/>
      </c>
      <c r="L301" s="9">
        <f>H301+I301</f>
        <v/>
      </c>
      <c r="M301" s="9">
        <f>K301-L301</f>
        <v/>
      </c>
      <c r="N301" s="11">
        <f>IFERROR(M301/J301,0)</f>
        <v/>
      </c>
      <c r="O301" s="11">
        <f>IF((B301=B300),N300,"")</f>
        <v/>
      </c>
      <c r="P301" s="12">
        <f>IF(O301="","",IFERROR((N301-O301)/O301,""))</f>
        <v/>
      </c>
      <c r="Q301" s="13">
        <f>INDEX('Fund Master'!$F$2:$F$7,MATCH(B301,'Fund Master'!$A$2:$A$7,0))</f>
        <v/>
      </c>
      <c r="R301" s="9">
        <f>SUMIFS('Capital Activity'!$E$2:$E$385,'Capital Activity'!$A$2:$A$385,A301,'Capital Activity'!$B$2:$B$385,B301)</f>
        <v/>
      </c>
      <c r="S301" s="6">
        <f>IF(O301="","",IF(ABS(P301)*10000&gt;Q301,"NAV MOVE BREACH",""))</f>
        <v/>
      </c>
      <c r="T301" s="6">
        <f>IF(AND((B301=B300),D301&lt;&gt;"Money Market",E301=E300),"STALE PRICE","")</f>
        <v/>
      </c>
      <c r="U301" s="6">
        <f>IF(F301&lt;0,"NEGATIVE CASH","")</f>
        <v/>
      </c>
      <c r="V301" s="6">
        <f>IF(ABS(R301)&gt;0.05*M301,"LARGE FLOW","")</f>
        <v/>
      </c>
      <c r="W301" s="6">
        <f>(S301&lt;&gt;"")*1+(T301&lt;&gt;"")*1+(U301&lt;&gt;"")*1+(V301&lt;&gt;"")*1</f>
        <v/>
      </c>
      <c r="X301" s="6">
        <f>IF(S301&lt;&gt;"",S301,IF(T301&lt;&gt;"",T301,IF(U301&lt;&gt;"",U301,IF(V301&lt;&gt;"",V301,""))))</f>
        <v/>
      </c>
    </row>
    <row r="302">
      <c r="A302" s="6" t="inlineStr">
        <is>
          <t>2026-06-03</t>
        </is>
      </c>
      <c r="B302" s="6" t="inlineStr">
        <is>
          <t>FIIG</t>
        </is>
      </c>
      <c r="C302" s="6">
        <f>INDEX('Fund Master'!$B$2:$B$7,MATCH(B302,'Fund Master'!$A$2:$A$7,0))</f>
        <v/>
      </c>
      <c r="D302" s="6">
        <f>INDEX('Fund Master'!$C$2:$C$7,MATCH(B302,'Fund Master'!$A$2:$A$7,0))</f>
        <v/>
      </c>
      <c r="E302" s="8" t="n">
        <v>554057710.21</v>
      </c>
      <c r="F302" s="8" t="n">
        <v>19607311.67</v>
      </c>
      <c r="G302" s="8" t="n">
        <v>4153693</v>
      </c>
      <c r="H302" s="8" t="n">
        <v>2967619.61</v>
      </c>
      <c r="I302" s="8" t="n">
        <v>389360.86</v>
      </c>
      <c r="J302" s="10" t="n">
        <v>45569620.2532</v>
      </c>
      <c r="K302" s="9">
        <f>E302+F302+G302</f>
        <v/>
      </c>
      <c r="L302" s="9">
        <f>H302+I302</f>
        <v/>
      </c>
      <c r="M302" s="9">
        <f>K302-L302</f>
        <v/>
      </c>
      <c r="N302" s="11">
        <f>IFERROR(M302/J302,0)</f>
        <v/>
      </c>
      <c r="O302" s="11">
        <f>IF((B302=B301),N301,"")</f>
        <v/>
      </c>
      <c r="P302" s="12">
        <f>IF(O302="","",IFERROR((N302-O302)/O302,""))</f>
        <v/>
      </c>
      <c r="Q302" s="13">
        <f>INDEX('Fund Master'!$F$2:$F$7,MATCH(B302,'Fund Master'!$A$2:$A$7,0))</f>
        <v/>
      </c>
      <c r="R302" s="9">
        <f>SUMIFS('Capital Activity'!$E$2:$E$385,'Capital Activity'!$A$2:$A$385,A302,'Capital Activity'!$B$2:$B$385,B302)</f>
        <v/>
      </c>
      <c r="S302" s="6">
        <f>IF(O302="","",IF(ABS(P302)*10000&gt;Q302,"NAV MOVE BREACH",""))</f>
        <v/>
      </c>
      <c r="T302" s="6">
        <f>IF(AND((B302=B301),D302&lt;&gt;"Money Market",E302=E301),"STALE PRICE","")</f>
        <v/>
      </c>
      <c r="U302" s="6">
        <f>IF(F302&lt;0,"NEGATIVE CASH","")</f>
        <v/>
      </c>
      <c r="V302" s="6">
        <f>IF(ABS(R302)&gt;0.05*M302,"LARGE FLOW","")</f>
        <v/>
      </c>
      <c r="W302" s="6">
        <f>(S302&lt;&gt;"")*1+(T302&lt;&gt;"")*1+(U302&lt;&gt;"")*1+(V302&lt;&gt;"")*1</f>
        <v/>
      </c>
      <c r="X302" s="6">
        <f>IF(S302&lt;&gt;"",S302,IF(T302&lt;&gt;"",T302,IF(U302&lt;&gt;"",U302,IF(V302&lt;&gt;"",V302,""))))</f>
        <v/>
      </c>
    </row>
    <row r="303">
      <c r="A303" s="6" t="inlineStr">
        <is>
          <t>2026-06-04</t>
        </is>
      </c>
      <c r="B303" s="6" t="inlineStr">
        <is>
          <t>FIIG</t>
        </is>
      </c>
      <c r="C303" s="6">
        <f>INDEX('Fund Master'!$B$2:$B$7,MATCH(B303,'Fund Master'!$A$2:$A$7,0))</f>
        <v/>
      </c>
      <c r="D303" s="6">
        <f>INDEX('Fund Master'!$C$2:$C$7,MATCH(B303,'Fund Master'!$A$2:$A$7,0))</f>
        <v/>
      </c>
      <c r="E303" s="8" t="n">
        <v>554516727.6799999</v>
      </c>
      <c r="F303" s="8" t="n">
        <v>19971935.75</v>
      </c>
      <c r="G303" s="8" t="n">
        <v>4381238.05</v>
      </c>
      <c r="H303" s="8" t="n">
        <v>2909008.02</v>
      </c>
      <c r="I303" s="8" t="n">
        <v>398162.71</v>
      </c>
      <c r="J303" s="10" t="n">
        <v>45569620.2532</v>
      </c>
      <c r="K303" s="9">
        <f>E303+F303+G303</f>
        <v/>
      </c>
      <c r="L303" s="9">
        <f>H303+I303</f>
        <v/>
      </c>
      <c r="M303" s="9">
        <f>K303-L303</f>
        <v/>
      </c>
      <c r="N303" s="11">
        <f>IFERROR(M303/J303,0)</f>
        <v/>
      </c>
      <c r="O303" s="11">
        <f>IF((B303=B302),N302,"")</f>
        <v/>
      </c>
      <c r="P303" s="12">
        <f>IF(O303="","",IFERROR((N303-O303)/O303,""))</f>
        <v/>
      </c>
      <c r="Q303" s="13">
        <f>INDEX('Fund Master'!$F$2:$F$7,MATCH(B303,'Fund Master'!$A$2:$A$7,0))</f>
        <v/>
      </c>
      <c r="R303" s="9">
        <f>SUMIFS('Capital Activity'!$E$2:$E$385,'Capital Activity'!$A$2:$A$385,A303,'Capital Activity'!$B$2:$B$385,B303)</f>
        <v/>
      </c>
      <c r="S303" s="6">
        <f>IF(O303="","",IF(ABS(P303)*10000&gt;Q303,"NAV MOVE BREACH",""))</f>
        <v/>
      </c>
      <c r="T303" s="6">
        <f>IF(AND((B303=B302),D303&lt;&gt;"Money Market",E303=E302),"STALE PRICE","")</f>
        <v/>
      </c>
      <c r="U303" s="6">
        <f>IF(F303&lt;0,"NEGATIVE CASH","")</f>
        <v/>
      </c>
      <c r="V303" s="6">
        <f>IF(ABS(R303)&gt;0.05*M303,"LARGE FLOW","")</f>
        <v/>
      </c>
      <c r="W303" s="6">
        <f>(S303&lt;&gt;"")*1+(T303&lt;&gt;"")*1+(U303&lt;&gt;"")*1+(V303&lt;&gt;"")*1</f>
        <v/>
      </c>
      <c r="X303" s="6">
        <f>IF(S303&lt;&gt;"",S303,IF(T303&lt;&gt;"",T303,IF(U303&lt;&gt;"",U303,IF(V303&lt;&gt;"",V303,""))))</f>
        <v/>
      </c>
    </row>
    <row r="304">
      <c r="A304" s="6" t="inlineStr">
        <is>
          <t>2026-06-05</t>
        </is>
      </c>
      <c r="B304" s="6" t="inlineStr">
        <is>
          <t>FIIG</t>
        </is>
      </c>
      <c r="C304" s="6">
        <f>INDEX('Fund Master'!$B$2:$B$7,MATCH(B304,'Fund Master'!$A$2:$A$7,0))</f>
        <v/>
      </c>
      <c r="D304" s="6">
        <f>INDEX('Fund Master'!$C$2:$C$7,MATCH(B304,'Fund Master'!$A$2:$A$7,0))</f>
        <v/>
      </c>
      <c r="E304" s="8" t="n">
        <v>554359601.8</v>
      </c>
      <c r="F304" s="8" t="n">
        <v>20260195.8</v>
      </c>
      <c r="G304" s="8" t="n">
        <v>4466785.74</v>
      </c>
      <c r="H304" s="8" t="n">
        <v>2698450.59</v>
      </c>
      <c r="I304" s="8" t="n">
        <v>406962.07</v>
      </c>
      <c r="J304" s="10" t="n">
        <v>45569620.2532</v>
      </c>
      <c r="K304" s="9">
        <f>E304+F304+G304</f>
        <v/>
      </c>
      <c r="L304" s="9">
        <f>H304+I304</f>
        <v/>
      </c>
      <c r="M304" s="9">
        <f>K304-L304</f>
        <v/>
      </c>
      <c r="N304" s="11">
        <f>IFERROR(M304/J304,0)</f>
        <v/>
      </c>
      <c r="O304" s="11">
        <f>IF((B304=B303),N303,"")</f>
        <v/>
      </c>
      <c r="P304" s="12">
        <f>IF(O304="","",IFERROR((N304-O304)/O304,""))</f>
        <v/>
      </c>
      <c r="Q304" s="13">
        <f>INDEX('Fund Master'!$F$2:$F$7,MATCH(B304,'Fund Master'!$A$2:$A$7,0))</f>
        <v/>
      </c>
      <c r="R304" s="9">
        <f>SUMIFS('Capital Activity'!$E$2:$E$385,'Capital Activity'!$A$2:$A$385,A304,'Capital Activity'!$B$2:$B$385,B304)</f>
        <v/>
      </c>
      <c r="S304" s="6">
        <f>IF(O304="","",IF(ABS(P304)*10000&gt;Q304,"NAV MOVE BREACH",""))</f>
        <v/>
      </c>
      <c r="T304" s="6">
        <f>IF(AND((B304=B303),D304&lt;&gt;"Money Market",E304=E303),"STALE PRICE","")</f>
        <v/>
      </c>
      <c r="U304" s="6">
        <f>IF(F304&lt;0,"NEGATIVE CASH","")</f>
        <v/>
      </c>
      <c r="V304" s="6">
        <f>IF(ABS(R304)&gt;0.05*M304,"LARGE FLOW","")</f>
        <v/>
      </c>
      <c r="W304" s="6">
        <f>(S304&lt;&gt;"")*1+(T304&lt;&gt;"")*1+(U304&lt;&gt;"")*1+(V304&lt;&gt;"")*1</f>
        <v/>
      </c>
      <c r="X304" s="6">
        <f>IF(S304&lt;&gt;"",S304,IF(T304&lt;&gt;"",T304,IF(U304&lt;&gt;"",U304,IF(V304&lt;&gt;"",V304,""))))</f>
        <v/>
      </c>
    </row>
    <row r="305">
      <c r="A305" s="6" t="inlineStr">
        <is>
          <t>2026-06-08</t>
        </is>
      </c>
      <c r="B305" s="6" t="inlineStr">
        <is>
          <t>FIIG</t>
        </is>
      </c>
      <c r="C305" s="6">
        <f>INDEX('Fund Master'!$B$2:$B$7,MATCH(B305,'Fund Master'!$A$2:$A$7,0))</f>
        <v/>
      </c>
      <c r="D305" s="6">
        <f>INDEX('Fund Master'!$C$2:$C$7,MATCH(B305,'Fund Master'!$A$2:$A$7,0))</f>
        <v/>
      </c>
      <c r="E305" s="8" t="n">
        <v>553499470.98</v>
      </c>
      <c r="F305" s="8" t="n">
        <v>20360206.8</v>
      </c>
      <c r="G305" s="8" t="n">
        <v>4525482.1</v>
      </c>
      <c r="H305" s="8" t="n">
        <v>2728891.61</v>
      </c>
      <c r="I305" s="8" t="n">
        <v>415747.78</v>
      </c>
      <c r="J305" s="10" t="n">
        <v>45569620.2532</v>
      </c>
      <c r="K305" s="9">
        <f>E305+F305+G305</f>
        <v/>
      </c>
      <c r="L305" s="9">
        <f>H305+I305</f>
        <v/>
      </c>
      <c r="M305" s="9">
        <f>K305-L305</f>
        <v/>
      </c>
      <c r="N305" s="11">
        <f>IFERROR(M305/J305,0)</f>
        <v/>
      </c>
      <c r="O305" s="11">
        <f>IF((B305=B304),N304,"")</f>
        <v/>
      </c>
      <c r="P305" s="12">
        <f>IF(O305="","",IFERROR((N305-O305)/O305,""))</f>
        <v/>
      </c>
      <c r="Q305" s="13">
        <f>INDEX('Fund Master'!$F$2:$F$7,MATCH(B305,'Fund Master'!$A$2:$A$7,0))</f>
        <v/>
      </c>
      <c r="R305" s="9">
        <f>SUMIFS('Capital Activity'!$E$2:$E$385,'Capital Activity'!$A$2:$A$385,A305,'Capital Activity'!$B$2:$B$385,B305)</f>
        <v/>
      </c>
      <c r="S305" s="6">
        <f>IF(O305="","",IF(ABS(P305)*10000&gt;Q305,"NAV MOVE BREACH",""))</f>
        <v/>
      </c>
      <c r="T305" s="6">
        <f>IF(AND((B305=B304),D305&lt;&gt;"Money Market",E305=E304),"STALE PRICE","")</f>
        <v/>
      </c>
      <c r="U305" s="6">
        <f>IF(F305&lt;0,"NEGATIVE CASH","")</f>
        <v/>
      </c>
      <c r="V305" s="6">
        <f>IF(ABS(R305)&gt;0.05*M305,"LARGE FLOW","")</f>
        <v/>
      </c>
      <c r="W305" s="6">
        <f>(S305&lt;&gt;"")*1+(T305&lt;&gt;"")*1+(U305&lt;&gt;"")*1+(V305&lt;&gt;"")*1</f>
        <v/>
      </c>
      <c r="X305" s="6">
        <f>IF(S305&lt;&gt;"",S305,IF(T305&lt;&gt;"",T305,IF(U305&lt;&gt;"",U305,IF(V305&lt;&gt;"",V305,""))))</f>
        <v/>
      </c>
    </row>
    <row r="306">
      <c r="A306" s="6" t="inlineStr">
        <is>
          <t>2026-06-09</t>
        </is>
      </c>
      <c r="B306" s="6" t="inlineStr">
        <is>
          <t>FIIG</t>
        </is>
      </c>
      <c r="C306" s="6">
        <f>INDEX('Fund Master'!$B$2:$B$7,MATCH(B306,'Fund Master'!$A$2:$A$7,0))</f>
        <v/>
      </c>
      <c r="D306" s="6">
        <f>INDEX('Fund Master'!$C$2:$C$7,MATCH(B306,'Fund Master'!$A$2:$A$7,0))</f>
        <v/>
      </c>
      <c r="E306" s="8" t="n">
        <v>553570567.22</v>
      </c>
      <c r="F306" s="8" t="n">
        <v>20752335.01</v>
      </c>
      <c r="G306" s="8" t="n">
        <v>4598284.44</v>
      </c>
      <c r="H306" s="8" t="n">
        <v>2680003.44</v>
      </c>
      <c r="I306" s="8" t="n">
        <v>424534.61</v>
      </c>
      <c r="J306" s="10" t="n">
        <v>45569620.2532</v>
      </c>
      <c r="K306" s="9">
        <f>E306+F306+G306</f>
        <v/>
      </c>
      <c r="L306" s="9">
        <f>H306+I306</f>
        <v/>
      </c>
      <c r="M306" s="9">
        <f>K306-L306</f>
        <v/>
      </c>
      <c r="N306" s="11">
        <f>IFERROR(M306/J306,0)</f>
        <v/>
      </c>
      <c r="O306" s="11">
        <f>IF((B306=B305),N305,"")</f>
        <v/>
      </c>
      <c r="P306" s="12">
        <f>IF(O306="","",IFERROR((N306-O306)/O306,""))</f>
        <v/>
      </c>
      <c r="Q306" s="13">
        <f>INDEX('Fund Master'!$F$2:$F$7,MATCH(B306,'Fund Master'!$A$2:$A$7,0))</f>
        <v/>
      </c>
      <c r="R306" s="9">
        <f>SUMIFS('Capital Activity'!$E$2:$E$385,'Capital Activity'!$A$2:$A$385,A306,'Capital Activity'!$B$2:$B$385,B306)</f>
        <v/>
      </c>
      <c r="S306" s="6">
        <f>IF(O306="","",IF(ABS(P306)*10000&gt;Q306,"NAV MOVE BREACH",""))</f>
        <v/>
      </c>
      <c r="T306" s="6">
        <f>IF(AND((B306=B305),D306&lt;&gt;"Money Market",E306=E305),"STALE PRICE","")</f>
        <v/>
      </c>
      <c r="U306" s="6">
        <f>IF(F306&lt;0,"NEGATIVE CASH","")</f>
        <v/>
      </c>
      <c r="V306" s="6">
        <f>IF(ABS(R306)&gt;0.05*M306,"LARGE FLOW","")</f>
        <v/>
      </c>
      <c r="W306" s="6">
        <f>(S306&lt;&gt;"")*1+(T306&lt;&gt;"")*1+(U306&lt;&gt;"")*1+(V306&lt;&gt;"")*1</f>
        <v/>
      </c>
      <c r="X306" s="6">
        <f>IF(S306&lt;&gt;"",S306,IF(T306&lt;&gt;"",T306,IF(U306&lt;&gt;"",U306,IF(V306&lt;&gt;"",V306,""))))</f>
        <v/>
      </c>
    </row>
    <row r="307">
      <c r="A307" s="6" t="inlineStr">
        <is>
          <t>2026-06-10</t>
        </is>
      </c>
      <c r="B307" s="6" t="inlineStr">
        <is>
          <t>FIIG</t>
        </is>
      </c>
      <c r="C307" s="6">
        <f>INDEX('Fund Master'!$B$2:$B$7,MATCH(B307,'Fund Master'!$A$2:$A$7,0))</f>
        <v/>
      </c>
      <c r="D307" s="6">
        <f>INDEX('Fund Master'!$C$2:$C$7,MATCH(B307,'Fund Master'!$A$2:$A$7,0))</f>
        <v/>
      </c>
      <c r="E307" s="8" t="n">
        <v>555461865.4</v>
      </c>
      <c r="F307" s="8" t="n">
        <v>20243429.47</v>
      </c>
      <c r="G307" s="8" t="n">
        <v>4565677.37</v>
      </c>
      <c r="H307" s="8" t="n">
        <v>2539895.65</v>
      </c>
      <c r="I307" s="8" t="n">
        <v>433351.47</v>
      </c>
      <c r="J307" s="10" t="n">
        <v>45569620.2532</v>
      </c>
      <c r="K307" s="9">
        <f>E307+F307+G307</f>
        <v/>
      </c>
      <c r="L307" s="9">
        <f>H307+I307</f>
        <v/>
      </c>
      <c r="M307" s="9">
        <f>K307-L307</f>
        <v/>
      </c>
      <c r="N307" s="11">
        <f>IFERROR(M307/J307,0)</f>
        <v/>
      </c>
      <c r="O307" s="11">
        <f>IF((B307=B306),N306,"")</f>
        <v/>
      </c>
      <c r="P307" s="12">
        <f>IF(O307="","",IFERROR((N307-O307)/O307,""))</f>
        <v/>
      </c>
      <c r="Q307" s="13">
        <f>INDEX('Fund Master'!$F$2:$F$7,MATCH(B307,'Fund Master'!$A$2:$A$7,0))</f>
        <v/>
      </c>
      <c r="R307" s="9">
        <f>SUMIFS('Capital Activity'!$E$2:$E$385,'Capital Activity'!$A$2:$A$385,A307,'Capital Activity'!$B$2:$B$385,B307)</f>
        <v/>
      </c>
      <c r="S307" s="6">
        <f>IF(O307="","",IF(ABS(P307)*10000&gt;Q307,"NAV MOVE BREACH",""))</f>
        <v/>
      </c>
      <c r="T307" s="6">
        <f>IF(AND((B307=B306),D307&lt;&gt;"Money Market",E307=E306),"STALE PRICE","")</f>
        <v/>
      </c>
      <c r="U307" s="6">
        <f>IF(F307&lt;0,"NEGATIVE CASH","")</f>
        <v/>
      </c>
      <c r="V307" s="6">
        <f>IF(ABS(R307)&gt;0.05*M307,"LARGE FLOW","")</f>
        <v/>
      </c>
      <c r="W307" s="6">
        <f>(S307&lt;&gt;"")*1+(T307&lt;&gt;"")*1+(U307&lt;&gt;"")*1+(V307&lt;&gt;"")*1</f>
        <v/>
      </c>
      <c r="X307" s="6">
        <f>IF(S307&lt;&gt;"",S307,IF(T307&lt;&gt;"",T307,IF(U307&lt;&gt;"",U307,IF(V307&lt;&gt;"",V307,""))))</f>
        <v/>
      </c>
    </row>
    <row r="308">
      <c r="A308" s="6" t="inlineStr">
        <is>
          <t>2026-06-11</t>
        </is>
      </c>
      <c r="B308" s="6" t="inlineStr">
        <is>
          <t>FIIG</t>
        </is>
      </c>
      <c r="C308" s="6">
        <f>INDEX('Fund Master'!$B$2:$B$7,MATCH(B308,'Fund Master'!$A$2:$A$7,0))</f>
        <v/>
      </c>
      <c r="D308" s="6">
        <f>INDEX('Fund Master'!$C$2:$C$7,MATCH(B308,'Fund Master'!$A$2:$A$7,0))</f>
        <v/>
      </c>
      <c r="E308" s="8" t="n">
        <v>554845545.26</v>
      </c>
      <c r="F308" s="8" t="n">
        <v>20336321.79</v>
      </c>
      <c r="G308" s="8" t="n">
        <v>4554363.38</v>
      </c>
      <c r="H308" s="8" t="n">
        <v>2600601.63</v>
      </c>
      <c r="I308" s="8" t="n">
        <v>442158.54</v>
      </c>
      <c r="J308" s="10" t="n">
        <v>45569620.2532</v>
      </c>
      <c r="K308" s="9">
        <f>E308+F308+G308</f>
        <v/>
      </c>
      <c r="L308" s="9">
        <f>H308+I308</f>
        <v/>
      </c>
      <c r="M308" s="9">
        <f>K308-L308</f>
        <v/>
      </c>
      <c r="N308" s="11">
        <f>IFERROR(M308/J308,0)</f>
        <v/>
      </c>
      <c r="O308" s="11">
        <f>IF((B308=B307),N307,"")</f>
        <v/>
      </c>
      <c r="P308" s="12">
        <f>IF(O308="","",IFERROR((N308-O308)/O308,""))</f>
        <v/>
      </c>
      <c r="Q308" s="13">
        <f>INDEX('Fund Master'!$F$2:$F$7,MATCH(B308,'Fund Master'!$A$2:$A$7,0))</f>
        <v/>
      </c>
      <c r="R308" s="9">
        <f>SUMIFS('Capital Activity'!$E$2:$E$385,'Capital Activity'!$A$2:$A$385,A308,'Capital Activity'!$B$2:$B$385,B308)</f>
        <v/>
      </c>
      <c r="S308" s="6">
        <f>IF(O308="","",IF(ABS(P308)*10000&gt;Q308,"NAV MOVE BREACH",""))</f>
        <v/>
      </c>
      <c r="T308" s="6">
        <f>IF(AND((B308=B307),D308&lt;&gt;"Money Market",E308=E307),"STALE PRICE","")</f>
        <v/>
      </c>
      <c r="U308" s="6">
        <f>IF(F308&lt;0,"NEGATIVE CASH","")</f>
        <v/>
      </c>
      <c r="V308" s="6">
        <f>IF(ABS(R308)&gt;0.05*M308,"LARGE FLOW","")</f>
        <v/>
      </c>
      <c r="W308" s="6">
        <f>(S308&lt;&gt;"")*1+(T308&lt;&gt;"")*1+(U308&lt;&gt;"")*1+(V308&lt;&gt;"")*1</f>
        <v/>
      </c>
      <c r="X308" s="6">
        <f>IF(S308&lt;&gt;"",S308,IF(T308&lt;&gt;"",T308,IF(U308&lt;&gt;"",U308,IF(V308&lt;&gt;"",V308,""))))</f>
        <v/>
      </c>
    </row>
    <row r="309">
      <c r="A309" s="6" t="inlineStr">
        <is>
          <t>2026-06-12</t>
        </is>
      </c>
      <c r="B309" s="6" t="inlineStr">
        <is>
          <t>FIIG</t>
        </is>
      </c>
      <c r="C309" s="6">
        <f>INDEX('Fund Master'!$B$2:$B$7,MATCH(B309,'Fund Master'!$A$2:$A$7,0))</f>
        <v/>
      </c>
      <c r="D309" s="6">
        <f>INDEX('Fund Master'!$C$2:$C$7,MATCH(B309,'Fund Master'!$A$2:$A$7,0))</f>
        <v/>
      </c>
      <c r="E309" s="8" t="n">
        <v>556504282.15</v>
      </c>
      <c r="F309" s="8" t="n">
        <v>20232251.59</v>
      </c>
      <c r="G309" s="8" t="n">
        <v>4360080.19</v>
      </c>
      <c r="H309" s="8" t="n">
        <v>2551196.75</v>
      </c>
      <c r="I309" s="8" t="n">
        <v>450991.94</v>
      </c>
      <c r="J309" s="10" t="n">
        <v>45569620.2532</v>
      </c>
      <c r="K309" s="9">
        <f>E309+F309+G309</f>
        <v/>
      </c>
      <c r="L309" s="9">
        <f>H309+I309</f>
        <v/>
      </c>
      <c r="M309" s="9">
        <f>K309-L309</f>
        <v/>
      </c>
      <c r="N309" s="11">
        <f>IFERROR(M309/J309,0)</f>
        <v/>
      </c>
      <c r="O309" s="11">
        <f>IF((B309=B308),N308,"")</f>
        <v/>
      </c>
      <c r="P309" s="12">
        <f>IF(O309="","",IFERROR((N309-O309)/O309,""))</f>
        <v/>
      </c>
      <c r="Q309" s="13">
        <f>INDEX('Fund Master'!$F$2:$F$7,MATCH(B309,'Fund Master'!$A$2:$A$7,0))</f>
        <v/>
      </c>
      <c r="R309" s="9">
        <f>SUMIFS('Capital Activity'!$E$2:$E$385,'Capital Activity'!$A$2:$A$385,A309,'Capital Activity'!$B$2:$B$385,B309)</f>
        <v/>
      </c>
      <c r="S309" s="6">
        <f>IF(O309="","",IF(ABS(P309)*10000&gt;Q309,"NAV MOVE BREACH",""))</f>
        <v/>
      </c>
      <c r="T309" s="6">
        <f>IF(AND((B309=B308),D309&lt;&gt;"Money Market",E309=E308),"STALE PRICE","")</f>
        <v/>
      </c>
      <c r="U309" s="6">
        <f>IF(F309&lt;0,"NEGATIVE CASH","")</f>
        <v/>
      </c>
      <c r="V309" s="6">
        <f>IF(ABS(R309)&gt;0.05*M309,"LARGE FLOW","")</f>
        <v/>
      </c>
      <c r="W309" s="6">
        <f>(S309&lt;&gt;"")*1+(T309&lt;&gt;"")*1+(U309&lt;&gt;"")*1+(V309&lt;&gt;"")*1</f>
        <v/>
      </c>
      <c r="X309" s="6">
        <f>IF(S309&lt;&gt;"",S309,IF(T309&lt;&gt;"",T309,IF(U309&lt;&gt;"",U309,IF(V309&lt;&gt;"",V309,""))))</f>
        <v/>
      </c>
    </row>
    <row r="310">
      <c r="A310" s="6" t="inlineStr">
        <is>
          <t>2026-06-15</t>
        </is>
      </c>
      <c r="B310" s="6" t="inlineStr">
        <is>
          <t>FIIG</t>
        </is>
      </c>
      <c r="C310" s="6">
        <f>INDEX('Fund Master'!$B$2:$B$7,MATCH(B310,'Fund Master'!$A$2:$A$7,0))</f>
        <v/>
      </c>
      <c r="D310" s="6">
        <f>INDEX('Fund Master'!$C$2:$C$7,MATCH(B310,'Fund Master'!$A$2:$A$7,0))</f>
        <v/>
      </c>
      <c r="E310" s="8" t="n">
        <v>573310550.65</v>
      </c>
      <c r="F310" s="8" t="n">
        <v>20100019.26</v>
      </c>
      <c r="G310" s="8" t="n">
        <v>4313771.22</v>
      </c>
      <c r="H310" s="8" t="n">
        <v>2826373.74</v>
      </c>
      <c r="I310" s="8" t="n">
        <v>459818.48</v>
      </c>
      <c r="J310" s="10" t="n">
        <v>45569620.2532</v>
      </c>
      <c r="K310" s="9">
        <f>E310+F310+G310</f>
        <v/>
      </c>
      <c r="L310" s="9">
        <f>H310+I310</f>
        <v/>
      </c>
      <c r="M310" s="9">
        <f>K310-L310</f>
        <v/>
      </c>
      <c r="N310" s="11">
        <f>IFERROR(M310/J310,0)</f>
        <v/>
      </c>
      <c r="O310" s="11">
        <f>IF((B310=B309),N309,"")</f>
        <v/>
      </c>
      <c r="P310" s="12">
        <f>IF(O310="","",IFERROR((N310-O310)/O310,""))</f>
        <v/>
      </c>
      <c r="Q310" s="13">
        <f>INDEX('Fund Master'!$F$2:$F$7,MATCH(B310,'Fund Master'!$A$2:$A$7,0))</f>
        <v/>
      </c>
      <c r="R310" s="9">
        <f>SUMIFS('Capital Activity'!$E$2:$E$385,'Capital Activity'!$A$2:$A$385,A310,'Capital Activity'!$B$2:$B$385,B310)</f>
        <v/>
      </c>
      <c r="S310" s="6">
        <f>IF(O310="","",IF(ABS(P310)*10000&gt;Q310,"NAV MOVE BREACH",""))</f>
        <v/>
      </c>
      <c r="T310" s="6">
        <f>IF(AND((B310=B309),D310&lt;&gt;"Money Market",E310=E309),"STALE PRICE","")</f>
        <v/>
      </c>
      <c r="U310" s="6">
        <f>IF(F310&lt;0,"NEGATIVE CASH","")</f>
        <v/>
      </c>
      <c r="V310" s="6">
        <f>IF(ABS(R310)&gt;0.05*M310,"LARGE FLOW","")</f>
        <v/>
      </c>
      <c r="W310" s="6">
        <f>(S310&lt;&gt;"")*1+(T310&lt;&gt;"")*1+(U310&lt;&gt;"")*1+(V310&lt;&gt;"")*1</f>
        <v/>
      </c>
      <c r="X310" s="6">
        <f>IF(S310&lt;&gt;"",S310,IF(T310&lt;&gt;"",T310,IF(U310&lt;&gt;"",U310,IF(V310&lt;&gt;"",V310,""))))</f>
        <v/>
      </c>
    </row>
    <row r="311">
      <c r="A311" s="6" t="inlineStr">
        <is>
          <t>2026-06-16</t>
        </is>
      </c>
      <c r="B311" s="6" t="inlineStr">
        <is>
          <t>FIIG</t>
        </is>
      </c>
      <c r="C311" s="6">
        <f>INDEX('Fund Master'!$B$2:$B$7,MATCH(B311,'Fund Master'!$A$2:$A$7,0))</f>
        <v/>
      </c>
      <c r="D311" s="6">
        <f>INDEX('Fund Master'!$C$2:$C$7,MATCH(B311,'Fund Master'!$A$2:$A$7,0))</f>
        <v/>
      </c>
      <c r="E311" s="8" t="n">
        <v>557787677.41</v>
      </c>
      <c r="F311" s="8" t="n">
        <v>20241939.87</v>
      </c>
      <c r="G311" s="8" t="n">
        <v>4292400.59</v>
      </c>
      <c r="H311" s="8" t="n">
        <v>2808807.35</v>
      </c>
      <c r="I311" s="8" t="n">
        <v>468672.26</v>
      </c>
      <c r="J311" s="10" t="n">
        <v>45569620.2532</v>
      </c>
      <c r="K311" s="9">
        <f>E311+F311+G311</f>
        <v/>
      </c>
      <c r="L311" s="9">
        <f>H311+I311</f>
        <v/>
      </c>
      <c r="M311" s="9">
        <f>K311-L311</f>
        <v/>
      </c>
      <c r="N311" s="11">
        <f>IFERROR(M311/J311,0)</f>
        <v/>
      </c>
      <c r="O311" s="11">
        <f>IF((B311=B310),N310,"")</f>
        <v/>
      </c>
      <c r="P311" s="12">
        <f>IF(O311="","",IFERROR((N311-O311)/O311,""))</f>
        <v/>
      </c>
      <c r="Q311" s="13">
        <f>INDEX('Fund Master'!$F$2:$F$7,MATCH(B311,'Fund Master'!$A$2:$A$7,0))</f>
        <v/>
      </c>
      <c r="R311" s="9">
        <f>SUMIFS('Capital Activity'!$E$2:$E$385,'Capital Activity'!$A$2:$A$385,A311,'Capital Activity'!$B$2:$B$385,B311)</f>
        <v/>
      </c>
      <c r="S311" s="6">
        <f>IF(O311="","",IF(ABS(P311)*10000&gt;Q311,"NAV MOVE BREACH",""))</f>
        <v/>
      </c>
      <c r="T311" s="6">
        <f>IF(AND((B311=B310),D311&lt;&gt;"Money Market",E311=E310),"STALE PRICE","")</f>
        <v/>
      </c>
      <c r="U311" s="6">
        <f>IF(F311&lt;0,"NEGATIVE CASH","")</f>
        <v/>
      </c>
      <c r="V311" s="6">
        <f>IF(ABS(R311)&gt;0.05*M311,"LARGE FLOW","")</f>
        <v/>
      </c>
      <c r="W311" s="6">
        <f>(S311&lt;&gt;"")*1+(T311&lt;&gt;"")*1+(U311&lt;&gt;"")*1+(V311&lt;&gt;"")*1</f>
        <v/>
      </c>
      <c r="X311" s="6">
        <f>IF(S311&lt;&gt;"",S311,IF(T311&lt;&gt;"",T311,IF(U311&lt;&gt;"",U311,IF(V311&lt;&gt;"",V311,""))))</f>
        <v/>
      </c>
    </row>
    <row r="312">
      <c r="A312" s="6" t="inlineStr">
        <is>
          <t>2026-06-17</t>
        </is>
      </c>
      <c r="B312" s="6" t="inlineStr">
        <is>
          <t>FIIG</t>
        </is>
      </c>
      <c r="C312" s="6">
        <f>INDEX('Fund Master'!$B$2:$B$7,MATCH(B312,'Fund Master'!$A$2:$A$7,0))</f>
        <v/>
      </c>
      <c r="D312" s="6">
        <f>INDEX('Fund Master'!$C$2:$C$7,MATCH(B312,'Fund Master'!$A$2:$A$7,0))</f>
        <v/>
      </c>
      <c r="E312" s="8" t="n">
        <v>559035650.76</v>
      </c>
      <c r="F312" s="8" t="n">
        <v>20304652.19</v>
      </c>
      <c r="G312" s="8" t="n">
        <v>4400301.5</v>
      </c>
      <c r="H312" s="8" t="n">
        <v>2804262.04</v>
      </c>
      <c r="I312" s="8" t="n">
        <v>477545.84</v>
      </c>
      <c r="J312" s="10" t="n">
        <v>45569620.2532</v>
      </c>
      <c r="K312" s="9">
        <f>E312+F312+G312</f>
        <v/>
      </c>
      <c r="L312" s="9">
        <f>H312+I312</f>
        <v/>
      </c>
      <c r="M312" s="9">
        <f>K312-L312</f>
        <v/>
      </c>
      <c r="N312" s="11">
        <f>IFERROR(M312/J312,0)</f>
        <v/>
      </c>
      <c r="O312" s="11">
        <f>IF((B312=B311),N311,"")</f>
        <v/>
      </c>
      <c r="P312" s="12">
        <f>IF(O312="","",IFERROR((N312-O312)/O312,""))</f>
        <v/>
      </c>
      <c r="Q312" s="13">
        <f>INDEX('Fund Master'!$F$2:$F$7,MATCH(B312,'Fund Master'!$A$2:$A$7,0))</f>
        <v/>
      </c>
      <c r="R312" s="9">
        <f>SUMIFS('Capital Activity'!$E$2:$E$385,'Capital Activity'!$A$2:$A$385,A312,'Capital Activity'!$B$2:$B$385,B312)</f>
        <v/>
      </c>
      <c r="S312" s="6">
        <f>IF(O312="","",IF(ABS(P312)*10000&gt;Q312,"NAV MOVE BREACH",""))</f>
        <v/>
      </c>
      <c r="T312" s="6">
        <f>IF(AND((B312=B311),D312&lt;&gt;"Money Market",E312=E311),"STALE PRICE","")</f>
        <v/>
      </c>
      <c r="U312" s="6">
        <f>IF(F312&lt;0,"NEGATIVE CASH","")</f>
        <v/>
      </c>
      <c r="V312" s="6">
        <f>IF(ABS(R312)&gt;0.05*M312,"LARGE FLOW","")</f>
        <v/>
      </c>
      <c r="W312" s="6">
        <f>(S312&lt;&gt;"")*1+(T312&lt;&gt;"")*1+(U312&lt;&gt;"")*1+(V312&lt;&gt;"")*1</f>
        <v/>
      </c>
      <c r="X312" s="6">
        <f>IF(S312&lt;&gt;"",S312,IF(T312&lt;&gt;"",T312,IF(U312&lt;&gt;"",U312,IF(V312&lt;&gt;"",V312,""))))</f>
        <v/>
      </c>
    </row>
    <row r="313">
      <c r="A313" s="6" t="inlineStr">
        <is>
          <t>2026-06-18</t>
        </is>
      </c>
      <c r="B313" s="6" t="inlineStr">
        <is>
          <t>FIIG</t>
        </is>
      </c>
      <c r="C313" s="6">
        <f>INDEX('Fund Master'!$B$2:$B$7,MATCH(B313,'Fund Master'!$A$2:$A$7,0))</f>
        <v/>
      </c>
      <c r="D313" s="6">
        <f>INDEX('Fund Master'!$C$2:$C$7,MATCH(B313,'Fund Master'!$A$2:$A$7,0))</f>
        <v/>
      </c>
      <c r="E313" s="8" t="n">
        <v>560581785.4400001</v>
      </c>
      <c r="F313" s="8" t="n">
        <v>20477350.2</v>
      </c>
      <c r="G313" s="8" t="n">
        <v>4546743.4</v>
      </c>
      <c r="H313" s="8" t="n">
        <v>2422356.72</v>
      </c>
      <c r="I313" s="8" t="n">
        <v>486443.96</v>
      </c>
      <c r="J313" s="10" t="n">
        <v>45569620.2532</v>
      </c>
      <c r="K313" s="9">
        <f>E313+F313+G313</f>
        <v/>
      </c>
      <c r="L313" s="9">
        <f>H313+I313</f>
        <v/>
      </c>
      <c r="M313" s="9">
        <f>K313-L313</f>
        <v/>
      </c>
      <c r="N313" s="11">
        <f>IFERROR(M313/J313,0)</f>
        <v/>
      </c>
      <c r="O313" s="11">
        <f>IF((B313=B312),N312,"")</f>
        <v/>
      </c>
      <c r="P313" s="12">
        <f>IF(O313="","",IFERROR((N313-O313)/O313,""))</f>
        <v/>
      </c>
      <c r="Q313" s="13">
        <f>INDEX('Fund Master'!$F$2:$F$7,MATCH(B313,'Fund Master'!$A$2:$A$7,0))</f>
        <v/>
      </c>
      <c r="R313" s="9">
        <f>SUMIFS('Capital Activity'!$E$2:$E$385,'Capital Activity'!$A$2:$A$385,A313,'Capital Activity'!$B$2:$B$385,B313)</f>
        <v/>
      </c>
      <c r="S313" s="6">
        <f>IF(O313="","",IF(ABS(P313)*10000&gt;Q313,"NAV MOVE BREACH",""))</f>
        <v/>
      </c>
      <c r="T313" s="6">
        <f>IF(AND((B313=B312),D313&lt;&gt;"Money Market",E313=E312),"STALE PRICE","")</f>
        <v/>
      </c>
      <c r="U313" s="6">
        <f>IF(F313&lt;0,"NEGATIVE CASH","")</f>
        <v/>
      </c>
      <c r="V313" s="6">
        <f>IF(ABS(R313)&gt;0.05*M313,"LARGE FLOW","")</f>
        <v/>
      </c>
      <c r="W313" s="6">
        <f>(S313&lt;&gt;"")*1+(T313&lt;&gt;"")*1+(U313&lt;&gt;"")*1+(V313&lt;&gt;"")*1</f>
        <v/>
      </c>
      <c r="X313" s="6">
        <f>IF(S313&lt;&gt;"",S313,IF(T313&lt;&gt;"",T313,IF(U313&lt;&gt;"",U313,IF(V313&lt;&gt;"",V313,""))))</f>
        <v/>
      </c>
    </row>
    <row r="314">
      <c r="A314" s="6" t="inlineStr">
        <is>
          <t>2026-06-19</t>
        </is>
      </c>
      <c r="B314" s="6" t="inlineStr">
        <is>
          <t>FIIG</t>
        </is>
      </c>
      <c r="C314" s="6">
        <f>INDEX('Fund Master'!$B$2:$B$7,MATCH(B314,'Fund Master'!$A$2:$A$7,0))</f>
        <v/>
      </c>
      <c r="D314" s="6">
        <f>INDEX('Fund Master'!$C$2:$C$7,MATCH(B314,'Fund Master'!$A$2:$A$7,0))</f>
        <v/>
      </c>
      <c r="E314" s="8" t="n">
        <v>562433337.6799999</v>
      </c>
      <c r="F314" s="8" t="n">
        <v>20194058.43</v>
      </c>
      <c r="G314" s="8" t="n">
        <v>4644475.57</v>
      </c>
      <c r="H314" s="8" t="n">
        <v>2288163.3</v>
      </c>
      <c r="I314" s="8" t="n">
        <v>495371.48</v>
      </c>
      <c r="J314" s="10" t="n">
        <v>45569620.2532</v>
      </c>
      <c r="K314" s="9">
        <f>E314+F314+G314</f>
        <v/>
      </c>
      <c r="L314" s="9">
        <f>H314+I314</f>
        <v/>
      </c>
      <c r="M314" s="9">
        <f>K314-L314</f>
        <v/>
      </c>
      <c r="N314" s="11">
        <f>IFERROR(M314/J314,0)</f>
        <v/>
      </c>
      <c r="O314" s="11">
        <f>IF((B314=B313),N313,"")</f>
        <v/>
      </c>
      <c r="P314" s="12">
        <f>IF(O314="","",IFERROR((N314-O314)/O314,""))</f>
        <v/>
      </c>
      <c r="Q314" s="13">
        <f>INDEX('Fund Master'!$F$2:$F$7,MATCH(B314,'Fund Master'!$A$2:$A$7,0))</f>
        <v/>
      </c>
      <c r="R314" s="9">
        <f>SUMIFS('Capital Activity'!$E$2:$E$385,'Capital Activity'!$A$2:$A$385,A314,'Capital Activity'!$B$2:$B$385,B314)</f>
        <v/>
      </c>
      <c r="S314" s="6">
        <f>IF(O314="","",IF(ABS(P314)*10000&gt;Q314,"NAV MOVE BREACH",""))</f>
        <v/>
      </c>
      <c r="T314" s="6">
        <f>IF(AND((B314=B313),D314&lt;&gt;"Money Market",E314=E313),"STALE PRICE","")</f>
        <v/>
      </c>
      <c r="U314" s="6">
        <f>IF(F314&lt;0,"NEGATIVE CASH","")</f>
        <v/>
      </c>
      <c r="V314" s="6">
        <f>IF(ABS(R314)&gt;0.05*M314,"LARGE FLOW","")</f>
        <v/>
      </c>
      <c r="W314" s="6">
        <f>(S314&lt;&gt;"")*1+(T314&lt;&gt;"")*1+(U314&lt;&gt;"")*1+(V314&lt;&gt;"")*1</f>
        <v/>
      </c>
      <c r="X314" s="6">
        <f>IF(S314&lt;&gt;"",S314,IF(T314&lt;&gt;"",T314,IF(U314&lt;&gt;"",U314,IF(V314&lt;&gt;"",V314,""))))</f>
        <v/>
      </c>
    </row>
    <row r="315">
      <c r="A315" s="6" t="inlineStr">
        <is>
          <t>2026-06-22</t>
        </is>
      </c>
      <c r="B315" s="6" t="inlineStr">
        <is>
          <t>FIIG</t>
        </is>
      </c>
      <c r="C315" s="6">
        <f>INDEX('Fund Master'!$B$2:$B$7,MATCH(B315,'Fund Master'!$A$2:$A$7,0))</f>
        <v/>
      </c>
      <c r="D315" s="6">
        <f>INDEX('Fund Master'!$C$2:$C$7,MATCH(B315,'Fund Master'!$A$2:$A$7,0))</f>
        <v/>
      </c>
      <c r="E315" s="8" t="n">
        <v>562245535.16</v>
      </c>
      <c r="F315" s="8" t="n">
        <v>20260665.81</v>
      </c>
      <c r="G315" s="8" t="n">
        <v>4760330.74</v>
      </c>
      <c r="H315" s="8" t="n">
        <v>2354286.04</v>
      </c>
      <c r="I315" s="8" t="n">
        <v>504296.01</v>
      </c>
      <c r="J315" s="10" t="n">
        <v>45569620.2532</v>
      </c>
      <c r="K315" s="9">
        <f>E315+F315+G315</f>
        <v/>
      </c>
      <c r="L315" s="9">
        <f>H315+I315</f>
        <v/>
      </c>
      <c r="M315" s="9">
        <f>K315-L315</f>
        <v/>
      </c>
      <c r="N315" s="11">
        <f>IFERROR(M315/J315,0)</f>
        <v/>
      </c>
      <c r="O315" s="11">
        <f>IF((B315=B314),N314,"")</f>
        <v/>
      </c>
      <c r="P315" s="12">
        <f>IF(O315="","",IFERROR((N315-O315)/O315,""))</f>
        <v/>
      </c>
      <c r="Q315" s="13">
        <f>INDEX('Fund Master'!$F$2:$F$7,MATCH(B315,'Fund Master'!$A$2:$A$7,0))</f>
        <v/>
      </c>
      <c r="R315" s="9">
        <f>SUMIFS('Capital Activity'!$E$2:$E$385,'Capital Activity'!$A$2:$A$385,A315,'Capital Activity'!$B$2:$B$385,B315)</f>
        <v/>
      </c>
      <c r="S315" s="6">
        <f>IF(O315="","",IF(ABS(P315)*10000&gt;Q315,"NAV MOVE BREACH",""))</f>
        <v/>
      </c>
      <c r="T315" s="6">
        <f>IF(AND((B315=B314),D315&lt;&gt;"Money Market",E315=E314),"STALE PRICE","")</f>
        <v/>
      </c>
      <c r="U315" s="6">
        <f>IF(F315&lt;0,"NEGATIVE CASH","")</f>
        <v/>
      </c>
      <c r="V315" s="6">
        <f>IF(ABS(R315)&gt;0.05*M315,"LARGE FLOW","")</f>
        <v/>
      </c>
      <c r="W315" s="6">
        <f>(S315&lt;&gt;"")*1+(T315&lt;&gt;"")*1+(U315&lt;&gt;"")*1+(V315&lt;&gt;"")*1</f>
        <v/>
      </c>
      <c r="X315" s="6">
        <f>IF(S315&lt;&gt;"",S315,IF(T315&lt;&gt;"",T315,IF(U315&lt;&gt;"",U315,IF(V315&lt;&gt;"",V315,""))))</f>
        <v/>
      </c>
    </row>
    <row r="316">
      <c r="A316" s="6" t="inlineStr">
        <is>
          <t>2026-06-23</t>
        </is>
      </c>
      <c r="B316" s="6" t="inlineStr">
        <is>
          <t>FIIG</t>
        </is>
      </c>
      <c r="C316" s="6">
        <f>INDEX('Fund Master'!$B$2:$B$7,MATCH(B316,'Fund Master'!$A$2:$A$7,0))</f>
        <v/>
      </c>
      <c r="D316" s="6">
        <f>INDEX('Fund Master'!$C$2:$C$7,MATCH(B316,'Fund Master'!$A$2:$A$7,0))</f>
        <v/>
      </c>
      <c r="E316" s="8" t="n">
        <v>566141651.38</v>
      </c>
      <c r="F316" s="8" t="n">
        <v>20381491.14</v>
      </c>
      <c r="G316" s="8" t="n">
        <v>4820641.88</v>
      </c>
      <c r="H316" s="8" t="n">
        <v>2513356.83</v>
      </c>
      <c r="I316" s="8" t="n">
        <v>513282.38</v>
      </c>
      <c r="J316" s="10" t="n">
        <v>45569620.2532</v>
      </c>
      <c r="K316" s="9">
        <f>E316+F316+G316</f>
        <v/>
      </c>
      <c r="L316" s="9">
        <f>H316+I316</f>
        <v/>
      </c>
      <c r="M316" s="9">
        <f>K316-L316</f>
        <v/>
      </c>
      <c r="N316" s="11">
        <f>IFERROR(M316/J316,0)</f>
        <v/>
      </c>
      <c r="O316" s="11">
        <f>IF((B316=B315),N315,"")</f>
        <v/>
      </c>
      <c r="P316" s="12">
        <f>IF(O316="","",IFERROR((N316-O316)/O316,""))</f>
        <v/>
      </c>
      <c r="Q316" s="13">
        <f>INDEX('Fund Master'!$F$2:$F$7,MATCH(B316,'Fund Master'!$A$2:$A$7,0))</f>
        <v/>
      </c>
      <c r="R316" s="9">
        <f>SUMIFS('Capital Activity'!$E$2:$E$385,'Capital Activity'!$A$2:$A$385,A316,'Capital Activity'!$B$2:$B$385,B316)</f>
        <v/>
      </c>
      <c r="S316" s="6">
        <f>IF(O316="","",IF(ABS(P316)*10000&gt;Q316,"NAV MOVE BREACH",""))</f>
        <v/>
      </c>
      <c r="T316" s="6">
        <f>IF(AND((B316=B315),D316&lt;&gt;"Money Market",E316=E315),"STALE PRICE","")</f>
        <v/>
      </c>
      <c r="U316" s="6">
        <f>IF(F316&lt;0,"NEGATIVE CASH","")</f>
        <v/>
      </c>
      <c r="V316" s="6">
        <f>IF(ABS(R316)&gt;0.05*M316,"LARGE FLOW","")</f>
        <v/>
      </c>
      <c r="W316" s="6">
        <f>(S316&lt;&gt;"")*1+(T316&lt;&gt;"")*1+(U316&lt;&gt;"")*1+(V316&lt;&gt;"")*1</f>
        <v/>
      </c>
      <c r="X316" s="6">
        <f>IF(S316&lt;&gt;"",S316,IF(T316&lt;&gt;"",T316,IF(U316&lt;&gt;"",U316,IF(V316&lt;&gt;"",V316,""))))</f>
        <v/>
      </c>
    </row>
    <row r="317">
      <c r="A317" s="6" t="inlineStr">
        <is>
          <t>2026-06-24</t>
        </is>
      </c>
      <c r="B317" s="6" t="inlineStr">
        <is>
          <t>FIIG</t>
        </is>
      </c>
      <c r="C317" s="6">
        <f>INDEX('Fund Master'!$B$2:$B$7,MATCH(B317,'Fund Master'!$A$2:$A$7,0))</f>
        <v/>
      </c>
      <c r="D317" s="6">
        <f>INDEX('Fund Master'!$C$2:$C$7,MATCH(B317,'Fund Master'!$A$2:$A$7,0))</f>
        <v/>
      </c>
      <c r="E317" s="8" t="n">
        <v>567267392.7</v>
      </c>
      <c r="F317" s="8" t="n">
        <v>20032984.96</v>
      </c>
      <c r="G317" s="8" t="n">
        <v>5052609.65</v>
      </c>
      <c r="H317" s="8" t="n">
        <v>2362286.25</v>
      </c>
      <c r="I317" s="8" t="n">
        <v>522286.63</v>
      </c>
      <c r="J317" s="10" t="n">
        <v>45569620.2532</v>
      </c>
      <c r="K317" s="9">
        <f>E317+F317+G317</f>
        <v/>
      </c>
      <c r="L317" s="9">
        <f>H317+I317</f>
        <v/>
      </c>
      <c r="M317" s="9">
        <f>K317-L317</f>
        <v/>
      </c>
      <c r="N317" s="11">
        <f>IFERROR(M317/J317,0)</f>
        <v/>
      </c>
      <c r="O317" s="11">
        <f>IF((B317=B316),N316,"")</f>
        <v/>
      </c>
      <c r="P317" s="12">
        <f>IF(O317="","",IFERROR((N317-O317)/O317,""))</f>
        <v/>
      </c>
      <c r="Q317" s="13">
        <f>INDEX('Fund Master'!$F$2:$F$7,MATCH(B317,'Fund Master'!$A$2:$A$7,0))</f>
        <v/>
      </c>
      <c r="R317" s="9">
        <f>SUMIFS('Capital Activity'!$E$2:$E$385,'Capital Activity'!$A$2:$A$385,A317,'Capital Activity'!$B$2:$B$385,B317)</f>
        <v/>
      </c>
      <c r="S317" s="6">
        <f>IF(O317="","",IF(ABS(P317)*10000&gt;Q317,"NAV MOVE BREACH",""))</f>
        <v/>
      </c>
      <c r="T317" s="6">
        <f>IF(AND((B317=B316),D317&lt;&gt;"Money Market",E317=E316),"STALE PRICE","")</f>
        <v/>
      </c>
      <c r="U317" s="6">
        <f>IF(F317&lt;0,"NEGATIVE CASH","")</f>
        <v/>
      </c>
      <c r="V317" s="6">
        <f>IF(ABS(R317)&gt;0.05*M317,"LARGE FLOW","")</f>
        <v/>
      </c>
      <c r="W317" s="6">
        <f>(S317&lt;&gt;"")*1+(T317&lt;&gt;"")*1+(U317&lt;&gt;"")*1+(V317&lt;&gt;"")*1</f>
        <v/>
      </c>
      <c r="X317" s="6">
        <f>IF(S317&lt;&gt;"",S317,IF(T317&lt;&gt;"",T317,IF(U317&lt;&gt;"",U317,IF(V317&lt;&gt;"",V317,""))))</f>
        <v/>
      </c>
    </row>
    <row r="318">
      <c r="A318" s="6" t="inlineStr">
        <is>
          <t>2026-06-25</t>
        </is>
      </c>
      <c r="B318" s="6" t="inlineStr">
        <is>
          <t>FIIG</t>
        </is>
      </c>
      <c r="C318" s="6">
        <f>INDEX('Fund Master'!$B$2:$B$7,MATCH(B318,'Fund Master'!$A$2:$A$7,0))</f>
        <v/>
      </c>
      <c r="D318" s="6">
        <f>INDEX('Fund Master'!$C$2:$C$7,MATCH(B318,'Fund Master'!$A$2:$A$7,0))</f>
        <v/>
      </c>
      <c r="E318" s="8" t="n">
        <v>567278972.12</v>
      </c>
      <c r="F318" s="8" t="n">
        <v>20145293.89</v>
      </c>
      <c r="G318" s="8" t="n">
        <v>5096464.59</v>
      </c>
      <c r="H318" s="8" t="n">
        <v>2419777.7</v>
      </c>
      <c r="I318" s="8" t="n">
        <v>531291.0600000001</v>
      </c>
      <c r="J318" s="10" t="n">
        <v>45569620.2532</v>
      </c>
      <c r="K318" s="9">
        <f>E318+F318+G318</f>
        <v/>
      </c>
      <c r="L318" s="9">
        <f>H318+I318</f>
        <v/>
      </c>
      <c r="M318" s="9">
        <f>K318-L318</f>
        <v/>
      </c>
      <c r="N318" s="11">
        <f>IFERROR(M318/J318,0)</f>
        <v/>
      </c>
      <c r="O318" s="11">
        <f>IF((B318=B317),N317,"")</f>
        <v/>
      </c>
      <c r="P318" s="12">
        <f>IF(O318="","",IFERROR((N318-O318)/O318,""))</f>
        <v/>
      </c>
      <c r="Q318" s="13">
        <f>INDEX('Fund Master'!$F$2:$F$7,MATCH(B318,'Fund Master'!$A$2:$A$7,0))</f>
        <v/>
      </c>
      <c r="R318" s="9">
        <f>SUMIFS('Capital Activity'!$E$2:$E$385,'Capital Activity'!$A$2:$A$385,A318,'Capital Activity'!$B$2:$B$385,B318)</f>
        <v/>
      </c>
      <c r="S318" s="6">
        <f>IF(O318="","",IF(ABS(P318)*10000&gt;Q318,"NAV MOVE BREACH",""))</f>
        <v/>
      </c>
      <c r="T318" s="6">
        <f>IF(AND((B318=B317),D318&lt;&gt;"Money Market",E318=E317),"STALE PRICE","")</f>
        <v/>
      </c>
      <c r="U318" s="6">
        <f>IF(F318&lt;0,"NEGATIVE CASH","")</f>
        <v/>
      </c>
      <c r="V318" s="6">
        <f>IF(ABS(R318)&gt;0.05*M318,"LARGE FLOW","")</f>
        <v/>
      </c>
      <c r="W318" s="6">
        <f>(S318&lt;&gt;"")*1+(T318&lt;&gt;"")*1+(U318&lt;&gt;"")*1+(V318&lt;&gt;"")*1</f>
        <v/>
      </c>
      <c r="X318" s="6">
        <f>IF(S318&lt;&gt;"",S318,IF(T318&lt;&gt;"",T318,IF(U318&lt;&gt;"",U318,IF(V318&lt;&gt;"",V318,""))))</f>
        <v/>
      </c>
    </row>
    <row r="319">
      <c r="A319" s="6" t="inlineStr">
        <is>
          <t>2026-06-26</t>
        </is>
      </c>
      <c r="B319" s="6" t="inlineStr">
        <is>
          <t>FIIG</t>
        </is>
      </c>
      <c r="C319" s="6">
        <f>INDEX('Fund Master'!$B$2:$B$7,MATCH(B319,'Fund Master'!$A$2:$A$7,0))</f>
        <v/>
      </c>
      <c r="D319" s="6">
        <f>INDEX('Fund Master'!$C$2:$C$7,MATCH(B319,'Fund Master'!$A$2:$A$7,0))</f>
        <v/>
      </c>
      <c r="E319" s="8" t="n">
        <v>567004614.12</v>
      </c>
      <c r="F319" s="8" t="n">
        <v>20463535.97</v>
      </c>
      <c r="G319" s="8" t="n">
        <v>5255864.21</v>
      </c>
      <c r="H319" s="8" t="n">
        <v>2251553.17</v>
      </c>
      <c r="I319" s="8" t="n">
        <v>540291.13</v>
      </c>
      <c r="J319" s="10" t="n">
        <v>45569620.2532</v>
      </c>
      <c r="K319" s="9">
        <f>E319+F319+G319</f>
        <v/>
      </c>
      <c r="L319" s="9">
        <f>H319+I319</f>
        <v/>
      </c>
      <c r="M319" s="9">
        <f>K319-L319</f>
        <v/>
      </c>
      <c r="N319" s="11">
        <f>IFERROR(M319/J319,0)</f>
        <v/>
      </c>
      <c r="O319" s="11">
        <f>IF((B319=B318),N318,"")</f>
        <v/>
      </c>
      <c r="P319" s="12">
        <f>IF(O319="","",IFERROR((N319-O319)/O319,""))</f>
        <v/>
      </c>
      <c r="Q319" s="13">
        <f>INDEX('Fund Master'!$F$2:$F$7,MATCH(B319,'Fund Master'!$A$2:$A$7,0))</f>
        <v/>
      </c>
      <c r="R319" s="9">
        <f>SUMIFS('Capital Activity'!$E$2:$E$385,'Capital Activity'!$A$2:$A$385,A319,'Capital Activity'!$B$2:$B$385,B319)</f>
        <v/>
      </c>
      <c r="S319" s="6">
        <f>IF(O319="","",IF(ABS(P319)*10000&gt;Q319,"NAV MOVE BREACH",""))</f>
        <v/>
      </c>
      <c r="T319" s="6">
        <f>IF(AND((B319=B318),D319&lt;&gt;"Money Market",E319=E318),"STALE PRICE","")</f>
        <v/>
      </c>
      <c r="U319" s="6">
        <f>IF(F319&lt;0,"NEGATIVE CASH","")</f>
        <v/>
      </c>
      <c r="V319" s="6">
        <f>IF(ABS(R319)&gt;0.05*M319,"LARGE FLOW","")</f>
        <v/>
      </c>
      <c r="W319" s="6">
        <f>(S319&lt;&gt;"")*1+(T319&lt;&gt;"")*1+(U319&lt;&gt;"")*1+(V319&lt;&gt;"")*1</f>
        <v/>
      </c>
      <c r="X319" s="6">
        <f>IF(S319&lt;&gt;"",S319,IF(T319&lt;&gt;"",T319,IF(U319&lt;&gt;"",U319,IF(V319&lt;&gt;"",V319,""))))</f>
        <v/>
      </c>
    </row>
    <row r="320">
      <c r="A320" s="6" t="inlineStr">
        <is>
          <t>2026-06-29</t>
        </is>
      </c>
      <c r="B320" s="6" t="inlineStr">
        <is>
          <t>FIIG</t>
        </is>
      </c>
      <c r="C320" s="6">
        <f>INDEX('Fund Master'!$B$2:$B$7,MATCH(B320,'Fund Master'!$A$2:$A$7,0))</f>
        <v/>
      </c>
      <c r="D320" s="6">
        <f>INDEX('Fund Master'!$C$2:$C$7,MATCH(B320,'Fund Master'!$A$2:$A$7,0))</f>
        <v/>
      </c>
      <c r="E320" s="8" t="n">
        <v>566645599.38</v>
      </c>
      <c r="F320" s="8" t="n">
        <v>20918301.84</v>
      </c>
      <c r="G320" s="8" t="n">
        <v>5232129.51</v>
      </c>
      <c r="H320" s="8" t="n">
        <v>2267205.3</v>
      </c>
      <c r="I320" s="8" t="n">
        <v>549285.5</v>
      </c>
      <c r="J320" s="10" t="n">
        <v>45569620.2532</v>
      </c>
      <c r="K320" s="9">
        <f>E320+F320+G320</f>
        <v/>
      </c>
      <c r="L320" s="9">
        <f>H320+I320</f>
        <v/>
      </c>
      <c r="M320" s="9">
        <f>K320-L320</f>
        <v/>
      </c>
      <c r="N320" s="11">
        <f>IFERROR(M320/J320,0)</f>
        <v/>
      </c>
      <c r="O320" s="11">
        <f>IF((B320=B319),N319,"")</f>
        <v/>
      </c>
      <c r="P320" s="12">
        <f>IF(O320="","",IFERROR((N320-O320)/O320,""))</f>
        <v/>
      </c>
      <c r="Q320" s="13">
        <f>INDEX('Fund Master'!$F$2:$F$7,MATCH(B320,'Fund Master'!$A$2:$A$7,0))</f>
        <v/>
      </c>
      <c r="R320" s="9">
        <f>SUMIFS('Capital Activity'!$E$2:$E$385,'Capital Activity'!$A$2:$A$385,A320,'Capital Activity'!$B$2:$B$385,B320)</f>
        <v/>
      </c>
      <c r="S320" s="6">
        <f>IF(O320="","",IF(ABS(P320)*10000&gt;Q320,"NAV MOVE BREACH",""))</f>
        <v/>
      </c>
      <c r="T320" s="6">
        <f>IF(AND((B320=B319),D320&lt;&gt;"Money Market",E320=E319),"STALE PRICE","")</f>
        <v/>
      </c>
      <c r="U320" s="6">
        <f>IF(F320&lt;0,"NEGATIVE CASH","")</f>
        <v/>
      </c>
      <c r="V320" s="6">
        <f>IF(ABS(R320)&gt;0.05*M320,"LARGE FLOW","")</f>
        <v/>
      </c>
      <c r="W320" s="6">
        <f>(S320&lt;&gt;"")*1+(T320&lt;&gt;"")*1+(U320&lt;&gt;"")*1+(V320&lt;&gt;"")*1</f>
        <v/>
      </c>
      <c r="X320" s="6">
        <f>IF(S320&lt;&gt;"",S320,IF(T320&lt;&gt;"",T320,IF(U320&lt;&gt;"",U320,IF(V320&lt;&gt;"",V320,""))))</f>
        <v/>
      </c>
    </row>
    <row r="321">
      <c r="A321" s="6" t="inlineStr">
        <is>
          <t>2026-06-30</t>
        </is>
      </c>
      <c r="B321" s="6" t="inlineStr">
        <is>
          <t>FIIG</t>
        </is>
      </c>
      <c r="C321" s="6">
        <f>INDEX('Fund Master'!$B$2:$B$7,MATCH(B321,'Fund Master'!$A$2:$A$7,0))</f>
        <v/>
      </c>
      <c r="D321" s="6">
        <f>INDEX('Fund Master'!$C$2:$C$7,MATCH(B321,'Fund Master'!$A$2:$A$7,0))</f>
        <v/>
      </c>
      <c r="E321" s="8" t="n">
        <v>565019570.03</v>
      </c>
      <c r="F321" s="8" t="n">
        <v>20370081.14</v>
      </c>
      <c r="G321" s="8" t="n">
        <v>5433337.92</v>
      </c>
      <c r="H321" s="8" t="n">
        <v>2145847.46</v>
      </c>
      <c r="I321" s="8" t="n">
        <v>558254.0699999999</v>
      </c>
      <c r="J321" s="10" t="n">
        <v>45569620.2532</v>
      </c>
      <c r="K321" s="9">
        <f>E321+F321+G321</f>
        <v/>
      </c>
      <c r="L321" s="9">
        <f>H321+I321</f>
        <v/>
      </c>
      <c r="M321" s="9">
        <f>K321-L321</f>
        <v/>
      </c>
      <c r="N321" s="11">
        <f>IFERROR(M321/J321,0)</f>
        <v/>
      </c>
      <c r="O321" s="11">
        <f>IF((B321=B320),N320,"")</f>
        <v/>
      </c>
      <c r="P321" s="12">
        <f>IF(O321="","",IFERROR((N321-O321)/O321,""))</f>
        <v/>
      </c>
      <c r="Q321" s="13">
        <f>INDEX('Fund Master'!$F$2:$F$7,MATCH(B321,'Fund Master'!$A$2:$A$7,0))</f>
        <v/>
      </c>
      <c r="R321" s="9">
        <f>SUMIFS('Capital Activity'!$E$2:$E$385,'Capital Activity'!$A$2:$A$385,A321,'Capital Activity'!$B$2:$B$385,B321)</f>
        <v/>
      </c>
      <c r="S321" s="6">
        <f>IF(O321="","",IF(ABS(P321)*10000&gt;Q321,"NAV MOVE BREACH",""))</f>
        <v/>
      </c>
      <c r="T321" s="6">
        <f>IF(AND((B321=B320),D321&lt;&gt;"Money Market",E321=E320),"STALE PRICE","")</f>
        <v/>
      </c>
      <c r="U321" s="6">
        <f>IF(F321&lt;0,"NEGATIVE CASH","")</f>
        <v/>
      </c>
      <c r="V321" s="6">
        <f>IF(ABS(R321)&gt;0.05*M321,"LARGE FLOW","")</f>
        <v/>
      </c>
      <c r="W321" s="6">
        <f>(S321&lt;&gt;"")*1+(T321&lt;&gt;"")*1+(U321&lt;&gt;"")*1+(V321&lt;&gt;"")*1</f>
        <v/>
      </c>
      <c r="X321" s="6">
        <f>IF(S321&lt;&gt;"",S321,IF(T321&lt;&gt;"",T321,IF(U321&lt;&gt;"",U321,IF(V321&lt;&gt;"",V321,""))))</f>
        <v/>
      </c>
    </row>
    <row r="322">
      <c r="A322" s="6" t="inlineStr">
        <is>
          <t>2026-04-01</t>
        </is>
      </c>
      <c r="B322" s="6" t="inlineStr">
        <is>
          <t>MMUS</t>
        </is>
      </c>
      <c r="C322" s="6">
        <f>INDEX('Fund Master'!$B$2:$B$7,MATCH(B322,'Fund Master'!$A$2:$A$7,0))</f>
        <v/>
      </c>
      <c r="D322" s="6">
        <f>INDEX('Fund Master'!$C$2:$C$7,MATCH(B322,'Fund Master'!$A$2:$A$7,0))</f>
        <v/>
      </c>
      <c r="E322" s="8" t="n">
        <v>810099403.22</v>
      </c>
      <c r="F322" s="8" t="n">
        <v>24281405.06</v>
      </c>
      <c r="G322" s="8" t="n">
        <v>4841641.44</v>
      </c>
      <c r="H322" s="8" t="n">
        <v>4003960.66</v>
      </c>
      <c r="I322" s="8" t="n">
        <v>5786.42</v>
      </c>
      <c r="J322" s="10" t="n">
        <v>810000000</v>
      </c>
      <c r="K322" s="9">
        <f>E322+F322+G322</f>
        <v/>
      </c>
      <c r="L322" s="9">
        <f>H322+I322</f>
        <v/>
      </c>
      <c r="M322" s="9">
        <f>K322-L322</f>
        <v/>
      </c>
      <c r="N322" s="11">
        <f>IFERROR(M322/J322,0)</f>
        <v/>
      </c>
      <c r="O322" s="11">
        <f>IF((B322=B321),N321,"")</f>
        <v/>
      </c>
      <c r="P322" s="12">
        <f>IF(O322="","",IFERROR((N322-O322)/O322,""))</f>
        <v/>
      </c>
      <c r="Q322" s="13">
        <f>INDEX('Fund Master'!$F$2:$F$7,MATCH(B322,'Fund Master'!$A$2:$A$7,0))</f>
        <v/>
      </c>
      <c r="R322" s="9">
        <f>SUMIFS('Capital Activity'!$E$2:$E$385,'Capital Activity'!$A$2:$A$385,A322,'Capital Activity'!$B$2:$B$385,B322)</f>
        <v/>
      </c>
      <c r="S322" s="6">
        <f>IF(O322="","",IF(ABS(P322)*10000&gt;Q322,"NAV MOVE BREACH",""))</f>
        <v/>
      </c>
      <c r="T322" s="6">
        <f>IF(AND((B322=B321),D322&lt;&gt;"Money Market",E322=E321),"STALE PRICE","")</f>
        <v/>
      </c>
      <c r="U322" s="6">
        <f>IF(F322&lt;0,"NEGATIVE CASH","")</f>
        <v/>
      </c>
      <c r="V322" s="6">
        <f>IF(ABS(R322)&gt;0.05*M322,"LARGE FLOW","")</f>
        <v/>
      </c>
      <c r="W322" s="6">
        <f>(S322&lt;&gt;"")*1+(T322&lt;&gt;"")*1+(U322&lt;&gt;"")*1+(V322&lt;&gt;"")*1</f>
        <v/>
      </c>
      <c r="X322" s="6">
        <f>IF(S322&lt;&gt;"",S322,IF(T322&lt;&gt;"",T322,IF(U322&lt;&gt;"",U322,IF(V322&lt;&gt;"",V322,""))))</f>
        <v/>
      </c>
    </row>
    <row r="323">
      <c r="A323" s="6" t="inlineStr">
        <is>
          <t>2026-04-02</t>
        </is>
      </c>
      <c r="B323" s="6" t="inlineStr">
        <is>
          <t>MMUS</t>
        </is>
      </c>
      <c r="C323" s="6">
        <f>INDEX('Fund Master'!$B$2:$B$7,MATCH(B323,'Fund Master'!$A$2:$A$7,0))</f>
        <v/>
      </c>
      <c r="D323" s="6">
        <f>INDEX('Fund Master'!$C$2:$C$7,MATCH(B323,'Fund Master'!$A$2:$A$7,0))</f>
        <v/>
      </c>
      <c r="E323" s="8" t="n">
        <v>810384762.22</v>
      </c>
      <c r="F323" s="8" t="n">
        <v>24271437.04</v>
      </c>
      <c r="G323" s="8" t="n">
        <v>4833586.45</v>
      </c>
      <c r="H323" s="8" t="n">
        <v>4012968.81</v>
      </c>
      <c r="I323" s="8" t="n">
        <v>11574.89</v>
      </c>
      <c r="J323" s="10" t="n">
        <v>810000000</v>
      </c>
      <c r="K323" s="9">
        <f>E323+F323+G323</f>
        <v/>
      </c>
      <c r="L323" s="9">
        <f>H323+I323</f>
        <v/>
      </c>
      <c r="M323" s="9">
        <f>K323-L323</f>
        <v/>
      </c>
      <c r="N323" s="11">
        <f>IFERROR(M323/J323,0)</f>
        <v/>
      </c>
      <c r="O323" s="11">
        <f>IF((B323=B322),N322,"")</f>
        <v/>
      </c>
      <c r="P323" s="12">
        <f>IF(O323="","",IFERROR((N323-O323)/O323,""))</f>
        <v/>
      </c>
      <c r="Q323" s="13">
        <f>INDEX('Fund Master'!$F$2:$F$7,MATCH(B323,'Fund Master'!$A$2:$A$7,0))</f>
        <v/>
      </c>
      <c r="R323" s="9">
        <f>SUMIFS('Capital Activity'!$E$2:$E$385,'Capital Activity'!$A$2:$A$385,A323,'Capital Activity'!$B$2:$B$385,B323)</f>
        <v/>
      </c>
      <c r="S323" s="6">
        <f>IF(O323="","",IF(ABS(P323)*10000&gt;Q323,"NAV MOVE BREACH",""))</f>
        <v/>
      </c>
      <c r="T323" s="6">
        <f>IF(AND((B323=B322),D323&lt;&gt;"Money Market",E323=E322),"STALE PRICE","")</f>
        <v/>
      </c>
      <c r="U323" s="6">
        <f>IF(F323&lt;0,"NEGATIVE CASH","")</f>
        <v/>
      </c>
      <c r="V323" s="6">
        <f>IF(ABS(R323)&gt;0.05*M323,"LARGE FLOW","")</f>
        <v/>
      </c>
      <c r="W323" s="6">
        <f>(S323&lt;&gt;"")*1+(T323&lt;&gt;"")*1+(U323&lt;&gt;"")*1+(V323&lt;&gt;"")*1</f>
        <v/>
      </c>
      <c r="X323" s="6">
        <f>IF(S323&lt;&gt;"",S323,IF(T323&lt;&gt;"",T323,IF(U323&lt;&gt;"",U323,IF(V323&lt;&gt;"",V323,""))))</f>
        <v/>
      </c>
    </row>
    <row r="324">
      <c r="A324" s="6" t="inlineStr">
        <is>
          <t>2026-04-03</t>
        </is>
      </c>
      <c r="B324" s="6" t="inlineStr">
        <is>
          <t>MMUS</t>
        </is>
      </c>
      <c r="C324" s="6">
        <f>INDEX('Fund Master'!$B$2:$B$7,MATCH(B324,'Fund Master'!$A$2:$A$7,0))</f>
        <v/>
      </c>
      <c r="D324" s="6">
        <f>INDEX('Fund Master'!$C$2:$C$7,MATCH(B324,'Fund Master'!$A$2:$A$7,0))</f>
        <v/>
      </c>
      <c r="E324" s="8" t="n">
        <v>810525133.88</v>
      </c>
      <c r="F324" s="8" t="n">
        <v>24325364.26</v>
      </c>
      <c r="G324" s="8" t="n">
        <v>4832800.16</v>
      </c>
      <c r="H324" s="8" t="n">
        <v>4010362.27</v>
      </c>
      <c r="I324" s="8" t="n">
        <v>17364.35</v>
      </c>
      <c r="J324" s="10" t="n">
        <v>810000000</v>
      </c>
      <c r="K324" s="9">
        <f>E324+F324+G324</f>
        <v/>
      </c>
      <c r="L324" s="9">
        <f>H324+I324</f>
        <v/>
      </c>
      <c r="M324" s="9">
        <f>K324-L324</f>
        <v/>
      </c>
      <c r="N324" s="11">
        <f>IFERROR(M324/J324,0)</f>
        <v/>
      </c>
      <c r="O324" s="11">
        <f>IF((B324=B323),N323,"")</f>
        <v/>
      </c>
      <c r="P324" s="12">
        <f>IF(O324="","",IFERROR((N324-O324)/O324,""))</f>
        <v/>
      </c>
      <c r="Q324" s="13">
        <f>INDEX('Fund Master'!$F$2:$F$7,MATCH(B324,'Fund Master'!$A$2:$A$7,0))</f>
        <v/>
      </c>
      <c r="R324" s="9">
        <f>SUMIFS('Capital Activity'!$E$2:$E$385,'Capital Activity'!$A$2:$A$385,A324,'Capital Activity'!$B$2:$B$385,B324)</f>
        <v/>
      </c>
      <c r="S324" s="6">
        <f>IF(O324="","",IF(ABS(P324)*10000&gt;Q324,"NAV MOVE BREACH",""))</f>
        <v/>
      </c>
      <c r="T324" s="6">
        <f>IF(AND((B324=B323),D324&lt;&gt;"Money Market",E324=E323),"STALE PRICE","")</f>
        <v/>
      </c>
      <c r="U324" s="6">
        <f>IF(F324&lt;0,"NEGATIVE CASH","")</f>
        <v/>
      </c>
      <c r="V324" s="6">
        <f>IF(ABS(R324)&gt;0.05*M324,"LARGE FLOW","")</f>
        <v/>
      </c>
      <c r="W324" s="6">
        <f>(S324&lt;&gt;"")*1+(T324&lt;&gt;"")*1+(U324&lt;&gt;"")*1+(V324&lt;&gt;"")*1</f>
        <v/>
      </c>
      <c r="X324" s="6">
        <f>IF(S324&lt;&gt;"",S324,IF(T324&lt;&gt;"",T324,IF(U324&lt;&gt;"",U324,IF(V324&lt;&gt;"",V324,""))))</f>
        <v/>
      </c>
    </row>
    <row r="325">
      <c r="A325" s="6" t="inlineStr">
        <is>
          <t>2026-04-06</t>
        </is>
      </c>
      <c r="B325" s="6" t="inlineStr">
        <is>
          <t>MMUS</t>
        </is>
      </c>
      <c r="C325" s="6">
        <f>INDEX('Fund Master'!$B$2:$B$7,MATCH(B325,'Fund Master'!$A$2:$A$7,0))</f>
        <v/>
      </c>
      <c r="D325" s="6">
        <f>INDEX('Fund Master'!$C$2:$C$7,MATCH(B325,'Fund Master'!$A$2:$A$7,0))</f>
        <v/>
      </c>
      <c r="E325" s="8" t="n">
        <v>810504631.01</v>
      </c>
      <c r="F325" s="8" t="n">
        <v>24339636.5</v>
      </c>
      <c r="G325" s="8" t="n">
        <v>4847487.2</v>
      </c>
      <c r="H325" s="8" t="n">
        <v>3997241.22</v>
      </c>
      <c r="I325" s="8" t="n">
        <v>23153.67</v>
      </c>
      <c r="J325" s="10" t="n">
        <v>810000000</v>
      </c>
      <c r="K325" s="9">
        <f>E325+F325+G325</f>
        <v/>
      </c>
      <c r="L325" s="9">
        <f>H325+I325</f>
        <v/>
      </c>
      <c r="M325" s="9">
        <f>K325-L325</f>
        <v/>
      </c>
      <c r="N325" s="11">
        <f>IFERROR(M325/J325,0)</f>
        <v/>
      </c>
      <c r="O325" s="11">
        <f>IF((B325=B324),N324,"")</f>
        <v/>
      </c>
      <c r="P325" s="12">
        <f>IF(O325="","",IFERROR((N325-O325)/O325,""))</f>
        <v/>
      </c>
      <c r="Q325" s="13">
        <f>INDEX('Fund Master'!$F$2:$F$7,MATCH(B325,'Fund Master'!$A$2:$A$7,0))</f>
        <v/>
      </c>
      <c r="R325" s="9">
        <f>SUMIFS('Capital Activity'!$E$2:$E$385,'Capital Activity'!$A$2:$A$385,A325,'Capital Activity'!$B$2:$B$385,B325)</f>
        <v/>
      </c>
      <c r="S325" s="6">
        <f>IF(O325="","",IF(ABS(P325)*10000&gt;Q325,"NAV MOVE BREACH",""))</f>
        <v/>
      </c>
      <c r="T325" s="6">
        <f>IF(AND((B325=B324),D325&lt;&gt;"Money Market",E325=E324),"STALE PRICE","")</f>
        <v/>
      </c>
      <c r="U325" s="6">
        <f>IF(F325&lt;0,"NEGATIVE CASH","")</f>
        <v/>
      </c>
      <c r="V325" s="6">
        <f>IF(ABS(R325)&gt;0.05*M325,"LARGE FLOW","")</f>
        <v/>
      </c>
      <c r="W325" s="6">
        <f>(S325&lt;&gt;"")*1+(T325&lt;&gt;"")*1+(U325&lt;&gt;"")*1+(V325&lt;&gt;"")*1</f>
        <v/>
      </c>
      <c r="X325" s="6">
        <f>IF(S325&lt;&gt;"",S325,IF(T325&lt;&gt;"",T325,IF(U325&lt;&gt;"",U325,IF(V325&lt;&gt;"",V325,""))))</f>
        <v/>
      </c>
    </row>
    <row r="326">
      <c r="A326" s="6" t="inlineStr">
        <is>
          <t>2026-04-07</t>
        </is>
      </c>
      <c r="B326" s="6" t="inlineStr">
        <is>
          <t>MMUS</t>
        </is>
      </c>
      <c r="C326" s="6">
        <f>INDEX('Fund Master'!$B$2:$B$7,MATCH(B326,'Fund Master'!$A$2:$A$7,0))</f>
        <v/>
      </c>
      <c r="D326" s="6">
        <f>INDEX('Fund Master'!$C$2:$C$7,MATCH(B326,'Fund Master'!$A$2:$A$7,0))</f>
        <v/>
      </c>
      <c r="E326" s="8" t="n">
        <v>810517377.45</v>
      </c>
      <c r="F326" s="8" t="n">
        <v>24309737.87</v>
      </c>
      <c r="G326" s="8" t="n">
        <v>4808265.65</v>
      </c>
      <c r="H326" s="8" t="n">
        <v>4011634.76</v>
      </c>
      <c r="I326" s="8" t="n">
        <v>28943.08</v>
      </c>
      <c r="J326" s="10" t="n">
        <v>810000000</v>
      </c>
      <c r="K326" s="9">
        <f>E326+F326+G326</f>
        <v/>
      </c>
      <c r="L326" s="9">
        <f>H326+I326</f>
        <v/>
      </c>
      <c r="M326" s="9">
        <f>K326-L326</f>
        <v/>
      </c>
      <c r="N326" s="11">
        <f>IFERROR(M326/J326,0)</f>
        <v/>
      </c>
      <c r="O326" s="11">
        <f>IF((B326=B325),N325,"")</f>
        <v/>
      </c>
      <c r="P326" s="12">
        <f>IF(O326="","",IFERROR((N326-O326)/O326,""))</f>
        <v/>
      </c>
      <c r="Q326" s="13">
        <f>INDEX('Fund Master'!$F$2:$F$7,MATCH(B326,'Fund Master'!$A$2:$A$7,0))</f>
        <v/>
      </c>
      <c r="R326" s="9">
        <f>SUMIFS('Capital Activity'!$E$2:$E$385,'Capital Activity'!$A$2:$A$385,A326,'Capital Activity'!$B$2:$B$385,B326)</f>
        <v/>
      </c>
      <c r="S326" s="6">
        <f>IF(O326="","",IF(ABS(P326)*10000&gt;Q326,"NAV MOVE BREACH",""))</f>
        <v/>
      </c>
      <c r="T326" s="6">
        <f>IF(AND((B326=B325),D326&lt;&gt;"Money Market",E326=E325),"STALE PRICE","")</f>
        <v/>
      </c>
      <c r="U326" s="6">
        <f>IF(F326&lt;0,"NEGATIVE CASH","")</f>
        <v/>
      </c>
      <c r="V326" s="6">
        <f>IF(ABS(R326)&gt;0.05*M326,"LARGE FLOW","")</f>
        <v/>
      </c>
      <c r="W326" s="6">
        <f>(S326&lt;&gt;"")*1+(T326&lt;&gt;"")*1+(U326&lt;&gt;"")*1+(V326&lt;&gt;"")*1</f>
        <v/>
      </c>
      <c r="X326" s="6">
        <f>IF(S326&lt;&gt;"",S326,IF(T326&lt;&gt;"",T326,IF(U326&lt;&gt;"",U326,IF(V326&lt;&gt;"",V326,""))))</f>
        <v/>
      </c>
    </row>
    <row r="327">
      <c r="A327" s="6" t="inlineStr">
        <is>
          <t>2026-04-08</t>
        </is>
      </c>
      <c r="B327" s="6" t="inlineStr">
        <is>
          <t>MMUS</t>
        </is>
      </c>
      <c r="C327" s="6">
        <f>INDEX('Fund Master'!$B$2:$B$7,MATCH(B327,'Fund Master'!$A$2:$A$7,0))</f>
        <v/>
      </c>
      <c r="D327" s="6">
        <f>INDEX('Fund Master'!$C$2:$C$7,MATCH(B327,'Fund Master'!$A$2:$A$7,0))</f>
        <v/>
      </c>
      <c r="E327" s="8" t="n">
        <v>810544447.22</v>
      </c>
      <c r="F327" s="8" t="n">
        <v>24331459.36</v>
      </c>
      <c r="G327" s="8" t="n">
        <v>4783095.98</v>
      </c>
      <c r="H327" s="8" t="n">
        <v>4003192.33</v>
      </c>
      <c r="I327" s="8" t="n">
        <v>34732.68</v>
      </c>
      <c r="J327" s="10" t="n">
        <v>810000000</v>
      </c>
      <c r="K327" s="9">
        <f>E327+F327+G327</f>
        <v/>
      </c>
      <c r="L327" s="9">
        <f>H327+I327</f>
        <v/>
      </c>
      <c r="M327" s="9">
        <f>K327-L327</f>
        <v/>
      </c>
      <c r="N327" s="11">
        <f>IFERROR(M327/J327,0)</f>
        <v/>
      </c>
      <c r="O327" s="11">
        <f>IF((B327=B326),N326,"")</f>
        <v/>
      </c>
      <c r="P327" s="12">
        <f>IF(O327="","",IFERROR((N327-O327)/O327,""))</f>
        <v/>
      </c>
      <c r="Q327" s="13">
        <f>INDEX('Fund Master'!$F$2:$F$7,MATCH(B327,'Fund Master'!$A$2:$A$7,0))</f>
        <v/>
      </c>
      <c r="R327" s="9">
        <f>SUMIFS('Capital Activity'!$E$2:$E$385,'Capital Activity'!$A$2:$A$385,A327,'Capital Activity'!$B$2:$B$385,B327)</f>
        <v/>
      </c>
      <c r="S327" s="6">
        <f>IF(O327="","",IF(ABS(P327)*10000&gt;Q327,"NAV MOVE BREACH",""))</f>
        <v/>
      </c>
      <c r="T327" s="6">
        <f>IF(AND((B327=B326),D327&lt;&gt;"Money Market",E327=E326),"STALE PRICE","")</f>
        <v/>
      </c>
      <c r="U327" s="6">
        <f>IF(F327&lt;0,"NEGATIVE CASH","")</f>
        <v/>
      </c>
      <c r="V327" s="6">
        <f>IF(ABS(R327)&gt;0.05*M327,"LARGE FLOW","")</f>
        <v/>
      </c>
      <c r="W327" s="6">
        <f>(S327&lt;&gt;"")*1+(T327&lt;&gt;"")*1+(U327&lt;&gt;"")*1+(V327&lt;&gt;"")*1</f>
        <v/>
      </c>
      <c r="X327" s="6">
        <f>IF(S327&lt;&gt;"",S327,IF(T327&lt;&gt;"",T327,IF(U327&lt;&gt;"",U327,IF(V327&lt;&gt;"",V327,""))))</f>
        <v/>
      </c>
    </row>
    <row r="328">
      <c r="A328" s="6" t="inlineStr">
        <is>
          <t>2026-04-09</t>
        </is>
      </c>
      <c r="B328" s="6" t="inlineStr">
        <is>
          <t>MMUS</t>
        </is>
      </c>
      <c r="C328" s="6">
        <f>INDEX('Fund Master'!$B$2:$B$7,MATCH(B328,'Fund Master'!$A$2:$A$7,0))</f>
        <v/>
      </c>
      <c r="D328" s="6">
        <f>INDEX('Fund Master'!$C$2:$C$7,MATCH(B328,'Fund Master'!$A$2:$A$7,0))</f>
        <v/>
      </c>
      <c r="E328" s="8" t="n">
        <v>810608246.46</v>
      </c>
      <c r="F328" s="8" t="n">
        <v>24278391.71</v>
      </c>
      <c r="G328" s="8" t="n">
        <v>4791034.31</v>
      </c>
      <c r="H328" s="8" t="n">
        <v>4002929.6</v>
      </c>
      <c r="I328" s="8" t="n">
        <v>40522.74</v>
      </c>
      <c r="J328" s="10" t="n">
        <v>810000000</v>
      </c>
      <c r="K328" s="9">
        <f>E328+F328+G328</f>
        <v/>
      </c>
      <c r="L328" s="9">
        <f>H328+I328</f>
        <v/>
      </c>
      <c r="M328" s="9">
        <f>K328-L328</f>
        <v/>
      </c>
      <c r="N328" s="11">
        <f>IFERROR(M328/J328,0)</f>
        <v/>
      </c>
      <c r="O328" s="11">
        <f>IF((B328=B327),N327,"")</f>
        <v/>
      </c>
      <c r="P328" s="12">
        <f>IF(O328="","",IFERROR((N328-O328)/O328,""))</f>
        <v/>
      </c>
      <c r="Q328" s="13">
        <f>INDEX('Fund Master'!$F$2:$F$7,MATCH(B328,'Fund Master'!$A$2:$A$7,0))</f>
        <v/>
      </c>
      <c r="R328" s="9">
        <f>SUMIFS('Capital Activity'!$E$2:$E$385,'Capital Activity'!$A$2:$A$385,A328,'Capital Activity'!$B$2:$B$385,B328)</f>
        <v/>
      </c>
      <c r="S328" s="6">
        <f>IF(O328="","",IF(ABS(P328)*10000&gt;Q328,"NAV MOVE BREACH",""))</f>
        <v/>
      </c>
      <c r="T328" s="6">
        <f>IF(AND((B328=B327),D328&lt;&gt;"Money Market",E328=E327),"STALE PRICE","")</f>
        <v/>
      </c>
      <c r="U328" s="6">
        <f>IF(F328&lt;0,"NEGATIVE CASH","")</f>
        <v/>
      </c>
      <c r="V328" s="6">
        <f>IF(ABS(R328)&gt;0.05*M328,"LARGE FLOW","")</f>
        <v/>
      </c>
      <c r="W328" s="6">
        <f>(S328&lt;&gt;"")*1+(T328&lt;&gt;"")*1+(U328&lt;&gt;"")*1+(V328&lt;&gt;"")*1</f>
        <v/>
      </c>
      <c r="X328" s="6">
        <f>IF(S328&lt;&gt;"",S328,IF(T328&lt;&gt;"",T328,IF(U328&lt;&gt;"",U328,IF(V328&lt;&gt;"",V328,""))))</f>
        <v/>
      </c>
    </row>
    <row r="329">
      <c r="A329" s="6" t="inlineStr">
        <is>
          <t>2026-04-10</t>
        </is>
      </c>
      <c r="B329" s="6" t="inlineStr">
        <is>
          <t>MMUS</t>
        </is>
      </c>
      <c r="C329" s="6">
        <f>INDEX('Fund Master'!$B$2:$B$7,MATCH(B329,'Fund Master'!$A$2:$A$7,0))</f>
        <v/>
      </c>
      <c r="D329" s="6">
        <f>INDEX('Fund Master'!$C$2:$C$7,MATCH(B329,'Fund Master'!$A$2:$A$7,0))</f>
        <v/>
      </c>
      <c r="E329" s="8" t="n">
        <v>810505365.4299999</v>
      </c>
      <c r="F329" s="8" t="n">
        <v>24242474.64</v>
      </c>
      <c r="G329" s="8" t="n">
        <v>4793677.49</v>
      </c>
      <c r="H329" s="8" t="n">
        <v>4021041.09</v>
      </c>
      <c r="I329" s="8" t="n">
        <v>46312.07</v>
      </c>
      <c r="J329" s="10" t="n">
        <v>810000000</v>
      </c>
      <c r="K329" s="9">
        <f>E329+F329+G329</f>
        <v/>
      </c>
      <c r="L329" s="9">
        <f>H329+I329</f>
        <v/>
      </c>
      <c r="M329" s="9">
        <f>K329-L329</f>
        <v/>
      </c>
      <c r="N329" s="11">
        <f>IFERROR(M329/J329,0)</f>
        <v/>
      </c>
      <c r="O329" s="11">
        <f>IF((B329=B328),N328,"")</f>
        <v/>
      </c>
      <c r="P329" s="12">
        <f>IF(O329="","",IFERROR((N329-O329)/O329,""))</f>
        <v/>
      </c>
      <c r="Q329" s="13">
        <f>INDEX('Fund Master'!$F$2:$F$7,MATCH(B329,'Fund Master'!$A$2:$A$7,0))</f>
        <v/>
      </c>
      <c r="R329" s="9">
        <f>SUMIFS('Capital Activity'!$E$2:$E$385,'Capital Activity'!$A$2:$A$385,A329,'Capital Activity'!$B$2:$B$385,B329)</f>
        <v/>
      </c>
      <c r="S329" s="6">
        <f>IF(O329="","",IF(ABS(P329)*10000&gt;Q329,"NAV MOVE BREACH",""))</f>
        <v/>
      </c>
      <c r="T329" s="6">
        <f>IF(AND((B329=B328),D329&lt;&gt;"Money Market",E329=E328),"STALE PRICE","")</f>
        <v/>
      </c>
      <c r="U329" s="6">
        <f>IF(F329&lt;0,"NEGATIVE CASH","")</f>
        <v/>
      </c>
      <c r="V329" s="6">
        <f>IF(ABS(R329)&gt;0.05*M329,"LARGE FLOW","")</f>
        <v/>
      </c>
      <c r="W329" s="6">
        <f>(S329&lt;&gt;"")*1+(T329&lt;&gt;"")*1+(U329&lt;&gt;"")*1+(V329&lt;&gt;"")*1</f>
        <v/>
      </c>
      <c r="X329" s="6">
        <f>IF(S329&lt;&gt;"",S329,IF(T329&lt;&gt;"",T329,IF(U329&lt;&gt;"",U329,IF(V329&lt;&gt;"",V329,""))))</f>
        <v/>
      </c>
    </row>
    <row r="330">
      <c r="A330" s="6" t="inlineStr">
        <is>
          <t>2026-04-13</t>
        </is>
      </c>
      <c r="B330" s="6" t="inlineStr">
        <is>
          <t>MMUS</t>
        </is>
      </c>
      <c r="C330" s="6">
        <f>INDEX('Fund Master'!$B$2:$B$7,MATCH(B330,'Fund Master'!$A$2:$A$7,0))</f>
        <v/>
      </c>
      <c r="D330" s="6">
        <f>INDEX('Fund Master'!$C$2:$C$7,MATCH(B330,'Fund Master'!$A$2:$A$7,0))</f>
        <v/>
      </c>
      <c r="E330" s="8" t="n">
        <v>810591087.15</v>
      </c>
      <c r="F330" s="8" t="n">
        <v>24273129.86</v>
      </c>
      <c r="G330" s="8" t="n">
        <v>4797044.92</v>
      </c>
      <c r="H330" s="8" t="n">
        <v>4015516.18</v>
      </c>
      <c r="I330" s="8" t="n">
        <v>52102</v>
      </c>
      <c r="J330" s="10" t="n">
        <v>810000000</v>
      </c>
      <c r="K330" s="9">
        <f>E330+F330+G330</f>
        <v/>
      </c>
      <c r="L330" s="9">
        <f>H330+I330</f>
        <v/>
      </c>
      <c r="M330" s="9">
        <f>K330-L330</f>
        <v/>
      </c>
      <c r="N330" s="11">
        <f>IFERROR(M330/J330,0)</f>
        <v/>
      </c>
      <c r="O330" s="11">
        <f>IF((B330=B329),N329,"")</f>
        <v/>
      </c>
      <c r="P330" s="12">
        <f>IF(O330="","",IFERROR((N330-O330)/O330,""))</f>
        <v/>
      </c>
      <c r="Q330" s="13">
        <f>INDEX('Fund Master'!$F$2:$F$7,MATCH(B330,'Fund Master'!$A$2:$A$7,0))</f>
        <v/>
      </c>
      <c r="R330" s="9">
        <f>SUMIFS('Capital Activity'!$E$2:$E$385,'Capital Activity'!$A$2:$A$385,A330,'Capital Activity'!$B$2:$B$385,B330)</f>
        <v/>
      </c>
      <c r="S330" s="6">
        <f>IF(O330="","",IF(ABS(P330)*10000&gt;Q330,"NAV MOVE BREACH",""))</f>
        <v/>
      </c>
      <c r="T330" s="6">
        <f>IF(AND((B330=B329),D330&lt;&gt;"Money Market",E330=E329),"STALE PRICE","")</f>
        <v/>
      </c>
      <c r="U330" s="6">
        <f>IF(F330&lt;0,"NEGATIVE CASH","")</f>
        <v/>
      </c>
      <c r="V330" s="6">
        <f>IF(ABS(R330)&gt;0.05*M330,"LARGE FLOW","")</f>
        <v/>
      </c>
      <c r="W330" s="6">
        <f>(S330&lt;&gt;"")*1+(T330&lt;&gt;"")*1+(U330&lt;&gt;"")*1+(V330&lt;&gt;"")*1</f>
        <v/>
      </c>
      <c r="X330" s="6">
        <f>IF(S330&lt;&gt;"",S330,IF(T330&lt;&gt;"",T330,IF(U330&lt;&gt;"",U330,IF(V330&lt;&gt;"",V330,""))))</f>
        <v/>
      </c>
    </row>
    <row r="331">
      <c r="A331" s="6" t="inlineStr">
        <is>
          <t>2026-04-14</t>
        </is>
      </c>
      <c r="B331" s="6" t="inlineStr">
        <is>
          <t>MMUS</t>
        </is>
      </c>
      <c r="C331" s="6">
        <f>INDEX('Fund Master'!$B$2:$B$7,MATCH(B331,'Fund Master'!$A$2:$A$7,0))</f>
        <v/>
      </c>
      <c r="D331" s="6">
        <f>INDEX('Fund Master'!$C$2:$C$7,MATCH(B331,'Fund Master'!$A$2:$A$7,0))</f>
        <v/>
      </c>
      <c r="E331" s="8" t="n">
        <v>810433485.71</v>
      </c>
      <c r="F331" s="8" t="n">
        <v>24150032.48</v>
      </c>
      <c r="G331" s="8" t="n">
        <v>4803188.3</v>
      </c>
      <c r="H331" s="8" t="n">
        <v>4029387.03</v>
      </c>
      <c r="I331" s="8" t="n">
        <v>57890.81</v>
      </c>
      <c r="J331" s="10" t="n">
        <v>810000000</v>
      </c>
      <c r="K331" s="9">
        <f>E331+F331+G331</f>
        <v/>
      </c>
      <c r="L331" s="9">
        <f>H331+I331</f>
        <v/>
      </c>
      <c r="M331" s="9">
        <f>K331-L331</f>
        <v/>
      </c>
      <c r="N331" s="11">
        <f>IFERROR(M331/J331,0)</f>
        <v/>
      </c>
      <c r="O331" s="11">
        <f>IF((B331=B330),N330,"")</f>
        <v/>
      </c>
      <c r="P331" s="12">
        <f>IF(O331="","",IFERROR((N331-O331)/O331,""))</f>
        <v/>
      </c>
      <c r="Q331" s="13">
        <f>INDEX('Fund Master'!$F$2:$F$7,MATCH(B331,'Fund Master'!$A$2:$A$7,0))</f>
        <v/>
      </c>
      <c r="R331" s="9">
        <f>SUMIFS('Capital Activity'!$E$2:$E$385,'Capital Activity'!$A$2:$A$385,A331,'Capital Activity'!$B$2:$B$385,B331)</f>
        <v/>
      </c>
      <c r="S331" s="6">
        <f>IF(O331="","",IF(ABS(P331)*10000&gt;Q331,"NAV MOVE BREACH",""))</f>
        <v/>
      </c>
      <c r="T331" s="6">
        <f>IF(AND((B331=B330),D331&lt;&gt;"Money Market",E331=E330),"STALE PRICE","")</f>
        <v/>
      </c>
      <c r="U331" s="6">
        <f>IF(F331&lt;0,"NEGATIVE CASH","")</f>
        <v/>
      </c>
      <c r="V331" s="6">
        <f>IF(ABS(R331)&gt;0.05*M331,"LARGE FLOW","")</f>
        <v/>
      </c>
      <c r="W331" s="6">
        <f>(S331&lt;&gt;"")*1+(T331&lt;&gt;"")*1+(U331&lt;&gt;"")*1+(V331&lt;&gt;"")*1</f>
        <v/>
      </c>
      <c r="X331" s="6">
        <f>IF(S331&lt;&gt;"",S331,IF(T331&lt;&gt;"",T331,IF(U331&lt;&gt;"",U331,IF(V331&lt;&gt;"",V331,""))))</f>
        <v/>
      </c>
    </row>
    <row r="332">
      <c r="A332" s="6" t="inlineStr">
        <is>
          <t>2026-04-15</t>
        </is>
      </c>
      <c r="B332" s="6" t="inlineStr">
        <is>
          <t>MMUS</t>
        </is>
      </c>
      <c r="C332" s="6">
        <f>INDEX('Fund Master'!$B$2:$B$7,MATCH(B332,'Fund Master'!$A$2:$A$7,0))</f>
        <v/>
      </c>
      <c r="D332" s="6">
        <f>INDEX('Fund Master'!$C$2:$C$7,MATCH(B332,'Fund Master'!$A$2:$A$7,0))</f>
        <v/>
      </c>
      <c r="E332" s="8" t="n">
        <v>810550051.05</v>
      </c>
      <c r="F332" s="8" t="n">
        <v>24236891.15</v>
      </c>
      <c r="G332" s="8" t="n">
        <v>4804216.23</v>
      </c>
      <c r="H332" s="8" t="n">
        <v>4018164.93</v>
      </c>
      <c r="I332" s="8" t="n">
        <v>63680.46</v>
      </c>
      <c r="J332" s="10" t="n">
        <v>810000000</v>
      </c>
      <c r="K332" s="9">
        <f>E332+F332+G332</f>
        <v/>
      </c>
      <c r="L332" s="9">
        <f>H332+I332</f>
        <v/>
      </c>
      <c r="M332" s="9">
        <f>K332-L332</f>
        <v/>
      </c>
      <c r="N332" s="11">
        <f>IFERROR(M332/J332,0)</f>
        <v/>
      </c>
      <c r="O332" s="11">
        <f>IF((B332=B331),N331,"")</f>
        <v/>
      </c>
      <c r="P332" s="12">
        <f>IF(O332="","",IFERROR((N332-O332)/O332,""))</f>
        <v/>
      </c>
      <c r="Q332" s="13">
        <f>INDEX('Fund Master'!$F$2:$F$7,MATCH(B332,'Fund Master'!$A$2:$A$7,0))</f>
        <v/>
      </c>
      <c r="R332" s="9">
        <f>SUMIFS('Capital Activity'!$E$2:$E$385,'Capital Activity'!$A$2:$A$385,A332,'Capital Activity'!$B$2:$B$385,B332)</f>
        <v/>
      </c>
      <c r="S332" s="6">
        <f>IF(O332="","",IF(ABS(P332)*10000&gt;Q332,"NAV MOVE BREACH",""))</f>
        <v/>
      </c>
      <c r="T332" s="6">
        <f>IF(AND((B332=B331),D332&lt;&gt;"Money Market",E332=E331),"STALE PRICE","")</f>
        <v/>
      </c>
      <c r="U332" s="6">
        <f>IF(F332&lt;0,"NEGATIVE CASH","")</f>
        <v/>
      </c>
      <c r="V332" s="6">
        <f>IF(ABS(R332)&gt;0.05*M332,"LARGE FLOW","")</f>
        <v/>
      </c>
      <c r="W332" s="6">
        <f>(S332&lt;&gt;"")*1+(T332&lt;&gt;"")*1+(U332&lt;&gt;"")*1+(V332&lt;&gt;"")*1</f>
        <v/>
      </c>
      <c r="X332" s="6">
        <f>IF(S332&lt;&gt;"",S332,IF(T332&lt;&gt;"",T332,IF(U332&lt;&gt;"",U332,IF(V332&lt;&gt;"",V332,""))))</f>
        <v/>
      </c>
    </row>
    <row r="333">
      <c r="A333" s="6" t="inlineStr">
        <is>
          <t>2026-04-16</t>
        </is>
      </c>
      <c r="B333" s="6" t="inlineStr">
        <is>
          <t>MMUS</t>
        </is>
      </c>
      <c r="C333" s="6">
        <f>INDEX('Fund Master'!$B$2:$B$7,MATCH(B333,'Fund Master'!$A$2:$A$7,0))</f>
        <v/>
      </c>
      <c r="D333" s="6">
        <f>INDEX('Fund Master'!$C$2:$C$7,MATCH(B333,'Fund Master'!$A$2:$A$7,0))</f>
        <v/>
      </c>
      <c r="E333" s="8" t="n">
        <v>810461544.79</v>
      </c>
      <c r="F333" s="8" t="n">
        <v>24201858.94</v>
      </c>
      <c r="G333" s="8" t="n">
        <v>4795866.74</v>
      </c>
      <c r="H333" s="8" t="n">
        <v>4002273.45</v>
      </c>
      <c r="I333" s="8" t="n">
        <v>69469.47</v>
      </c>
      <c r="J333" s="10" t="n">
        <v>810000000</v>
      </c>
      <c r="K333" s="9">
        <f>E333+F333+G333</f>
        <v/>
      </c>
      <c r="L333" s="9">
        <f>H333+I333</f>
        <v/>
      </c>
      <c r="M333" s="9">
        <f>K333-L333</f>
        <v/>
      </c>
      <c r="N333" s="11">
        <f>IFERROR(M333/J333,0)</f>
        <v/>
      </c>
      <c r="O333" s="11">
        <f>IF((B333=B332),N332,"")</f>
        <v/>
      </c>
      <c r="P333" s="12">
        <f>IF(O333="","",IFERROR((N333-O333)/O333,""))</f>
        <v/>
      </c>
      <c r="Q333" s="13">
        <f>INDEX('Fund Master'!$F$2:$F$7,MATCH(B333,'Fund Master'!$A$2:$A$7,0))</f>
        <v/>
      </c>
      <c r="R333" s="9">
        <f>SUMIFS('Capital Activity'!$E$2:$E$385,'Capital Activity'!$A$2:$A$385,A333,'Capital Activity'!$B$2:$B$385,B333)</f>
        <v/>
      </c>
      <c r="S333" s="6">
        <f>IF(O333="","",IF(ABS(P333)*10000&gt;Q333,"NAV MOVE BREACH",""))</f>
        <v/>
      </c>
      <c r="T333" s="6">
        <f>IF(AND((B333=B332),D333&lt;&gt;"Money Market",E333=E332),"STALE PRICE","")</f>
        <v/>
      </c>
      <c r="U333" s="6">
        <f>IF(F333&lt;0,"NEGATIVE CASH","")</f>
        <v/>
      </c>
      <c r="V333" s="6">
        <f>IF(ABS(R333)&gt;0.05*M333,"LARGE FLOW","")</f>
        <v/>
      </c>
      <c r="W333" s="6">
        <f>(S333&lt;&gt;"")*1+(T333&lt;&gt;"")*1+(U333&lt;&gt;"")*1+(V333&lt;&gt;"")*1</f>
        <v/>
      </c>
      <c r="X333" s="6">
        <f>IF(S333&lt;&gt;"",S333,IF(T333&lt;&gt;"",T333,IF(U333&lt;&gt;"",U333,IF(V333&lt;&gt;"",V333,""))))</f>
        <v/>
      </c>
    </row>
    <row r="334">
      <c r="A334" s="6" t="inlineStr">
        <is>
          <t>2026-04-17</t>
        </is>
      </c>
      <c r="B334" s="6" t="inlineStr">
        <is>
          <t>MMUS</t>
        </is>
      </c>
      <c r="C334" s="6">
        <f>INDEX('Fund Master'!$B$2:$B$7,MATCH(B334,'Fund Master'!$A$2:$A$7,0))</f>
        <v/>
      </c>
      <c r="D334" s="6">
        <f>INDEX('Fund Master'!$C$2:$C$7,MATCH(B334,'Fund Master'!$A$2:$A$7,0))</f>
        <v/>
      </c>
      <c r="E334" s="8" t="n">
        <v>810530122.6799999</v>
      </c>
      <c r="F334" s="8" t="n">
        <v>24193679.79</v>
      </c>
      <c r="G334" s="8" t="n">
        <v>4791542.11</v>
      </c>
      <c r="H334" s="8" t="n">
        <v>3977271.84</v>
      </c>
      <c r="I334" s="8" t="n">
        <v>75258.97</v>
      </c>
      <c r="J334" s="10" t="n">
        <v>810000000</v>
      </c>
      <c r="K334" s="9">
        <f>E334+F334+G334</f>
        <v/>
      </c>
      <c r="L334" s="9">
        <f>H334+I334</f>
        <v/>
      </c>
      <c r="M334" s="9">
        <f>K334-L334</f>
        <v/>
      </c>
      <c r="N334" s="11">
        <f>IFERROR(M334/J334,0)</f>
        <v/>
      </c>
      <c r="O334" s="11">
        <f>IF((B334=B333),N333,"")</f>
        <v/>
      </c>
      <c r="P334" s="12">
        <f>IF(O334="","",IFERROR((N334-O334)/O334,""))</f>
        <v/>
      </c>
      <c r="Q334" s="13">
        <f>INDEX('Fund Master'!$F$2:$F$7,MATCH(B334,'Fund Master'!$A$2:$A$7,0))</f>
        <v/>
      </c>
      <c r="R334" s="9">
        <f>SUMIFS('Capital Activity'!$E$2:$E$385,'Capital Activity'!$A$2:$A$385,A334,'Capital Activity'!$B$2:$B$385,B334)</f>
        <v/>
      </c>
      <c r="S334" s="6">
        <f>IF(O334="","",IF(ABS(P334)*10000&gt;Q334,"NAV MOVE BREACH",""))</f>
        <v/>
      </c>
      <c r="T334" s="6">
        <f>IF(AND((B334=B333),D334&lt;&gt;"Money Market",E334=E333),"STALE PRICE","")</f>
        <v/>
      </c>
      <c r="U334" s="6">
        <f>IF(F334&lt;0,"NEGATIVE CASH","")</f>
        <v/>
      </c>
      <c r="V334" s="6">
        <f>IF(ABS(R334)&gt;0.05*M334,"LARGE FLOW","")</f>
        <v/>
      </c>
      <c r="W334" s="6">
        <f>(S334&lt;&gt;"")*1+(T334&lt;&gt;"")*1+(U334&lt;&gt;"")*1+(V334&lt;&gt;"")*1</f>
        <v/>
      </c>
      <c r="X334" s="6">
        <f>IF(S334&lt;&gt;"",S334,IF(T334&lt;&gt;"",T334,IF(U334&lt;&gt;"",U334,IF(V334&lt;&gt;"",V334,""))))</f>
        <v/>
      </c>
    </row>
    <row r="335">
      <c r="A335" s="6" t="inlineStr">
        <is>
          <t>2026-04-20</t>
        </is>
      </c>
      <c r="B335" s="6" t="inlineStr">
        <is>
          <t>MMUS</t>
        </is>
      </c>
      <c r="C335" s="6">
        <f>INDEX('Fund Master'!$B$2:$B$7,MATCH(B335,'Fund Master'!$A$2:$A$7,0))</f>
        <v/>
      </c>
      <c r="D335" s="6">
        <f>INDEX('Fund Master'!$C$2:$C$7,MATCH(B335,'Fund Master'!$A$2:$A$7,0))</f>
        <v/>
      </c>
      <c r="E335" s="8" t="n">
        <v>810517076.41</v>
      </c>
      <c r="F335" s="8" t="n">
        <v>24322693.78</v>
      </c>
      <c r="G335" s="8" t="n">
        <v>4796307.87</v>
      </c>
      <c r="H335" s="8" t="n">
        <v>3965021.03</v>
      </c>
      <c r="I335" s="8" t="n">
        <v>81048.38</v>
      </c>
      <c r="J335" s="10" t="n">
        <v>810000000</v>
      </c>
      <c r="K335" s="9">
        <f>E335+F335+G335</f>
        <v/>
      </c>
      <c r="L335" s="9">
        <f>H335+I335</f>
        <v/>
      </c>
      <c r="M335" s="9">
        <f>K335-L335</f>
        <v/>
      </c>
      <c r="N335" s="11">
        <f>IFERROR(M335/J335,0)</f>
        <v/>
      </c>
      <c r="O335" s="11">
        <f>IF((B335=B334),N334,"")</f>
        <v/>
      </c>
      <c r="P335" s="12">
        <f>IF(O335="","",IFERROR((N335-O335)/O335,""))</f>
        <v/>
      </c>
      <c r="Q335" s="13">
        <f>INDEX('Fund Master'!$F$2:$F$7,MATCH(B335,'Fund Master'!$A$2:$A$7,0))</f>
        <v/>
      </c>
      <c r="R335" s="9">
        <f>SUMIFS('Capital Activity'!$E$2:$E$385,'Capital Activity'!$A$2:$A$385,A335,'Capital Activity'!$B$2:$B$385,B335)</f>
        <v/>
      </c>
      <c r="S335" s="6">
        <f>IF(O335="","",IF(ABS(P335)*10000&gt;Q335,"NAV MOVE BREACH",""))</f>
        <v/>
      </c>
      <c r="T335" s="6">
        <f>IF(AND((B335=B334),D335&lt;&gt;"Money Market",E335=E334),"STALE PRICE","")</f>
        <v/>
      </c>
      <c r="U335" s="6">
        <f>IF(F335&lt;0,"NEGATIVE CASH","")</f>
        <v/>
      </c>
      <c r="V335" s="6">
        <f>IF(ABS(R335)&gt;0.05*M335,"LARGE FLOW","")</f>
        <v/>
      </c>
      <c r="W335" s="6">
        <f>(S335&lt;&gt;"")*1+(T335&lt;&gt;"")*1+(U335&lt;&gt;"")*1+(V335&lt;&gt;"")*1</f>
        <v/>
      </c>
      <c r="X335" s="6">
        <f>IF(S335&lt;&gt;"",S335,IF(T335&lt;&gt;"",T335,IF(U335&lt;&gt;"",U335,IF(V335&lt;&gt;"",V335,""))))</f>
        <v/>
      </c>
    </row>
    <row r="336">
      <c r="A336" s="6" t="inlineStr">
        <is>
          <t>2026-04-21</t>
        </is>
      </c>
      <c r="B336" s="6" t="inlineStr">
        <is>
          <t>MMUS</t>
        </is>
      </c>
      <c r="C336" s="6">
        <f>INDEX('Fund Master'!$B$2:$B$7,MATCH(B336,'Fund Master'!$A$2:$A$7,0))</f>
        <v/>
      </c>
      <c r="D336" s="6">
        <f>INDEX('Fund Master'!$C$2:$C$7,MATCH(B336,'Fund Master'!$A$2:$A$7,0))</f>
        <v/>
      </c>
      <c r="E336" s="8" t="n">
        <v>810551648.27</v>
      </c>
      <c r="F336" s="8" t="n">
        <v>24265441.31</v>
      </c>
      <c r="G336" s="8" t="n">
        <v>4811414.11</v>
      </c>
      <c r="H336" s="8" t="n">
        <v>3954358.85</v>
      </c>
      <c r="I336" s="8" t="n">
        <v>86838.03</v>
      </c>
      <c r="J336" s="10" t="n">
        <v>810000000</v>
      </c>
      <c r="K336" s="9">
        <f>E336+F336+G336</f>
        <v/>
      </c>
      <c r="L336" s="9">
        <f>H336+I336</f>
        <v/>
      </c>
      <c r="M336" s="9">
        <f>K336-L336</f>
        <v/>
      </c>
      <c r="N336" s="11">
        <f>IFERROR(M336/J336,0)</f>
        <v/>
      </c>
      <c r="O336" s="11">
        <f>IF((B336=B335),N335,"")</f>
        <v/>
      </c>
      <c r="P336" s="12">
        <f>IF(O336="","",IFERROR((N336-O336)/O336,""))</f>
        <v/>
      </c>
      <c r="Q336" s="13">
        <f>INDEX('Fund Master'!$F$2:$F$7,MATCH(B336,'Fund Master'!$A$2:$A$7,0))</f>
        <v/>
      </c>
      <c r="R336" s="9">
        <f>SUMIFS('Capital Activity'!$E$2:$E$385,'Capital Activity'!$A$2:$A$385,A336,'Capital Activity'!$B$2:$B$385,B336)</f>
        <v/>
      </c>
      <c r="S336" s="6">
        <f>IF(O336="","",IF(ABS(P336)*10000&gt;Q336,"NAV MOVE BREACH",""))</f>
        <v/>
      </c>
      <c r="T336" s="6">
        <f>IF(AND((B336=B335),D336&lt;&gt;"Money Market",E336=E335),"STALE PRICE","")</f>
        <v/>
      </c>
      <c r="U336" s="6">
        <f>IF(F336&lt;0,"NEGATIVE CASH","")</f>
        <v/>
      </c>
      <c r="V336" s="6">
        <f>IF(ABS(R336)&gt;0.05*M336,"LARGE FLOW","")</f>
        <v/>
      </c>
      <c r="W336" s="6">
        <f>(S336&lt;&gt;"")*1+(T336&lt;&gt;"")*1+(U336&lt;&gt;"")*1+(V336&lt;&gt;"")*1</f>
        <v/>
      </c>
      <c r="X336" s="6">
        <f>IF(S336&lt;&gt;"",S336,IF(T336&lt;&gt;"",T336,IF(U336&lt;&gt;"",U336,IF(V336&lt;&gt;"",V336,""))))</f>
        <v/>
      </c>
    </row>
    <row r="337">
      <c r="A337" s="6" t="inlineStr">
        <is>
          <t>2026-04-22</t>
        </is>
      </c>
      <c r="B337" s="6" t="inlineStr">
        <is>
          <t>MMUS</t>
        </is>
      </c>
      <c r="C337" s="6">
        <f>INDEX('Fund Master'!$B$2:$B$7,MATCH(B337,'Fund Master'!$A$2:$A$7,0))</f>
        <v/>
      </c>
      <c r="D337" s="6">
        <f>INDEX('Fund Master'!$C$2:$C$7,MATCH(B337,'Fund Master'!$A$2:$A$7,0))</f>
        <v/>
      </c>
      <c r="E337" s="8" t="n">
        <v>810495343.8</v>
      </c>
      <c r="F337" s="8" t="n">
        <v>24315668.62</v>
      </c>
      <c r="G337" s="8" t="n">
        <v>4812179.82</v>
      </c>
      <c r="H337" s="8" t="n">
        <v>3967907.55</v>
      </c>
      <c r="I337" s="8" t="n">
        <v>92627.28</v>
      </c>
      <c r="J337" s="10" t="n">
        <v>810000000</v>
      </c>
      <c r="K337" s="9">
        <f>E337+F337+G337</f>
        <v/>
      </c>
      <c r="L337" s="9">
        <f>H337+I337</f>
        <v/>
      </c>
      <c r="M337" s="9">
        <f>K337-L337</f>
        <v/>
      </c>
      <c r="N337" s="11">
        <f>IFERROR(M337/J337,0)</f>
        <v/>
      </c>
      <c r="O337" s="11">
        <f>IF((B337=B336),N336,"")</f>
        <v/>
      </c>
      <c r="P337" s="12">
        <f>IF(O337="","",IFERROR((N337-O337)/O337,""))</f>
        <v/>
      </c>
      <c r="Q337" s="13">
        <f>INDEX('Fund Master'!$F$2:$F$7,MATCH(B337,'Fund Master'!$A$2:$A$7,0))</f>
        <v/>
      </c>
      <c r="R337" s="9">
        <f>SUMIFS('Capital Activity'!$E$2:$E$385,'Capital Activity'!$A$2:$A$385,A337,'Capital Activity'!$B$2:$B$385,B337)</f>
        <v/>
      </c>
      <c r="S337" s="6">
        <f>IF(O337="","",IF(ABS(P337)*10000&gt;Q337,"NAV MOVE BREACH",""))</f>
        <v/>
      </c>
      <c r="T337" s="6">
        <f>IF(AND((B337=B336),D337&lt;&gt;"Money Market",E337=E336),"STALE PRICE","")</f>
        <v/>
      </c>
      <c r="U337" s="6">
        <f>IF(F337&lt;0,"NEGATIVE CASH","")</f>
        <v/>
      </c>
      <c r="V337" s="6">
        <f>IF(ABS(R337)&gt;0.05*M337,"LARGE FLOW","")</f>
        <v/>
      </c>
      <c r="W337" s="6">
        <f>(S337&lt;&gt;"")*1+(T337&lt;&gt;"")*1+(U337&lt;&gt;"")*1+(V337&lt;&gt;"")*1</f>
        <v/>
      </c>
      <c r="X337" s="6">
        <f>IF(S337&lt;&gt;"",S337,IF(T337&lt;&gt;"",T337,IF(U337&lt;&gt;"",U337,IF(V337&lt;&gt;"",V337,""))))</f>
        <v/>
      </c>
    </row>
    <row r="338">
      <c r="A338" s="6" t="inlineStr">
        <is>
          <t>2026-04-23</t>
        </is>
      </c>
      <c r="B338" s="6" t="inlineStr">
        <is>
          <t>MMUS</t>
        </is>
      </c>
      <c r="C338" s="6">
        <f>INDEX('Fund Master'!$B$2:$B$7,MATCH(B338,'Fund Master'!$A$2:$A$7,0))</f>
        <v/>
      </c>
      <c r="D338" s="6">
        <f>INDEX('Fund Master'!$C$2:$C$7,MATCH(B338,'Fund Master'!$A$2:$A$7,0))</f>
        <v/>
      </c>
      <c r="E338" s="8" t="n">
        <v>810407234.88</v>
      </c>
      <c r="F338" s="8" t="n">
        <v>24354759.65</v>
      </c>
      <c r="G338" s="8" t="n">
        <v>4806230.6</v>
      </c>
      <c r="H338" s="8" t="n">
        <v>3960933.8</v>
      </c>
      <c r="I338" s="8" t="n">
        <v>98415.91</v>
      </c>
      <c r="J338" s="10" t="n">
        <v>810000000</v>
      </c>
      <c r="K338" s="9">
        <f>E338+F338+G338</f>
        <v/>
      </c>
      <c r="L338" s="9">
        <f>H338+I338</f>
        <v/>
      </c>
      <c r="M338" s="9">
        <f>K338-L338</f>
        <v/>
      </c>
      <c r="N338" s="11">
        <f>IFERROR(M338/J338,0)</f>
        <v/>
      </c>
      <c r="O338" s="11">
        <f>IF((B338=B337),N337,"")</f>
        <v/>
      </c>
      <c r="P338" s="12">
        <f>IF(O338="","",IFERROR((N338-O338)/O338,""))</f>
        <v/>
      </c>
      <c r="Q338" s="13">
        <f>INDEX('Fund Master'!$F$2:$F$7,MATCH(B338,'Fund Master'!$A$2:$A$7,0))</f>
        <v/>
      </c>
      <c r="R338" s="9">
        <f>SUMIFS('Capital Activity'!$E$2:$E$385,'Capital Activity'!$A$2:$A$385,A338,'Capital Activity'!$B$2:$B$385,B338)</f>
        <v/>
      </c>
      <c r="S338" s="6">
        <f>IF(O338="","",IF(ABS(P338)*10000&gt;Q338,"NAV MOVE BREACH",""))</f>
        <v/>
      </c>
      <c r="T338" s="6">
        <f>IF(AND((B338=B337),D338&lt;&gt;"Money Market",E338=E337),"STALE PRICE","")</f>
        <v/>
      </c>
      <c r="U338" s="6">
        <f>IF(F338&lt;0,"NEGATIVE CASH","")</f>
        <v/>
      </c>
      <c r="V338" s="6">
        <f>IF(ABS(R338)&gt;0.05*M338,"LARGE FLOW","")</f>
        <v/>
      </c>
      <c r="W338" s="6">
        <f>(S338&lt;&gt;"")*1+(T338&lt;&gt;"")*1+(U338&lt;&gt;"")*1+(V338&lt;&gt;"")*1</f>
        <v/>
      </c>
      <c r="X338" s="6">
        <f>IF(S338&lt;&gt;"",S338,IF(T338&lt;&gt;"",T338,IF(U338&lt;&gt;"",U338,IF(V338&lt;&gt;"",V338,""))))</f>
        <v/>
      </c>
    </row>
    <row r="339">
      <c r="A339" s="6" t="inlineStr">
        <is>
          <t>2026-04-24</t>
        </is>
      </c>
      <c r="B339" s="6" t="inlineStr">
        <is>
          <t>MMUS</t>
        </is>
      </c>
      <c r="C339" s="6">
        <f>INDEX('Fund Master'!$B$2:$B$7,MATCH(B339,'Fund Master'!$A$2:$A$7,0))</f>
        <v/>
      </c>
      <c r="D339" s="6">
        <f>INDEX('Fund Master'!$C$2:$C$7,MATCH(B339,'Fund Master'!$A$2:$A$7,0))</f>
        <v/>
      </c>
      <c r="E339" s="8" t="n">
        <v>810757740.05</v>
      </c>
      <c r="F339" s="8" t="n">
        <v>24322017.68</v>
      </c>
      <c r="G339" s="8" t="n">
        <v>4808702.04</v>
      </c>
      <c r="H339" s="8" t="n">
        <v>3985546.3</v>
      </c>
      <c r="I339" s="8" t="n">
        <v>104207.03</v>
      </c>
      <c r="J339" s="10" t="n">
        <v>810000000</v>
      </c>
      <c r="K339" s="9">
        <f>E339+F339+G339</f>
        <v/>
      </c>
      <c r="L339" s="9">
        <f>H339+I339</f>
        <v/>
      </c>
      <c r="M339" s="9">
        <f>K339-L339</f>
        <v/>
      </c>
      <c r="N339" s="11">
        <f>IFERROR(M339/J339,0)</f>
        <v/>
      </c>
      <c r="O339" s="11">
        <f>IF((B339=B338),N338,"")</f>
        <v/>
      </c>
      <c r="P339" s="12">
        <f>IF(O339="","",IFERROR((N339-O339)/O339,""))</f>
        <v/>
      </c>
      <c r="Q339" s="13">
        <f>INDEX('Fund Master'!$F$2:$F$7,MATCH(B339,'Fund Master'!$A$2:$A$7,0))</f>
        <v/>
      </c>
      <c r="R339" s="9">
        <f>SUMIFS('Capital Activity'!$E$2:$E$385,'Capital Activity'!$A$2:$A$385,A339,'Capital Activity'!$B$2:$B$385,B339)</f>
        <v/>
      </c>
      <c r="S339" s="6">
        <f>IF(O339="","",IF(ABS(P339)*10000&gt;Q339,"NAV MOVE BREACH",""))</f>
        <v/>
      </c>
      <c r="T339" s="6">
        <f>IF(AND((B339=B338),D339&lt;&gt;"Money Market",E339=E338),"STALE PRICE","")</f>
        <v/>
      </c>
      <c r="U339" s="6">
        <f>IF(F339&lt;0,"NEGATIVE CASH","")</f>
        <v/>
      </c>
      <c r="V339" s="6">
        <f>IF(ABS(R339)&gt;0.05*M339,"LARGE FLOW","")</f>
        <v/>
      </c>
      <c r="W339" s="6">
        <f>(S339&lt;&gt;"")*1+(T339&lt;&gt;"")*1+(U339&lt;&gt;"")*1+(V339&lt;&gt;"")*1</f>
        <v/>
      </c>
      <c r="X339" s="6">
        <f>IF(S339&lt;&gt;"",S339,IF(T339&lt;&gt;"",T339,IF(U339&lt;&gt;"",U339,IF(V339&lt;&gt;"",V339,""))))</f>
        <v/>
      </c>
    </row>
    <row r="340">
      <c r="A340" s="6" t="inlineStr">
        <is>
          <t>2026-04-27</t>
        </is>
      </c>
      <c r="B340" s="6" t="inlineStr">
        <is>
          <t>MMUS</t>
        </is>
      </c>
      <c r="C340" s="6">
        <f>INDEX('Fund Master'!$B$2:$B$7,MATCH(B340,'Fund Master'!$A$2:$A$7,0))</f>
        <v/>
      </c>
      <c r="D340" s="6">
        <f>INDEX('Fund Master'!$C$2:$C$7,MATCH(B340,'Fund Master'!$A$2:$A$7,0))</f>
        <v/>
      </c>
      <c r="E340" s="8" t="n">
        <v>810601686.45</v>
      </c>
      <c r="F340" s="8" t="n">
        <v>24334695.53</v>
      </c>
      <c r="G340" s="8" t="n">
        <v>4804742.48</v>
      </c>
      <c r="H340" s="8" t="n">
        <v>4000759.86</v>
      </c>
      <c r="I340" s="8" t="n">
        <v>109997.05</v>
      </c>
      <c r="J340" s="10" t="n">
        <v>810000000</v>
      </c>
      <c r="K340" s="9">
        <f>E340+F340+G340</f>
        <v/>
      </c>
      <c r="L340" s="9">
        <f>H340+I340</f>
        <v/>
      </c>
      <c r="M340" s="9">
        <f>K340-L340</f>
        <v/>
      </c>
      <c r="N340" s="11">
        <f>IFERROR(M340/J340,0)</f>
        <v/>
      </c>
      <c r="O340" s="11">
        <f>IF((B340=B339),N339,"")</f>
        <v/>
      </c>
      <c r="P340" s="12">
        <f>IF(O340="","",IFERROR((N340-O340)/O340,""))</f>
        <v/>
      </c>
      <c r="Q340" s="13">
        <f>INDEX('Fund Master'!$F$2:$F$7,MATCH(B340,'Fund Master'!$A$2:$A$7,0))</f>
        <v/>
      </c>
      <c r="R340" s="9">
        <f>SUMIFS('Capital Activity'!$E$2:$E$385,'Capital Activity'!$A$2:$A$385,A340,'Capital Activity'!$B$2:$B$385,B340)</f>
        <v/>
      </c>
      <c r="S340" s="6">
        <f>IF(O340="","",IF(ABS(P340)*10000&gt;Q340,"NAV MOVE BREACH",""))</f>
        <v/>
      </c>
      <c r="T340" s="6">
        <f>IF(AND((B340=B339),D340&lt;&gt;"Money Market",E340=E339),"STALE PRICE","")</f>
        <v/>
      </c>
      <c r="U340" s="6">
        <f>IF(F340&lt;0,"NEGATIVE CASH","")</f>
        <v/>
      </c>
      <c r="V340" s="6">
        <f>IF(ABS(R340)&gt;0.05*M340,"LARGE FLOW","")</f>
        <v/>
      </c>
      <c r="W340" s="6">
        <f>(S340&lt;&gt;"")*1+(T340&lt;&gt;"")*1+(U340&lt;&gt;"")*1+(V340&lt;&gt;"")*1</f>
        <v/>
      </c>
      <c r="X340" s="6">
        <f>IF(S340&lt;&gt;"",S340,IF(T340&lt;&gt;"",T340,IF(U340&lt;&gt;"",U340,IF(V340&lt;&gt;"",V340,""))))</f>
        <v/>
      </c>
    </row>
    <row r="341">
      <c r="A341" s="6" t="inlineStr">
        <is>
          <t>2026-04-28</t>
        </is>
      </c>
      <c r="B341" s="6" t="inlineStr">
        <is>
          <t>MMUS</t>
        </is>
      </c>
      <c r="C341" s="6">
        <f>INDEX('Fund Master'!$B$2:$B$7,MATCH(B341,'Fund Master'!$A$2:$A$7,0))</f>
        <v/>
      </c>
      <c r="D341" s="6">
        <f>INDEX('Fund Master'!$C$2:$C$7,MATCH(B341,'Fund Master'!$A$2:$A$7,0))</f>
        <v/>
      </c>
      <c r="E341" s="8" t="n">
        <v>810711868.8099999</v>
      </c>
      <c r="F341" s="8" t="n">
        <v>24351209.61</v>
      </c>
      <c r="G341" s="8" t="n">
        <v>4808547.36</v>
      </c>
      <c r="H341" s="8" t="n">
        <v>3995577.34</v>
      </c>
      <c r="I341" s="8" t="n">
        <v>115787.84</v>
      </c>
      <c r="J341" s="10" t="n">
        <v>810000000</v>
      </c>
      <c r="K341" s="9">
        <f>E341+F341+G341</f>
        <v/>
      </c>
      <c r="L341" s="9">
        <f>H341+I341</f>
        <v/>
      </c>
      <c r="M341" s="9">
        <f>K341-L341</f>
        <v/>
      </c>
      <c r="N341" s="11">
        <f>IFERROR(M341/J341,0)</f>
        <v/>
      </c>
      <c r="O341" s="11">
        <f>IF((B341=B340),N340,"")</f>
        <v/>
      </c>
      <c r="P341" s="12">
        <f>IF(O341="","",IFERROR((N341-O341)/O341,""))</f>
        <v/>
      </c>
      <c r="Q341" s="13">
        <f>INDEX('Fund Master'!$F$2:$F$7,MATCH(B341,'Fund Master'!$A$2:$A$7,0))</f>
        <v/>
      </c>
      <c r="R341" s="9">
        <f>SUMIFS('Capital Activity'!$E$2:$E$385,'Capital Activity'!$A$2:$A$385,A341,'Capital Activity'!$B$2:$B$385,B341)</f>
        <v/>
      </c>
      <c r="S341" s="6">
        <f>IF(O341="","",IF(ABS(P341)*10000&gt;Q341,"NAV MOVE BREACH",""))</f>
        <v/>
      </c>
      <c r="T341" s="6">
        <f>IF(AND((B341=B340),D341&lt;&gt;"Money Market",E341=E340),"STALE PRICE","")</f>
        <v/>
      </c>
      <c r="U341" s="6">
        <f>IF(F341&lt;0,"NEGATIVE CASH","")</f>
        <v/>
      </c>
      <c r="V341" s="6">
        <f>IF(ABS(R341)&gt;0.05*M341,"LARGE FLOW","")</f>
        <v/>
      </c>
      <c r="W341" s="6">
        <f>(S341&lt;&gt;"")*1+(T341&lt;&gt;"")*1+(U341&lt;&gt;"")*1+(V341&lt;&gt;"")*1</f>
        <v/>
      </c>
      <c r="X341" s="6">
        <f>IF(S341&lt;&gt;"",S341,IF(T341&lt;&gt;"",T341,IF(U341&lt;&gt;"",U341,IF(V341&lt;&gt;"",V341,""))))</f>
        <v/>
      </c>
    </row>
    <row r="342">
      <c r="A342" s="6" t="inlineStr">
        <is>
          <t>2026-04-29</t>
        </is>
      </c>
      <c r="B342" s="6" t="inlineStr">
        <is>
          <t>MMUS</t>
        </is>
      </c>
      <c r="C342" s="6">
        <f>INDEX('Fund Master'!$B$2:$B$7,MATCH(B342,'Fund Master'!$A$2:$A$7,0))</f>
        <v/>
      </c>
      <c r="D342" s="6">
        <f>INDEX('Fund Master'!$C$2:$C$7,MATCH(B342,'Fund Master'!$A$2:$A$7,0))</f>
        <v/>
      </c>
      <c r="E342" s="8" t="n">
        <v>810755397.71</v>
      </c>
      <c r="F342" s="8" t="n">
        <v>24405929.54</v>
      </c>
      <c r="G342" s="8" t="n">
        <v>4792484.35</v>
      </c>
      <c r="H342" s="8" t="n">
        <v>4014275.13</v>
      </c>
      <c r="I342" s="8" t="n">
        <v>121578.95</v>
      </c>
      <c r="J342" s="10" t="n">
        <v>810000000</v>
      </c>
      <c r="K342" s="9">
        <f>E342+F342+G342</f>
        <v/>
      </c>
      <c r="L342" s="9">
        <f>H342+I342</f>
        <v/>
      </c>
      <c r="M342" s="9">
        <f>K342-L342</f>
        <v/>
      </c>
      <c r="N342" s="11">
        <f>IFERROR(M342/J342,0)</f>
        <v/>
      </c>
      <c r="O342" s="11">
        <f>IF((B342=B341),N341,"")</f>
        <v/>
      </c>
      <c r="P342" s="12">
        <f>IF(O342="","",IFERROR((N342-O342)/O342,""))</f>
        <v/>
      </c>
      <c r="Q342" s="13">
        <f>INDEX('Fund Master'!$F$2:$F$7,MATCH(B342,'Fund Master'!$A$2:$A$7,0))</f>
        <v/>
      </c>
      <c r="R342" s="9">
        <f>SUMIFS('Capital Activity'!$E$2:$E$385,'Capital Activity'!$A$2:$A$385,A342,'Capital Activity'!$B$2:$B$385,B342)</f>
        <v/>
      </c>
      <c r="S342" s="6">
        <f>IF(O342="","",IF(ABS(P342)*10000&gt;Q342,"NAV MOVE BREACH",""))</f>
        <v/>
      </c>
      <c r="T342" s="6">
        <f>IF(AND((B342=B341),D342&lt;&gt;"Money Market",E342=E341),"STALE PRICE","")</f>
        <v/>
      </c>
      <c r="U342" s="6">
        <f>IF(F342&lt;0,"NEGATIVE CASH","")</f>
        <v/>
      </c>
      <c r="V342" s="6">
        <f>IF(ABS(R342)&gt;0.05*M342,"LARGE FLOW","")</f>
        <v/>
      </c>
      <c r="W342" s="6">
        <f>(S342&lt;&gt;"")*1+(T342&lt;&gt;"")*1+(U342&lt;&gt;"")*1+(V342&lt;&gt;"")*1</f>
        <v/>
      </c>
      <c r="X342" s="6">
        <f>IF(S342&lt;&gt;"",S342,IF(T342&lt;&gt;"",T342,IF(U342&lt;&gt;"",U342,IF(V342&lt;&gt;"",V342,""))))</f>
        <v/>
      </c>
    </row>
    <row r="343">
      <c r="A343" s="6" t="inlineStr">
        <is>
          <t>2026-04-30</t>
        </is>
      </c>
      <c r="B343" s="6" t="inlineStr">
        <is>
          <t>MMUS</t>
        </is>
      </c>
      <c r="C343" s="6">
        <f>INDEX('Fund Master'!$B$2:$B$7,MATCH(B343,'Fund Master'!$A$2:$A$7,0))</f>
        <v/>
      </c>
      <c r="D343" s="6">
        <f>INDEX('Fund Master'!$C$2:$C$7,MATCH(B343,'Fund Master'!$A$2:$A$7,0))</f>
        <v/>
      </c>
      <c r="E343" s="8" t="n">
        <v>810427551.75</v>
      </c>
      <c r="F343" s="8" t="n">
        <v>24371430.71</v>
      </c>
      <c r="G343" s="8" t="n">
        <v>4811568.81</v>
      </c>
      <c r="H343" s="8" t="n">
        <v>4012281.21</v>
      </c>
      <c r="I343" s="8" t="n">
        <v>127367.72</v>
      </c>
      <c r="J343" s="10" t="n">
        <v>810000000</v>
      </c>
      <c r="K343" s="9">
        <f>E343+F343+G343</f>
        <v/>
      </c>
      <c r="L343" s="9">
        <f>H343+I343</f>
        <v/>
      </c>
      <c r="M343" s="9">
        <f>K343-L343</f>
        <v/>
      </c>
      <c r="N343" s="11">
        <f>IFERROR(M343/J343,0)</f>
        <v/>
      </c>
      <c r="O343" s="11">
        <f>IF((B343=B342),N342,"")</f>
        <v/>
      </c>
      <c r="P343" s="12">
        <f>IF(O343="","",IFERROR((N343-O343)/O343,""))</f>
        <v/>
      </c>
      <c r="Q343" s="13">
        <f>INDEX('Fund Master'!$F$2:$F$7,MATCH(B343,'Fund Master'!$A$2:$A$7,0))</f>
        <v/>
      </c>
      <c r="R343" s="9">
        <f>SUMIFS('Capital Activity'!$E$2:$E$385,'Capital Activity'!$A$2:$A$385,A343,'Capital Activity'!$B$2:$B$385,B343)</f>
        <v/>
      </c>
      <c r="S343" s="6">
        <f>IF(O343="","",IF(ABS(P343)*10000&gt;Q343,"NAV MOVE BREACH",""))</f>
        <v/>
      </c>
      <c r="T343" s="6">
        <f>IF(AND((B343=B342),D343&lt;&gt;"Money Market",E343=E342),"STALE PRICE","")</f>
        <v/>
      </c>
      <c r="U343" s="6">
        <f>IF(F343&lt;0,"NEGATIVE CASH","")</f>
        <v/>
      </c>
      <c r="V343" s="6">
        <f>IF(ABS(R343)&gt;0.05*M343,"LARGE FLOW","")</f>
        <v/>
      </c>
      <c r="W343" s="6">
        <f>(S343&lt;&gt;"")*1+(T343&lt;&gt;"")*1+(U343&lt;&gt;"")*1+(V343&lt;&gt;"")*1</f>
        <v/>
      </c>
      <c r="X343" s="6">
        <f>IF(S343&lt;&gt;"",S343,IF(T343&lt;&gt;"",T343,IF(U343&lt;&gt;"",U343,IF(V343&lt;&gt;"",V343,""))))</f>
        <v/>
      </c>
    </row>
    <row r="344">
      <c r="A344" s="6" t="inlineStr">
        <is>
          <t>2026-05-01</t>
        </is>
      </c>
      <c r="B344" s="6" t="inlineStr">
        <is>
          <t>MMUS</t>
        </is>
      </c>
      <c r="C344" s="6">
        <f>INDEX('Fund Master'!$B$2:$B$7,MATCH(B344,'Fund Master'!$A$2:$A$7,0))</f>
        <v/>
      </c>
      <c r="D344" s="6">
        <f>INDEX('Fund Master'!$C$2:$C$7,MATCH(B344,'Fund Master'!$A$2:$A$7,0))</f>
        <v/>
      </c>
      <c r="E344" s="8" t="n">
        <v>810580012.63</v>
      </c>
      <c r="F344" s="8" t="n">
        <v>24398174.13</v>
      </c>
      <c r="G344" s="8" t="n">
        <v>4808600.51</v>
      </c>
      <c r="H344" s="8" t="n">
        <v>4007089.21</v>
      </c>
      <c r="I344" s="8" t="n">
        <v>133157.58</v>
      </c>
      <c r="J344" s="10" t="n">
        <v>810000000</v>
      </c>
      <c r="K344" s="9">
        <f>E344+F344+G344</f>
        <v/>
      </c>
      <c r="L344" s="9">
        <f>H344+I344</f>
        <v/>
      </c>
      <c r="M344" s="9">
        <f>K344-L344</f>
        <v/>
      </c>
      <c r="N344" s="11">
        <f>IFERROR(M344/J344,0)</f>
        <v/>
      </c>
      <c r="O344" s="11">
        <f>IF((B344=B343),N343,"")</f>
        <v/>
      </c>
      <c r="P344" s="12">
        <f>IF(O344="","",IFERROR((N344-O344)/O344,""))</f>
        <v/>
      </c>
      <c r="Q344" s="13">
        <f>INDEX('Fund Master'!$F$2:$F$7,MATCH(B344,'Fund Master'!$A$2:$A$7,0))</f>
        <v/>
      </c>
      <c r="R344" s="9">
        <f>SUMIFS('Capital Activity'!$E$2:$E$385,'Capital Activity'!$A$2:$A$385,A344,'Capital Activity'!$B$2:$B$385,B344)</f>
        <v/>
      </c>
      <c r="S344" s="6">
        <f>IF(O344="","",IF(ABS(P344)*10000&gt;Q344,"NAV MOVE BREACH",""))</f>
        <v/>
      </c>
      <c r="T344" s="6">
        <f>IF(AND((B344=B343),D344&lt;&gt;"Money Market",E344=E343),"STALE PRICE","")</f>
        <v/>
      </c>
      <c r="U344" s="6">
        <f>IF(F344&lt;0,"NEGATIVE CASH","")</f>
        <v/>
      </c>
      <c r="V344" s="6">
        <f>IF(ABS(R344)&gt;0.05*M344,"LARGE FLOW","")</f>
        <v/>
      </c>
      <c r="W344" s="6">
        <f>(S344&lt;&gt;"")*1+(T344&lt;&gt;"")*1+(U344&lt;&gt;"")*1+(V344&lt;&gt;"")*1</f>
        <v/>
      </c>
      <c r="X344" s="6">
        <f>IF(S344&lt;&gt;"",S344,IF(T344&lt;&gt;"",T344,IF(U344&lt;&gt;"",U344,IF(V344&lt;&gt;"",V344,""))))</f>
        <v/>
      </c>
    </row>
    <row r="345">
      <c r="A345" s="6" t="inlineStr">
        <is>
          <t>2026-05-04</t>
        </is>
      </c>
      <c r="B345" s="6" t="inlineStr">
        <is>
          <t>MMUS</t>
        </is>
      </c>
      <c r="C345" s="6">
        <f>INDEX('Fund Master'!$B$2:$B$7,MATCH(B345,'Fund Master'!$A$2:$A$7,0))</f>
        <v/>
      </c>
      <c r="D345" s="6">
        <f>INDEX('Fund Master'!$C$2:$C$7,MATCH(B345,'Fund Master'!$A$2:$A$7,0))</f>
        <v/>
      </c>
      <c r="E345" s="8" t="n">
        <v>810858102.48</v>
      </c>
      <c r="F345" s="8" t="n">
        <v>24393476.72</v>
      </c>
      <c r="G345" s="8" t="n">
        <v>4829989.08</v>
      </c>
      <c r="H345" s="8" t="n">
        <v>4033135.37</v>
      </c>
      <c r="I345" s="8" t="n">
        <v>138949.42</v>
      </c>
      <c r="J345" s="10" t="n">
        <v>810000000</v>
      </c>
      <c r="K345" s="9">
        <f>E345+F345+G345</f>
        <v/>
      </c>
      <c r="L345" s="9">
        <f>H345+I345</f>
        <v/>
      </c>
      <c r="M345" s="9">
        <f>K345-L345</f>
        <v/>
      </c>
      <c r="N345" s="11">
        <f>IFERROR(M345/J345,0)</f>
        <v/>
      </c>
      <c r="O345" s="11">
        <f>IF((B345=B344),N344,"")</f>
        <v/>
      </c>
      <c r="P345" s="12">
        <f>IF(O345="","",IFERROR((N345-O345)/O345,""))</f>
        <v/>
      </c>
      <c r="Q345" s="13">
        <f>INDEX('Fund Master'!$F$2:$F$7,MATCH(B345,'Fund Master'!$A$2:$A$7,0))</f>
        <v/>
      </c>
      <c r="R345" s="9">
        <f>SUMIFS('Capital Activity'!$E$2:$E$385,'Capital Activity'!$A$2:$A$385,A345,'Capital Activity'!$B$2:$B$385,B345)</f>
        <v/>
      </c>
      <c r="S345" s="6">
        <f>IF(O345="","",IF(ABS(P345)*10000&gt;Q345,"NAV MOVE BREACH",""))</f>
        <v/>
      </c>
      <c r="T345" s="6">
        <f>IF(AND((B345=B344),D345&lt;&gt;"Money Market",E345=E344),"STALE PRICE","")</f>
        <v/>
      </c>
      <c r="U345" s="6">
        <f>IF(F345&lt;0,"NEGATIVE CASH","")</f>
        <v/>
      </c>
      <c r="V345" s="6">
        <f>IF(ABS(R345)&gt;0.05*M345,"LARGE FLOW","")</f>
        <v/>
      </c>
      <c r="W345" s="6">
        <f>(S345&lt;&gt;"")*1+(T345&lt;&gt;"")*1+(U345&lt;&gt;"")*1+(V345&lt;&gt;"")*1</f>
        <v/>
      </c>
      <c r="X345" s="6">
        <f>IF(S345&lt;&gt;"",S345,IF(T345&lt;&gt;"",T345,IF(U345&lt;&gt;"",U345,IF(V345&lt;&gt;"",V345,""))))</f>
        <v/>
      </c>
    </row>
    <row r="346">
      <c r="A346" s="6" t="inlineStr">
        <is>
          <t>2026-05-05</t>
        </is>
      </c>
      <c r="B346" s="6" t="inlineStr">
        <is>
          <t>MMUS</t>
        </is>
      </c>
      <c r="C346" s="6">
        <f>INDEX('Fund Master'!$B$2:$B$7,MATCH(B346,'Fund Master'!$A$2:$A$7,0))</f>
        <v/>
      </c>
      <c r="D346" s="6">
        <f>INDEX('Fund Master'!$C$2:$C$7,MATCH(B346,'Fund Master'!$A$2:$A$7,0))</f>
        <v/>
      </c>
      <c r="E346" s="8" t="n">
        <v>810939793.2</v>
      </c>
      <c r="F346" s="8" t="n">
        <v>24394953.21</v>
      </c>
      <c r="G346" s="8" t="n">
        <v>4815818.72</v>
      </c>
      <c r="H346" s="8" t="n">
        <v>4038802.41</v>
      </c>
      <c r="I346" s="8" t="n">
        <v>144741.85</v>
      </c>
      <c r="J346" s="10" t="n">
        <v>810000000</v>
      </c>
      <c r="K346" s="9">
        <f>E346+F346+G346</f>
        <v/>
      </c>
      <c r="L346" s="9">
        <f>H346+I346</f>
        <v/>
      </c>
      <c r="M346" s="9">
        <f>K346-L346</f>
        <v/>
      </c>
      <c r="N346" s="11">
        <f>IFERROR(M346/J346,0)</f>
        <v/>
      </c>
      <c r="O346" s="11">
        <f>IF((B346=B345),N345,"")</f>
        <v/>
      </c>
      <c r="P346" s="12">
        <f>IF(O346="","",IFERROR((N346-O346)/O346,""))</f>
        <v/>
      </c>
      <c r="Q346" s="13">
        <f>INDEX('Fund Master'!$F$2:$F$7,MATCH(B346,'Fund Master'!$A$2:$A$7,0))</f>
        <v/>
      </c>
      <c r="R346" s="9">
        <f>SUMIFS('Capital Activity'!$E$2:$E$385,'Capital Activity'!$A$2:$A$385,A346,'Capital Activity'!$B$2:$B$385,B346)</f>
        <v/>
      </c>
      <c r="S346" s="6">
        <f>IF(O346="","",IF(ABS(P346)*10000&gt;Q346,"NAV MOVE BREACH",""))</f>
        <v/>
      </c>
      <c r="T346" s="6">
        <f>IF(AND((B346=B345),D346&lt;&gt;"Money Market",E346=E345),"STALE PRICE","")</f>
        <v/>
      </c>
      <c r="U346" s="6">
        <f>IF(F346&lt;0,"NEGATIVE CASH","")</f>
        <v/>
      </c>
      <c r="V346" s="6">
        <f>IF(ABS(R346)&gt;0.05*M346,"LARGE FLOW","")</f>
        <v/>
      </c>
      <c r="W346" s="6">
        <f>(S346&lt;&gt;"")*1+(T346&lt;&gt;"")*1+(U346&lt;&gt;"")*1+(V346&lt;&gt;"")*1</f>
        <v/>
      </c>
      <c r="X346" s="6">
        <f>IF(S346&lt;&gt;"",S346,IF(T346&lt;&gt;"",T346,IF(U346&lt;&gt;"",U346,IF(V346&lt;&gt;"",V346,""))))</f>
        <v/>
      </c>
    </row>
    <row r="347">
      <c r="A347" s="6" t="inlineStr">
        <is>
          <t>2026-05-06</t>
        </is>
      </c>
      <c r="B347" s="6" t="inlineStr">
        <is>
          <t>MMUS</t>
        </is>
      </c>
      <c r="C347" s="6">
        <f>INDEX('Fund Master'!$B$2:$B$7,MATCH(B347,'Fund Master'!$A$2:$A$7,0))</f>
        <v/>
      </c>
      <c r="D347" s="6">
        <f>INDEX('Fund Master'!$C$2:$C$7,MATCH(B347,'Fund Master'!$A$2:$A$7,0))</f>
        <v/>
      </c>
      <c r="E347" s="8" t="n">
        <v>810880656.67</v>
      </c>
      <c r="F347" s="8" t="n">
        <v>24401330.07</v>
      </c>
      <c r="G347" s="8" t="n">
        <v>4820061.79</v>
      </c>
      <c r="H347" s="8" t="n">
        <v>4034309.07</v>
      </c>
      <c r="I347" s="8" t="n">
        <v>150533.86</v>
      </c>
      <c r="J347" s="10" t="n">
        <v>810000000</v>
      </c>
      <c r="K347" s="9">
        <f>E347+F347+G347</f>
        <v/>
      </c>
      <c r="L347" s="9">
        <f>H347+I347</f>
        <v/>
      </c>
      <c r="M347" s="9">
        <f>K347-L347</f>
        <v/>
      </c>
      <c r="N347" s="11">
        <f>IFERROR(M347/J347,0)</f>
        <v/>
      </c>
      <c r="O347" s="11">
        <f>IF((B347=B346),N346,"")</f>
        <v/>
      </c>
      <c r="P347" s="12">
        <f>IF(O347="","",IFERROR((N347-O347)/O347,""))</f>
        <v/>
      </c>
      <c r="Q347" s="13">
        <f>INDEX('Fund Master'!$F$2:$F$7,MATCH(B347,'Fund Master'!$A$2:$A$7,0))</f>
        <v/>
      </c>
      <c r="R347" s="9">
        <f>SUMIFS('Capital Activity'!$E$2:$E$385,'Capital Activity'!$A$2:$A$385,A347,'Capital Activity'!$B$2:$B$385,B347)</f>
        <v/>
      </c>
      <c r="S347" s="6">
        <f>IF(O347="","",IF(ABS(P347)*10000&gt;Q347,"NAV MOVE BREACH",""))</f>
        <v/>
      </c>
      <c r="T347" s="6">
        <f>IF(AND((B347=B346),D347&lt;&gt;"Money Market",E347=E346),"STALE PRICE","")</f>
        <v/>
      </c>
      <c r="U347" s="6">
        <f>IF(F347&lt;0,"NEGATIVE CASH","")</f>
        <v/>
      </c>
      <c r="V347" s="6">
        <f>IF(ABS(R347)&gt;0.05*M347,"LARGE FLOW","")</f>
        <v/>
      </c>
      <c r="W347" s="6">
        <f>(S347&lt;&gt;"")*1+(T347&lt;&gt;"")*1+(U347&lt;&gt;"")*1+(V347&lt;&gt;"")*1</f>
        <v/>
      </c>
      <c r="X347" s="6">
        <f>IF(S347&lt;&gt;"",S347,IF(T347&lt;&gt;"",T347,IF(U347&lt;&gt;"",U347,IF(V347&lt;&gt;"",V347,""))))</f>
        <v/>
      </c>
    </row>
    <row r="348">
      <c r="A348" s="6" t="inlineStr">
        <is>
          <t>2026-05-07</t>
        </is>
      </c>
      <c r="B348" s="6" t="inlineStr">
        <is>
          <t>MMUS</t>
        </is>
      </c>
      <c r="C348" s="6">
        <f>INDEX('Fund Master'!$B$2:$B$7,MATCH(B348,'Fund Master'!$A$2:$A$7,0))</f>
        <v/>
      </c>
      <c r="D348" s="6">
        <f>INDEX('Fund Master'!$C$2:$C$7,MATCH(B348,'Fund Master'!$A$2:$A$7,0))</f>
        <v/>
      </c>
      <c r="E348" s="8" t="n">
        <v>811038177.91</v>
      </c>
      <c r="F348" s="8" t="n">
        <v>24351488.21</v>
      </c>
      <c r="G348" s="8" t="n">
        <v>4823048.11</v>
      </c>
      <c r="H348" s="8" t="n">
        <v>4066543.68</v>
      </c>
      <c r="I348" s="8" t="n">
        <v>156326.99</v>
      </c>
      <c r="J348" s="10" t="n">
        <v>810000000</v>
      </c>
      <c r="K348" s="9">
        <f>E348+F348+G348</f>
        <v/>
      </c>
      <c r="L348" s="9">
        <f>H348+I348</f>
        <v/>
      </c>
      <c r="M348" s="9">
        <f>K348-L348</f>
        <v/>
      </c>
      <c r="N348" s="11">
        <f>IFERROR(M348/J348,0)</f>
        <v/>
      </c>
      <c r="O348" s="11">
        <f>IF((B348=B347),N347,"")</f>
        <v/>
      </c>
      <c r="P348" s="12">
        <f>IF(O348="","",IFERROR((N348-O348)/O348,""))</f>
        <v/>
      </c>
      <c r="Q348" s="13">
        <f>INDEX('Fund Master'!$F$2:$F$7,MATCH(B348,'Fund Master'!$A$2:$A$7,0))</f>
        <v/>
      </c>
      <c r="R348" s="9">
        <f>SUMIFS('Capital Activity'!$E$2:$E$385,'Capital Activity'!$A$2:$A$385,A348,'Capital Activity'!$B$2:$B$385,B348)</f>
        <v/>
      </c>
      <c r="S348" s="6">
        <f>IF(O348="","",IF(ABS(P348)*10000&gt;Q348,"NAV MOVE BREACH",""))</f>
        <v/>
      </c>
      <c r="T348" s="6">
        <f>IF(AND((B348=B347),D348&lt;&gt;"Money Market",E348=E347),"STALE PRICE","")</f>
        <v/>
      </c>
      <c r="U348" s="6">
        <f>IF(F348&lt;0,"NEGATIVE CASH","")</f>
        <v/>
      </c>
      <c r="V348" s="6">
        <f>IF(ABS(R348)&gt;0.05*M348,"LARGE FLOW","")</f>
        <v/>
      </c>
      <c r="W348" s="6">
        <f>(S348&lt;&gt;"")*1+(T348&lt;&gt;"")*1+(U348&lt;&gt;"")*1+(V348&lt;&gt;"")*1</f>
        <v/>
      </c>
      <c r="X348" s="6">
        <f>IF(S348&lt;&gt;"",S348,IF(T348&lt;&gt;"",T348,IF(U348&lt;&gt;"",U348,IF(V348&lt;&gt;"",V348,""))))</f>
        <v/>
      </c>
    </row>
    <row r="349">
      <c r="A349" s="6" t="inlineStr">
        <is>
          <t>2026-05-08</t>
        </is>
      </c>
      <c r="B349" s="6" t="inlineStr">
        <is>
          <t>MMUS</t>
        </is>
      </c>
      <c r="C349" s="6">
        <f>INDEX('Fund Master'!$B$2:$B$7,MATCH(B349,'Fund Master'!$A$2:$A$7,0))</f>
        <v/>
      </c>
      <c r="D349" s="6">
        <f>INDEX('Fund Master'!$C$2:$C$7,MATCH(B349,'Fund Master'!$A$2:$A$7,0))</f>
        <v/>
      </c>
      <c r="E349" s="8" t="n">
        <v>811137758.45</v>
      </c>
      <c r="F349" s="8" t="n">
        <v>24361761.41</v>
      </c>
      <c r="G349" s="8" t="n">
        <v>4829328.47</v>
      </c>
      <c r="H349" s="8" t="n">
        <v>4074978.94</v>
      </c>
      <c r="I349" s="8" t="n">
        <v>162120.83</v>
      </c>
      <c r="J349" s="10" t="n">
        <v>810000000</v>
      </c>
      <c r="K349" s="9">
        <f>E349+F349+G349</f>
        <v/>
      </c>
      <c r="L349" s="9">
        <f>H349+I349</f>
        <v/>
      </c>
      <c r="M349" s="9">
        <f>K349-L349</f>
        <v/>
      </c>
      <c r="N349" s="11">
        <f>IFERROR(M349/J349,0)</f>
        <v/>
      </c>
      <c r="O349" s="11">
        <f>IF((B349=B348),N348,"")</f>
        <v/>
      </c>
      <c r="P349" s="12">
        <f>IF(O349="","",IFERROR((N349-O349)/O349,""))</f>
        <v/>
      </c>
      <c r="Q349" s="13">
        <f>INDEX('Fund Master'!$F$2:$F$7,MATCH(B349,'Fund Master'!$A$2:$A$7,0))</f>
        <v/>
      </c>
      <c r="R349" s="9">
        <f>SUMIFS('Capital Activity'!$E$2:$E$385,'Capital Activity'!$A$2:$A$385,A349,'Capital Activity'!$B$2:$B$385,B349)</f>
        <v/>
      </c>
      <c r="S349" s="6">
        <f>IF(O349="","",IF(ABS(P349)*10000&gt;Q349,"NAV MOVE BREACH",""))</f>
        <v/>
      </c>
      <c r="T349" s="6">
        <f>IF(AND((B349=B348),D349&lt;&gt;"Money Market",E349=E348),"STALE PRICE","")</f>
        <v/>
      </c>
      <c r="U349" s="6">
        <f>IF(F349&lt;0,"NEGATIVE CASH","")</f>
        <v/>
      </c>
      <c r="V349" s="6">
        <f>IF(ABS(R349)&gt;0.05*M349,"LARGE FLOW","")</f>
        <v/>
      </c>
      <c r="W349" s="6">
        <f>(S349&lt;&gt;"")*1+(T349&lt;&gt;"")*1+(U349&lt;&gt;"")*1+(V349&lt;&gt;"")*1</f>
        <v/>
      </c>
      <c r="X349" s="6">
        <f>IF(S349&lt;&gt;"",S349,IF(T349&lt;&gt;"",T349,IF(U349&lt;&gt;"",U349,IF(V349&lt;&gt;"",V349,""))))</f>
        <v/>
      </c>
    </row>
    <row r="350">
      <c r="A350" s="6" t="inlineStr">
        <is>
          <t>2026-05-11</t>
        </is>
      </c>
      <c r="B350" s="6" t="inlineStr">
        <is>
          <t>MMUS</t>
        </is>
      </c>
      <c r="C350" s="6">
        <f>INDEX('Fund Master'!$B$2:$B$7,MATCH(B350,'Fund Master'!$A$2:$A$7,0))</f>
        <v/>
      </c>
      <c r="D350" s="6">
        <f>INDEX('Fund Master'!$C$2:$C$7,MATCH(B350,'Fund Master'!$A$2:$A$7,0))</f>
        <v/>
      </c>
      <c r="E350" s="8" t="n">
        <v>811220465.08</v>
      </c>
      <c r="F350" s="8" t="n">
        <v>24354459.77</v>
      </c>
      <c r="G350" s="8" t="n">
        <v>4840733</v>
      </c>
      <c r="H350" s="8" t="n">
        <v>4106218.9</v>
      </c>
      <c r="I350" s="8" t="n">
        <v>167915.26</v>
      </c>
      <c r="J350" s="10" t="n">
        <v>810000000</v>
      </c>
      <c r="K350" s="9">
        <f>E350+F350+G350</f>
        <v/>
      </c>
      <c r="L350" s="9">
        <f>H350+I350</f>
        <v/>
      </c>
      <c r="M350" s="9">
        <f>K350-L350</f>
        <v/>
      </c>
      <c r="N350" s="11">
        <f>IFERROR(M350/J350,0)</f>
        <v/>
      </c>
      <c r="O350" s="11">
        <f>IF((B350=B349),N349,"")</f>
        <v/>
      </c>
      <c r="P350" s="12">
        <f>IF(O350="","",IFERROR((N350-O350)/O350,""))</f>
        <v/>
      </c>
      <c r="Q350" s="13">
        <f>INDEX('Fund Master'!$F$2:$F$7,MATCH(B350,'Fund Master'!$A$2:$A$7,0))</f>
        <v/>
      </c>
      <c r="R350" s="9">
        <f>SUMIFS('Capital Activity'!$E$2:$E$385,'Capital Activity'!$A$2:$A$385,A350,'Capital Activity'!$B$2:$B$385,B350)</f>
        <v/>
      </c>
      <c r="S350" s="6">
        <f>IF(O350="","",IF(ABS(P350)*10000&gt;Q350,"NAV MOVE BREACH",""))</f>
        <v/>
      </c>
      <c r="T350" s="6">
        <f>IF(AND((B350=B349),D350&lt;&gt;"Money Market",E350=E349),"STALE PRICE","")</f>
        <v/>
      </c>
      <c r="U350" s="6">
        <f>IF(F350&lt;0,"NEGATIVE CASH","")</f>
        <v/>
      </c>
      <c r="V350" s="6">
        <f>IF(ABS(R350)&gt;0.05*M350,"LARGE FLOW","")</f>
        <v/>
      </c>
      <c r="W350" s="6">
        <f>(S350&lt;&gt;"")*1+(T350&lt;&gt;"")*1+(U350&lt;&gt;"")*1+(V350&lt;&gt;"")*1</f>
        <v/>
      </c>
      <c r="X350" s="6">
        <f>IF(S350&lt;&gt;"",S350,IF(T350&lt;&gt;"",T350,IF(U350&lt;&gt;"",U350,IF(V350&lt;&gt;"",V350,""))))</f>
        <v/>
      </c>
    </row>
    <row r="351">
      <c r="A351" s="6" t="inlineStr">
        <is>
          <t>2026-05-12</t>
        </is>
      </c>
      <c r="B351" s="6" t="inlineStr">
        <is>
          <t>MMUS</t>
        </is>
      </c>
      <c r="C351" s="6">
        <f>INDEX('Fund Master'!$B$2:$B$7,MATCH(B351,'Fund Master'!$A$2:$A$7,0))</f>
        <v/>
      </c>
      <c r="D351" s="6">
        <f>INDEX('Fund Master'!$C$2:$C$7,MATCH(B351,'Fund Master'!$A$2:$A$7,0))</f>
        <v/>
      </c>
      <c r="E351" s="8" t="n">
        <v>811416306.79</v>
      </c>
      <c r="F351" s="8" t="n">
        <v>24355455.36</v>
      </c>
      <c r="G351" s="8" t="n">
        <v>4806642.84</v>
      </c>
      <c r="H351" s="8" t="n">
        <v>4120962.44</v>
      </c>
      <c r="I351" s="8" t="n">
        <v>173711.09</v>
      </c>
      <c r="J351" s="10" t="n">
        <v>810000000</v>
      </c>
      <c r="K351" s="9">
        <f>E351+F351+G351</f>
        <v/>
      </c>
      <c r="L351" s="9">
        <f>H351+I351</f>
        <v/>
      </c>
      <c r="M351" s="9">
        <f>K351-L351</f>
        <v/>
      </c>
      <c r="N351" s="11">
        <f>IFERROR(M351/J351,0)</f>
        <v/>
      </c>
      <c r="O351" s="11">
        <f>IF((B351=B350),N350,"")</f>
        <v/>
      </c>
      <c r="P351" s="12">
        <f>IF(O351="","",IFERROR((N351-O351)/O351,""))</f>
        <v/>
      </c>
      <c r="Q351" s="13">
        <f>INDEX('Fund Master'!$F$2:$F$7,MATCH(B351,'Fund Master'!$A$2:$A$7,0))</f>
        <v/>
      </c>
      <c r="R351" s="9">
        <f>SUMIFS('Capital Activity'!$E$2:$E$385,'Capital Activity'!$A$2:$A$385,A351,'Capital Activity'!$B$2:$B$385,B351)</f>
        <v/>
      </c>
      <c r="S351" s="6">
        <f>IF(O351="","",IF(ABS(P351)*10000&gt;Q351,"NAV MOVE BREACH",""))</f>
        <v/>
      </c>
      <c r="T351" s="6">
        <f>IF(AND((B351=B350),D351&lt;&gt;"Money Market",E351=E350),"STALE PRICE","")</f>
        <v/>
      </c>
      <c r="U351" s="6">
        <f>IF(F351&lt;0,"NEGATIVE CASH","")</f>
        <v/>
      </c>
      <c r="V351" s="6">
        <f>IF(ABS(R351)&gt;0.05*M351,"LARGE FLOW","")</f>
        <v/>
      </c>
      <c r="W351" s="6">
        <f>(S351&lt;&gt;"")*1+(T351&lt;&gt;"")*1+(U351&lt;&gt;"")*1+(V351&lt;&gt;"")*1</f>
        <v/>
      </c>
      <c r="X351" s="6">
        <f>IF(S351&lt;&gt;"",S351,IF(T351&lt;&gt;"",T351,IF(U351&lt;&gt;"",U351,IF(V351&lt;&gt;"",V351,""))))</f>
        <v/>
      </c>
    </row>
    <row r="352">
      <c r="A352" s="6" t="inlineStr">
        <is>
          <t>2026-05-13</t>
        </is>
      </c>
      <c r="B352" s="6" t="inlineStr">
        <is>
          <t>MMUS</t>
        </is>
      </c>
      <c r="C352" s="6">
        <f>INDEX('Fund Master'!$B$2:$B$7,MATCH(B352,'Fund Master'!$A$2:$A$7,0))</f>
        <v/>
      </c>
      <c r="D352" s="6">
        <f>INDEX('Fund Master'!$C$2:$C$7,MATCH(B352,'Fund Master'!$A$2:$A$7,0))</f>
        <v/>
      </c>
      <c r="E352" s="8" t="n">
        <v>811486409.96</v>
      </c>
      <c r="F352" s="8" t="n">
        <v>24365288.97</v>
      </c>
      <c r="G352" s="8" t="n">
        <v>4818572.33</v>
      </c>
      <c r="H352" s="8" t="n">
        <v>4114250.65</v>
      </c>
      <c r="I352" s="8" t="n">
        <v>179507.42</v>
      </c>
      <c r="J352" s="10" t="n">
        <v>810000000</v>
      </c>
      <c r="K352" s="9">
        <f>E352+F352+G352</f>
        <v/>
      </c>
      <c r="L352" s="9">
        <f>H352+I352</f>
        <v/>
      </c>
      <c r="M352" s="9">
        <f>K352-L352</f>
        <v/>
      </c>
      <c r="N352" s="11">
        <f>IFERROR(M352/J352,0)</f>
        <v/>
      </c>
      <c r="O352" s="11">
        <f>IF((B352=B351),N351,"")</f>
        <v/>
      </c>
      <c r="P352" s="12">
        <f>IF(O352="","",IFERROR((N352-O352)/O352,""))</f>
        <v/>
      </c>
      <c r="Q352" s="13">
        <f>INDEX('Fund Master'!$F$2:$F$7,MATCH(B352,'Fund Master'!$A$2:$A$7,0))</f>
        <v/>
      </c>
      <c r="R352" s="9">
        <f>SUMIFS('Capital Activity'!$E$2:$E$385,'Capital Activity'!$A$2:$A$385,A352,'Capital Activity'!$B$2:$B$385,B352)</f>
        <v/>
      </c>
      <c r="S352" s="6">
        <f>IF(O352="","",IF(ABS(P352)*10000&gt;Q352,"NAV MOVE BREACH",""))</f>
        <v/>
      </c>
      <c r="T352" s="6">
        <f>IF(AND((B352=B351),D352&lt;&gt;"Money Market",E352=E351),"STALE PRICE","")</f>
        <v/>
      </c>
      <c r="U352" s="6">
        <f>IF(F352&lt;0,"NEGATIVE CASH","")</f>
        <v/>
      </c>
      <c r="V352" s="6">
        <f>IF(ABS(R352)&gt;0.05*M352,"LARGE FLOW","")</f>
        <v/>
      </c>
      <c r="W352" s="6">
        <f>(S352&lt;&gt;"")*1+(T352&lt;&gt;"")*1+(U352&lt;&gt;"")*1+(V352&lt;&gt;"")*1</f>
        <v/>
      </c>
      <c r="X352" s="6">
        <f>IF(S352&lt;&gt;"",S352,IF(T352&lt;&gt;"",T352,IF(U352&lt;&gt;"",U352,IF(V352&lt;&gt;"",V352,""))))</f>
        <v/>
      </c>
    </row>
    <row r="353">
      <c r="A353" s="6" t="inlineStr">
        <is>
          <t>2026-05-14</t>
        </is>
      </c>
      <c r="B353" s="6" t="inlineStr">
        <is>
          <t>MMUS</t>
        </is>
      </c>
      <c r="C353" s="6">
        <f>INDEX('Fund Master'!$B$2:$B$7,MATCH(B353,'Fund Master'!$A$2:$A$7,0))</f>
        <v/>
      </c>
      <c r="D353" s="6">
        <f>INDEX('Fund Master'!$C$2:$C$7,MATCH(B353,'Fund Master'!$A$2:$A$7,0))</f>
        <v/>
      </c>
      <c r="E353" s="8" t="n">
        <v>811622546.63</v>
      </c>
      <c r="F353" s="8" t="n">
        <v>24394348.85</v>
      </c>
      <c r="G353" s="8" t="n">
        <v>4804196.24</v>
      </c>
      <c r="H353" s="8" t="n">
        <v>4132569.02</v>
      </c>
      <c r="I353" s="8" t="n">
        <v>185304.72</v>
      </c>
      <c r="J353" s="10" t="n">
        <v>810000000</v>
      </c>
      <c r="K353" s="9">
        <f>E353+F353+G353</f>
        <v/>
      </c>
      <c r="L353" s="9">
        <f>H353+I353</f>
        <v/>
      </c>
      <c r="M353" s="9">
        <f>K353-L353</f>
        <v/>
      </c>
      <c r="N353" s="11">
        <f>IFERROR(M353/J353,0)</f>
        <v/>
      </c>
      <c r="O353" s="11">
        <f>IF((B353=B352),N352,"")</f>
        <v/>
      </c>
      <c r="P353" s="12">
        <f>IF(O353="","",IFERROR((N353-O353)/O353,""))</f>
        <v/>
      </c>
      <c r="Q353" s="13">
        <f>INDEX('Fund Master'!$F$2:$F$7,MATCH(B353,'Fund Master'!$A$2:$A$7,0))</f>
        <v/>
      </c>
      <c r="R353" s="9">
        <f>SUMIFS('Capital Activity'!$E$2:$E$385,'Capital Activity'!$A$2:$A$385,A353,'Capital Activity'!$B$2:$B$385,B353)</f>
        <v/>
      </c>
      <c r="S353" s="6">
        <f>IF(O353="","",IF(ABS(P353)*10000&gt;Q353,"NAV MOVE BREACH",""))</f>
        <v/>
      </c>
      <c r="T353" s="6">
        <f>IF(AND((B353=B352),D353&lt;&gt;"Money Market",E353=E352),"STALE PRICE","")</f>
        <v/>
      </c>
      <c r="U353" s="6">
        <f>IF(F353&lt;0,"NEGATIVE CASH","")</f>
        <v/>
      </c>
      <c r="V353" s="6">
        <f>IF(ABS(R353)&gt;0.05*M353,"LARGE FLOW","")</f>
        <v/>
      </c>
      <c r="W353" s="6">
        <f>(S353&lt;&gt;"")*1+(T353&lt;&gt;"")*1+(U353&lt;&gt;"")*1+(V353&lt;&gt;"")*1</f>
        <v/>
      </c>
      <c r="X353" s="6">
        <f>IF(S353&lt;&gt;"",S353,IF(T353&lt;&gt;"",T353,IF(U353&lt;&gt;"",U353,IF(V353&lt;&gt;"",V353,""))))</f>
        <v/>
      </c>
    </row>
    <row r="354">
      <c r="A354" s="6" t="inlineStr">
        <is>
          <t>2026-05-15</t>
        </is>
      </c>
      <c r="B354" s="6" t="inlineStr">
        <is>
          <t>MMUS</t>
        </is>
      </c>
      <c r="C354" s="6">
        <f>INDEX('Fund Master'!$B$2:$B$7,MATCH(B354,'Fund Master'!$A$2:$A$7,0))</f>
        <v/>
      </c>
      <c r="D354" s="6">
        <f>INDEX('Fund Master'!$C$2:$C$7,MATCH(B354,'Fund Master'!$A$2:$A$7,0))</f>
        <v/>
      </c>
      <c r="E354" s="8" t="n">
        <v>811698398.8099999</v>
      </c>
      <c r="F354" s="8" t="n">
        <v>24471231.22</v>
      </c>
      <c r="G354" s="8" t="n">
        <v>4801017.49</v>
      </c>
      <c r="H354" s="8" t="n">
        <v>4127284.44</v>
      </c>
      <c r="I354" s="8" t="n">
        <v>191102.57</v>
      </c>
      <c r="J354" s="10" t="n">
        <v>810000000</v>
      </c>
      <c r="K354" s="9">
        <f>E354+F354+G354</f>
        <v/>
      </c>
      <c r="L354" s="9">
        <f>H354+I354</f>
        <v/>
      </c>
      <c r="M354" s="9">
        <f>K354-L354</f>
        <v/>
      </c>
      <c r="N354" s="11">
        <f>IFERROR(M354/J354,0)</f>
        <v/>
      </c>
      <c r="O354" s="11">
        <f>IF((B354=B353),N353,"")</f>
        <v/>
      </c>
      <c r="P354" s="12">
        <f>IF(O354="","",IFERROR((N354-O354)/O354,""))</f>
        <v/>
      </c>
      <c r="Q354" s="13">
        <f>INDEX('Fund Master'!$F$2:$F$7,MATCH(B354,'Fund Master'!$A$2:$A$7,0))</f>
        <v/>
      </c>
      <c r="R354" s="9">
        <f>SUMIFS('Capital Activity'!$E$2:$E$385,'Capital Activity'!$A$2:$A$385,A354,'Capital Activity'!$B$2:$B$385,B354)</f>
        <v/>
      </c>
      <c r="S354" s="6">
        <f>IF(O354="","",IF(ABS(P354)*10000&gt;Q354,"NAV MOVE BREACH",""))</f>
        <v/>
      </c>
      <c r="T354" s="6">
        <f>IF(AND((B354=B353),D354&lt;&gt;"Money Market",E354=E353),"STALE PRICE","")</f>
        <v/>
      </c>
      <c r="U354" s="6">
        <f>IF(F354&lt;0,"NEGATIVE CASH","")</f>
        <v/>
      </c>
      <c r="V354" s="6">
        <f>IF(ABS(R354)&gt;0.05*M354,"LARGE FLOW","")</f>
        <v/>
      </c>
      <c r="W354" s="6">
        <f>(S354&lt;&gt;"")*1+(T354&lt;&gt;"")*1+(U354&lt;&gt;"")*1+(V354&lt;&gt;"")*1</f>
        <v/>
      </c>
      <c r="X354" s="6">
        <f>IF(S354&lt;&gt;"",S354,IF(T354&lt;&gt;"",T354,IF(U354&lt;&gt;"",U354,IF(V354&lt;&gt;"",V354,""))))</f>
        <v/>
      </c>
    </row>
    <row r="355">
      <c r="A355" s="6" t="inlineStr">
        <is>
          <t>2026-05-18</t>
        </is>
      </c>
      <c r="B355" s="6" t="inlineStr">
        <is>
          <t>MMUS</t>
        </is>
      </c>
      <c r="C355" s="6">
        <f>INDEX('Fund Master'!$B$2:$B$7,MATCH(B355,'Fund Master'!$A$2:$A$7,0))</f>
        <v/>
      </c>
      <c r="D355" s="6">
        <f>INDEX('Fund Master'!$C$2:$C$7,MATCH(B355,'Fund Master'!$A$2:$A$7,0))</f>
        <v/>
      </c>
      <c r="E355" s="8" t="n">
        <v>811844495.09</v>
      </c>
      <c r="F355" s="8" t="n">
        <v>24410026.12</v>
      </c>
      <c r="G355" s="8" t="n">
        <v>4784773.09</v>
      </c>
      <c r="H355" s="8" t="n">
        <v>4110689.51</v>
      </c>
      <c r="I355" s="8" t="n">
        <v>196901.46</v>
      </c>
      <c r="J355" s="10" t="n">
        <v>810000000</v>
      </c>
      <c r="K355" s="9">
        <f>E355+F355+G355</f>
        <v/>
      </c>
      <c r="L355" s="9">
        <f>H355+I355</f>
        <v/>
      </c>
      <c r="M355" s="9">
        <f>K355-L355</f>
        <v/>
      </c>
      <c r="N355" s="11">
        <f>IFERROR(M355/J355,0)</f>
        <v/>
      </c>
      <c r="O355" s="11">
        <f>IF((B355=B354),N354,"")</f>
        <v/>
      </c>
      <c r="P355" s="12">
        <f>IF(O355="","",IFERROR((N355-O355)/O355,""))</f>
        <v/>
      </c>
      <c r="Q355" s="13">
        <f>INDEX('Fund Master'!$F$2:$F$7,MATCH(B355,'Fund Master'!$A$2:$A$7,0))</f>
        <v/>
      </c>
      <c r="R355" s="9">
        <f>SUMIFS('Capital Activity'!$E$2:$E$385,'Capital Activity'!$A$2:$A$385,A355,'Capital Activity'!$B$2:$B$385,B355)</f>
        <v/>
      </c>
      <c r="S355" s="6">
        <f>IF(O355="","",IF(ABS(P355)*10000&gt;Q355,"NAV MOVE BREACH",""))</f>
        <v/>
      </c>
      <c r="T355" s="6">
        <f>IF(AND((B355=B354),D355&lt;&gt;"Money Market",E355=E354),"STALE PRICE","")</f>
        <v/>
      </c>
      <c r="U355" s="6">
        <f>IF(F355&lt;0,"NEGATIVE CASH","")</f>
        <v/>
      </c>
      <c r="V355" s="6">
        <f>IF(ABS(R355)&gt;0.05*M355,"LARGE FLOW","")</f>
        <v/>
      </c>
      <c r="W355" s="6">
        <f>(S355&lt;&gt;"")*1+(T355&lt;&gt;"")*1+(U355&lt;&gt;"")*1+(V355&lt;&gt;"")*1</f>
        <v/>
      </c>
      <c r="X355" s="6">
        <f>IF(S355&lt;&gt;"",S355,IF(T355&lt;&gt;"",T355,IF(U355&lt;&gt;"",U355,IF(V355&lt;&gt;"",V355,""))))</f>
        <v/>
      </c>
    </row>
    <row r="356">
      <c r="A356" s="6" t="inlineStr">
        <is>
          <t>2026-05-19</t>
        </is>
      </c>
      <c r="B356" s="6" t="inlineStr">
        <is>
          <t>MMUS</t>
        </is>
      </c>
      <c r="C356" s="6">
        <f>INDEX('Fund Master'!$B$2:$B$7,MATCH(B356,'Fund Master'!$A$2:$A$7,0))</f>
        <v/>
      </c>
      <c r="D356" s="6">
        <f>INDEX('Fund Master'!$C$2:$C$7,MATCH(B356,'Fund Master'!$A$2:$A$7,0))</f>
        <v/>
      </c>
      <c r="E356" s="8" t="n">
        <v>811843772.67</v>
      </c>
      <c r="F356" s="8" t="n">
        <v>24403151.55</v>
      </c>
      <c r="G356" s="8" t="n">
        <v>4785906.26</v>
      </c>
      <c r="H356" s="8" t="n">
        <v>4129551.12</v>
      </c>
      <c r="I356" s="8" t="n">
        <v>202700.34</v>
      </c>
      <c r="J356" s="10" t="n">
        <v>810000000</v>
      </c>
      <c r="K356" s="9">
        <f>E356+F356+G356</f>
        <v/>
      </c>
      <c r="L356" s="9">
        <f>H356+I356</f>
        <v/>
      </c>
      <c r="M356" s="9">
        <f>K356-L356</f>
        <v/>
      </c>
      <c r="N356" s="11">
        <f>IFERROR(M356/J356,0)</f>
        <v/>
      </c>
      <c r="O356" s="11">
        <f>IF((B356=B355),N355,"")</f>
        <v/>
      </c>
      <c r="P356" s="12">
        <f>IF(O356="","",IFERROR((N356-O356)/O356,""))</f>
        <v/>
      </c>
      <c r="Q356" s="13">
        <f>INDEX('Fund Master'!$F$2:$F$7,MATCH(B356,'Fund Master'!$A$2:$A$7,0))</f>
        <v/>
      </c>
      <c r="R356" s="9">
        <f>SUMIFS('Capital Activity'!$E$2:$E$385,'Capital Activity'!$A$2:$A$385,A356,'Capital Activity'!$B$2:$B$385,B356)</f>
        <v/>
      </c>
      <c r="S356" s="6">
        <f>IF(O356="","",IF(ABS(P356)*10000&gt;Q356,"NAV MOVE BREACH",""))</f>
        <v/>
      </c>
      <c r="T356" s="6">
        <f>IF(AND((B356=B355),D356&lt;&gt;"Money Market",E356=E355),"STALE PRICE","")</f>
        <v/>
      </c>
      <c r="U356" s="6">
        <f>IF(F356&lt;0,"NEGATIVE CASH","")</f>
        <v/>
      </c>
      <c r="V356" s="6">
        <f>IF(ABS(R356)&gt;0.05*M356,"LARGE FLOW","")</f>
        <v/>
      </c>
      <c r="W356" s="6">
        <f>(S356&lt;&gt;"")*1+(T356&lt;&gt;"")*1+(U356&lt;&gt;"")*1+(V356&lt;&gt;"")*1</f>
        <v/>
      </c>
      <c r="X356" s="6">
        <f>IF(S356&lt;&gt;"",S356,IF(T356&lt;&gt;"",T356,IF(U356&lt;&gt;"",U356,IF(V356&lt;&gt;"",V356,""))))</f>
        <v/>
      </c>
    </row>
    <row r="357">
      <c r="A357" s="6" t="inlineStr">
        <is>
          <t>2026-05-20</t>
        </is>
      </c>
      <c r="B357" s="6" t="inlineStr">
        <is>
          <t>MMUS</t>
        </is>
      </c>
      <c r="C357" s="6">
        <f>INDEX('Fund Master'!$B$2:$B$7,MATCH(B357,'Fund Master'!$A$2:$A$7,0))</f>
        <v/>
      </c>
      <c r="D357" s="6">
        <f>INDEX('Fund Master'!$C$2:$C$7,MATCH(B357,'Fund Master'!$A$2:$A$7,0))</f>
        <v/>
      </c>
      <c r="E357" s="8" t="n">
        <v>812018351.17</v>
      </c>
      <c r="F357" s="8" t="n">
        <v>24428744.08</v>
      </c>
      <c r="G357" s="8" t="n">
        <v>4790014.29</v>
      </c>
      <c r="H357" s="8" t="n">
        <v>4146696.49</v>
      </c>
      <c r="I357" s="8" t="n">
        <v>208500.47</v>
      </c>
      <c r="J357" s="10" t="n">
        <v>810000000</v>
      </c>
      <c r="K357" s="9">
        <f>E357+F357+G357</f>
        <v/>
      </c>
      <c r="L357" s="9">
        <f>H357+I357</f>
        <v/>
      </c>
      <c r="M357" s="9">
        <f>K357-L357</f>
        <v/>
      </c>
      <c r="N357" s="11">
        <f>IFERROR(M357/J357,0)</f>
        <v/>
      </c>
      <c r="O357" s="11">
        <f>IF((B357=B356),N356,"")</f>
        <v/>
      </c>
      <c r="P357" s="12">
        <f>IF(O357="","",IFERROR((N357-O357)/O357,""))</f>
        <v/>
      </c>
      <c r="Q357" s="13">
        <f>INDEX('Fund Master'!$F$2:$F$7,MATCH(B357,'Fund Master'!$A$2:$A$7,0))</f>
        <v/>
      </c>
      <c r="R357" s="9">
        <f>SUMIFS('Capital Activity'!$E$2:$E$385,'Capital Activity'!$A$2:$A$385,A357,'Capital Activity'!$B$2:$B$385,B357)</f>
        <v/>
      </c>
      <c r="S357" s="6">
        <f>IF(O357="","",IF(ABS(P357)*10000&gt;Q357,"NAV MOVE BREACH",""))</f>
        <v/>
      </c>
      <c r="T357" s="6">
        <f>IF(AND((B357=B356),D357&lt;&gt;"Money Market",E357=E356),"STALE PRICE","")</f>
        <v/>
      </c>
      <c r="U357" s="6">
        <f>IF(F357&lt;0,"NEGATIVE CASH","")</f>
        <v/>
      </c>
      <c r="V357" s="6">
        <f>IF(ABS(R357)&gt;0.05*M357,"LARGE FLOW","")</f>
        <v/>
      </c>
      <c r="W357" s="6">
        <f>(S357&lt;&gt;"")*1+(T357&lt;&gt;"")*1+(U357&lt;&gt;"")*1+(V357&lt;&gt;"")*1</f>
        <v/>
      </c>
      <c r="X357" s="6">
        <f>IF(S357&lt;&gt;"",S357,IF(T357&lt;&gt;"",T357,IF(U357&lt;&gt;"",U357,IF(V357&lt;&gt;"",V357,""))))</f>
        <v/>
      </c>
    </row>
    <row r="358">
      <c r="A358" s="6" t="inlineStr">
        <is>
          <t>2026-05-21</t>
        </is>
      </c>
      <c r="B358" s="6" t="inlineStr">
        <is>
          <t>MMUS</t>
        </is>
      </c>
      <c r="C358" s="6">
        <f>INDEX('Fund Master'!$B$2:$B$7,MATCH(B358,'Fund Master'!$A$2:$A$7,0))</f>
        <v/>
      </c>
      <c r="D358" s="6">
        <f>INDEX('Fund Master'!$C$2:$C$7,MATCH(B358,'Fund Master'!$A$2:$A$7,0))</f>
        <v/>
      </c>
      <c r="E358" s="8" t="n">
        <v>811928367.25</v>
      </c>
      <c r="F358" s="8" t="n">
        <v>24351719.86</v>
      </c>
      <c r="G358" s="8" t="n">
        <v>4797784.68</v>
      </c>
      <c r="H358" s="8" t="n">
        <v>4168543.22</v>
      </c>
      <c r="I358" s="8" t="n">
        <v>214299.96</v>
      </c>
      <c r="J358" s="10" t="n">
        <v>810000000</v>
      </c>
      <c r="K358" s="9">
        <f>E358+F358+G358</f>
        <v/>
      </c>
      <c r="L358" s="9">
        <f>H358+I358</f>
        <v/>
      </c>
      <c r="M358" s="9">
        <f>K358-L358</f>
        <v/>
      </c>
      <c r="N358" s="11">
        <f>IFERROR(M358/J358,0)</f>
        <v/>
      </c>
      <c r="O358" s="11">
        <f>IF((B358=B357),N357,"")</f>
        <v/>
      </c>
      <c r="P358" s="12">
        <f>IF(O358="","",IFERROR((N358-O358)/O358,""))</f>
        <v/>
      </c>
      <c r="Q358" s="13">
        <f>INDEX('Fund Master'!$F$2:$F$7,MATCH(B358,'Fund Master'!$A$2:$A$7,0))</f>
        <v/>
      </c>
      <c r="R358" s="9">
        <f>SUMIFS('Capital Activity'!$E$2:$E$385,'Capital Activity'!$A$2:$A$385,A358,'Capital Activity'!$B$2:$B$385,B358)</f>
        <v/>
      </c>
      <c r="S358" s="6">
        <f>IF(O358="","",IF(ABS(P358)*10000&gt;Q358,"NAV MOVE BREACH",""))</f>
        <v/>
      </c>
      <c r="T358" s="6">
        <f>IF(AND((B358=B357),D358&lt;&gt;"Money Market",E358=E357),"STALE PRICE","")</f>
        <v/>
      </c>
      <c r="U358" s="6">
        <f>IF(F358&lt;0,"NEGATIVE CASH","")</f>
        <v/>
      </c>
      <c r="V358" s="6">
        <f>IF(ABS(R358)&gt;0.05*M358,"LARGE FLOW","")</f>
        <v/>
      </c>
      <c r="W358" s="6">
        <f>(S358&lt;&gt;"")*1+(T358&lt;&gt;"")*1+(U358&lt;&gt;"")*1+(V358&lt;&gt;"")*1</f>
        <v/>
      </c>
      <c r="X358" s="6">
        <f>IF(S358&lt;&gt;"",S358,IF(T358&lt;&gt;"",T358,IF(U358&lt;&gt;"",U358,IF(V358&lt;&gt;"",V358,""))))</f>
        <v/>
      </c>
    </row>
    <row r="359">
      <c r="A359" s="6" t="inlineStr">
        <is>
          <t>2026-05-22</t>
        </is>
      </c>
      <c r="B359" s="6" t="inlineStr">
        <is>
          <t>MMUS</t>
        </is>
      </c>
      <c r="C359" s="6">
        <f>INDEX('Fund Master'!$B$2:$B$7,MATCH(B359,'Fund Master'!$A$2:$A$7,0))</f>
        <v/>
      </c>
      <c r="D359" s="6">
        <f>INDEX('Fund Master'!$C$2:$C$7,MATCH(B359,'Fund Master'!$A$2:$A$7,0))</f>
        <v/>
      </c>
      <c r="E359" s="8" t="n">
        <v>812206416.71</v>
      </c>
      <c r="F359" s="8" t="n">
        <v>24413458.35</v>
      </c>
      <c r="G359" s="8" t="n">
        <v>4826067.51</v>
      </c>
      <c r="H359" s="8" t="n">
        <v>4182025.98</v>
      </c>
      <c r="I359" s="8" t="n">
        <v>220101.44</v>
      </c>
      <c r="J359" s="10" t="n">
        <v>810000000</v>
      </c>
      <c r="K359" s="9">
        <f>E359+F359+G359</f>
        <v/>
      </c>
      <c r="L359" s="9">
        <f>H359+I359</f>
        <v/>
      </c>
      <c r="M359" s="9">
        <f>K359-L359</f>
        <v/>
      </c>
      <c r="N359" s="11">
        <f>IFERROR(M359/J359,0)</f>
        <v/>
      </c>
      <c r="O359" s="11">
        <f>IF((B359=B358),N358,"")</f>
        <v/>
      </c>
      <c r="P359" s="12">
        <f>IF(O359="","",IFERROR((N359-O359)/O359,""))</f>
        <v/>
      </c>
      <c r="Q359" s="13">
        <f>INDEX('Fund Master'!$F$2:$F$7,MATCH(B359,'Fund Master'!$A$2:$A$7,0))</f>
        <v/>
      </c>
      <c r="R359" s="9">
        <f>SUMIFS('Capital Activity'!$E$2:$E$385,'Capital Activity'!$A$2:$A$385,A359,'Capital Activity'!$B$2:$B$385,B359)</f>
        <v/>
      </c>
      <c r="S359" s="6">
        <f>IF(O359="","",IF(ABS(P359)*10000&gt;Q359,"NAV MOVE BREACH",""))</f>
        <v/>
      </c>
      <c r="T359" s="6">
        <f>IF(AND((B359=B358),D359&lt;&gt;"Money Market",E359=E358),"STALE PRICE","")</f>
        <v/>
      </c>
      <c r="U359" s="6">
        <f>IF(F359&lt;0,"NEGATIVE CASH","")</f>
        <v/>
      </c>
      <c r="V359" s="6">
        <f>IF(ABS(R359)&gt;0.05*M359,"LARGE FLOW","")</f>
        <v/>
      </c>
      <c r="W359" s="6">
        <f>(S359&lt;&gt;"")*1+(T359&lt;&gt;"")*1+(U359&lt;&gt;"")*1+(V359&lt;&gt;"")*1</f>
        <v/>
      </c>
      <c r="X359" s="6">
        <f>IF(S359&lt;&gt;"",S359,IF(T359&lt;&gt;"",T359,IF(U359&lt;&gt;"",U359,IF(V359&lt;&gt;"",V359,""))))</f>
        <v/>
      </c>
    </row>
    <row r="360">
      <c r="A360" s="6" t="inlineStr">
        <is>
          <t>2026-05-26</t>
        </is>
      </c>
      <c r="B360" s="6" t="inlineStr">
        <is>
          <t>MMUS</t>
        </is>
      </c>
      <c r="C360" s="6">
        <f>INDEX('Fund Master'!$B$2:$B$7,MATCH(B360,'Fund Master'!$A$2:$A$7,0))</f>
        <v/>
      </c>
      <c r="D360" s="6">
        <f>INDEX('Fund Master'!$C$2:$C$7,MATCH(B360,'Fund Master'!$A$2:$A$7,0))</f>
        <v/>
      </c>
      <c r="E360" s="8" t="n">
        <v>812182690.13</v>
      </c>
      <c r="F360" s="8" t="n">
        <v>24378501.65</v>
      </c>
      <c r="G360" s="8" t="n">
        <v>4861190.57</v>
      </c>
      <c r="H360" s="8" t="n">
        <v>4179046.78</v>
      </c>
      <c r="I360" s="8" t="n">
        <v>225902.74</v>
      </c>
      <c r="J360" s="10" t="n">
        <v>810000000</v>
      </c>
      <c r="K360" s="9">
        <f>E360+F360+G360</f>
        <v/>
      </c>
      <c r="L360" s="9">
        <f>H360+I360</f>
        <v/>
      </c>
      <c r="M360" s="9">
        <f>K360-L360</f>
        <v/>
      </c>
      <c r="N360" s="11">
        <f>IFERROR(M360/J360,0)</f>
        <v/>
      </c>
      <c r="O360" s="11">
        <f>IF((B360=B359),N359,"")</f>
        <v/>
      </c>
      <c r="P360" s="12">
        <f>IF(O360="","",IFERROR((N360-O360)/O360,""))</f>
        <v/>
      </c>
      <c r="Q360" s="13">
        <f>INDEX('Fund Master'!$F$2:$F$7,MATCH(B360,'Fund Master'!$A$2:$A$7,0))</f>
        <v/>
      </c>
      <c r="R360" s="9">
        <f>SUMIFS('Capital Activity'!$E$2:$E$385,'Capital Activity'!$A$2:$A$385,A360,'Capital Activity'!$B$2:$B$385,B360)</f>
        <v/>
      </c>
      <c r="S360" s="6">
        <f>IF(O360="","",IF(ABS(P360)*10000&gt;Q360,"NAV MOVE BREACH",""))</f>
        <v/>
      </c>
      <c r="T360" s="6">
        <f>IF(AND((B360=B359),D360&lt;&gt;"Money Market",E360=E359),"STALE PRICE","")</f>
        <v/>
      </c>
      <c r="U360" s="6">
        <f>IF(F360&lt;0,"NEGATIVE CASH","")</f>
        <v/>
      </c>
      <c r="V360" s="6">
        <f>IF(ABS(R360)&gt;0.05*M360,"LARGE FLOW","")</f>
        <v/>
      </c>
      <c r="W360" s="6">
        <f>(S360&lt;&gt;"")*1+(T360&lt;&gt;"")*1+(U360&lt;&gt;"")*1+(V360&lt;&gt;"")*1</f>
        <v/>
      </c>
      <c r="X360" s="6">
        <f>IF(S360&lt;&gt;"",S360,IF(T360&lt;&gt;"",T360,IF(U360&lt;&gt;"",U360,IF(V360&lt;&gt;"",V360,""))))</f>
        <v/>
      </c>
    </row>
    <row r="361">
      <c r="A361" s="6" t="inlineStr">
        <is>
          <t>2026-05-27</t>
        </is>
      </c>
      <c r="B361" s="6" t="inlineStr">
        <is>
          <t>MMUS</t>
        </is>
      </c>
      <c r="C361" s="6">
        <f>INDEX('Fund Master'!$B$2:$B$7,MATCH(B361,'Fund Master'!$A$2:$A$7,0))</f>
        <v/>
      </c>
      <c r="D361" s="6">
        <f>INDEX('Fund Master'!$C$2:$C$7,MATCH(B361,'Fund Master'!$A$2:$A$7,0))</f>
        <v/>
      </c>
      <c r="E361" s="8" t="n">
        <v>812206016.41</v>
      </c>
      <c r="F361" s="8" t="n">
        <v>24448038.35</v>
      </c>
      <c r="G361" s="8" t="n">
        <v>4851215.79</v>
      </c>
      <c r="H361" s="8" t="n">
        <v>4182328.03</v>
      </c>
      <c r="I361" s="8" t="n">
        <v>231704.21</v>
      </c>
      <c r="J361" s="10" t="n">
        <v>810000000</v>
      </c>
      <c r="K361" s="9">
        <f>E361+F361+G361</f>
        <v/>
      </c>
      <c r="L361" s="9">
        <f>H361+I361</f>
        <v/>
      </c>
      <c r="M361" s="9">
        <f>K361-L361</f>
        <v/>
      </c>
      <c r="N361" s="11">
        <f>IFERROR(M361/J361,0)</f>
        <v/>
      </c>
      <c r="O361" s="11">
        <f>IF((B361=B360),N360,"")</f>
        <v/>
      </c>
      <c r="P361" s="12">
        <f>IF(O361="","",IFERROR((N361-O361)/O361,""))</f>
        <v/>
      </c>
      <c r="Q361" s="13">
        <f>INDEX('Fund Master'!$F$2:$F$7,MATCH(B361,'Fund Master'!$A$2:$A$7,0))</f>
        <v/>
      </c>
      <c r="R361" s="9">
        <f>SUMIFS('Capital Activity'!$E$2:$E$385,'Capital Activity'!$A$2:$A$385,A361,'Capital Activity'!$B$2:$B$385,B361)</f>
        <v/>
      </c>
      <c r="S361" s="6">
        <f>IF(O361="","",IF(ABS(P361)*10000&gt;Q361,"NAV MOVE BREACH",""))</f>
        <v/>
      </c>
      <c r="T361" s="6">
        <f>IF(AND((B361=B360),D361&lt;&gt;"Money Market",E361=E360),"STALE PRICE","")</f>
        <v/>
      </c>
      <c r="U361" s="6">
        <f>IF(F361&lt;0,"NEGATIVE CASH","")</f>
        <v/>
      </c>
      <c r="V361" s="6">
        <f>IF(ABS(R361)&gt;0.05*M361,"LARGE FLOW","")</f>
        <v/>
      </c>
      <c r="W361" s="6">
        <f>(S361&lt;&gt;"")*1+(T361&lt;&gt;"")*1+(U361&lt;&gt;"")*1+(V361&lt;&gt;"")*1</f>
        <v/>
      </c>
      <c r="X361" s="6">
        <f>IF(S361&lt;&gt;"",S361,IF(T361&lt;&gt;"",T361,IF(U361&lt;&gt;"",U361,IF(V361&lt;&gt;"",V361,""))))</f>
        <v/>
      </c>
    </row>
    <row r="362">
      <c r="A362" s="6" t="inlineStr">
        <is>
          <t>2026-05-28</t>
        </is>
      </c>
      <c r="B362" s="6" t="inlineStr">
        <is>
          <t>MMUS</t>
        </is>
      </c>
      <c r="C362" s="6">
        <f>INDEX('Fund Master'!$B$2:$B$7,MATCH(B362,'Fund Master'!$A$2:$A$7,0))</f>
        <v/>
      </c>
      <c r="D362" s="6">
        <f>INDEX('Fund Master'!$C$2:$C$7,MATCH(B362,'Fund Master'!$A$2:$A$7,0))</f>
        <v/>
      </c>
      <c r="E362" s="8" t="n">
        <v>812122884.03</v>
      </c>
      <c r="F362" s="8" t="n">
        <v>24444032.08</v>
      </c>
      <c r="G362" s="8" t="n">
        <v>4843746.33</v>
      </c>
      <c r="H362" s="8" t="n">
        <v>4170653.34</v>
      </c>
      <c r="I362" s="8" t="n">
        <v>237505.09</v>
      </c>
      <c r="J362" s="10" t="n">
        <v>810000000</v>
      </c>
      <c r="K362" s="9">
        <f>E362+F362+G362</f>
        <v/>
      </c>
      <c r="L362" s="9">
        <f>H362+I362</f>
        <v/>
      </c>
      <c r="M362" s="9">
        <f>K362-L362</f>
        <v/>
      </c>
      <c r="N362" s="11">
        <f>IFERROR(M362/J362,0)</f>
        <v/>
      </c>
      <c r="O362" s="11">
        <f>IF((B362=B361),N361,"")</f>
        <v/>
      </c>
      <c r="P362" s="12">
        <f>IF(O362="","",IFERROR((N362-O362)/O362,""))</f>
        <v/>
      </c>
      <c r="Q362" s="13">
        <f>INDEX('Fund Master'!$F$2:$F$7,MATCH(B362,'Fund Master'!$A$2:$A$7,0))</f>
        <v/>
      </c>
      <c r="R362" s="9">
        <f>SUMIFS('Capital Activity'!$E$2:$E$385,'Capital Activity'!$A$2:$A$385,A362,'Capital Activity'!$B$2:$B$385,B362)</f>
        <v/>
      </c>
      <c r="S362" s="6">
        <f>IF(O362="","",IF(ABS(P362)*10000&gt;Q362,"NAV MOVE BREACH",""))</f>
        <v/>
      </c>
      <c r="T362" s="6">
        <f>IF(AND((B362=B361),D362&lt;&gt;"Money Market",E362=E361),"STALE PRICE","")</f>
        <v/>
      </c>
      <c r="U362" s="6">
        <f>IF(F362&lt;0,"NEGATIVE CASH","")</f>
        <v/>
      </c>
      <c r="V362" s="6">
        <f>IF(ABS(R362)&gt;0.05*M362,"LARGE FLOW","")</f>
        <v/>
      </c>
      <c r="W362" s="6">
        <f>(S362&lt;&gt;"")*1+(T362&lt;&gt;"")*1+(U362&lt;&gt;"")*1+(V362&lt;&gt;"")*1</f>
        <v/>
      </c>
      <c r="X362" s="6">
        <f>IF(S362&lt;&gt;"",S362,IF(T362&lt;&gt;"",T362,IF(U362&lt;&gt;"",U362,IF(V362&lt;&gt;"",V362,""))))</f>
        <v/>
      </c>
    </row>
    <row r="363">
      <c r="A363" s="6" t="inlineStr">
        <is>
          <t>2026-05-29</t>
        </is>
      </c>
      <c r="B363" s="6" t="inlineStr">
        <is>
          <t>MMUS</t>
        </is>
      </c>
      <c r="C363" s="6">
        <f>INDEX('Fund Master'!$B$2:$B$7,MATCH(B363,'Fund Master'!$A$2:$A$7,0))</f>
        <v/>
      </c>
      <c r="D363" s="6">
        <f>INDEX('Fund Master'!$C$2:$C$7,MATCH(B363,'Fund Master'!$A$2:$A$7,0))</f>
        <v/>
      </c>
      <c r="E363" s="8" t="n">
        <v>811894722.92</v>
      </c>
      <c r="F363" s="8" t="n">
        <v>24468018.94</v>
      </c>
      <c r="G363" s="8" t="n">
        <v>4843724.15</v>
      </c>
      <c r="H363" s="8" t="n">
        <v>4145814.05</v>
      </c>
      <c r="I363" s="8" t="n">
        <v>243304.34</v>
      </c>
      <c r="J363" s="10" t="n">
        <v>810000000</v>
      </c>
      <c r="K363" s="9">
        <f>E363+F363+G363</f>
        <v/>
      </c>
      <c r="L363" s="9">
        <f>H363+I363</f>
        <v/>
      </c>
      <c r="M363" s="9">
        <f>K363-L363</f>
        <v/>
      </c>
      <c r="N363" s="11">
        <f>IFERROR(M363/J363,0)</f>
        <v/>
      </c>
      <c r="O363" s="11">
        <f>IF((B363=B362),N362,"")</f>
        <v/>
      </c>
      <c r="P363" s="12">
        <f>IF(O363="","",IFERROR((N363-O363)/O363,""))</f>
        <v/>
      </c>
      <c r="Q363" s="13">
        <f>INDEX('Fund Master'!$F$2:$F$7,MATCH(B363,'Fund Master'!$A$2:$A$7,0))</f>
        <v/>
      </c>
      <c r="R363" s="9">
        <f>SUMIFS('Capital Activity'!$E$2:$E$385,'Capital Activity'!$A$2:$A$385,A363,'Capital Activity'!$B$2:$B$385,B363)</f>
        <v/>
      </c>
      <c r="S363" s="6">
        <f>IF(O363="","",IF(ABS(P363)*10000&gt;Q363,"NAV MOVE BREACH",""))</f>
        <v/>
      </c>
      <c r="T363" s="6">
        <f>IF(AND((B363=B362),D363&lt;&gt;"Money Market",E363=E362),"STALE PRICE","")</f>
        <v/>
      </c>
      <c r="U363" s="6">
        <f>IF(F363&lt;0,"NEGATIVE CASH","")</f>
        <v/>
      </c>
      <c r="V363" s="6">
        <f>IF(ABS(R363)&gt;0.05*M363,"LARGE FLOW","")</f>
        <v/>
      </c>
      <c r="W363" s="6">
        <f>(S363&lt;&gt;"")*1+(T363&lt;&gt;"")*1+(U363&lt;&gt;"")*1+(V363&lt;&gt;"")*1</f>
        <v/>
      </c>
      <c r="X363" s="6">
        <f>IF(S363&lt;&gt;"",S363,IF(T363&lt;&gt;"",T363,IF(U363&lt;&gt;"",U363,IF(V363&lt;&gt;"",V363,""))))</f>
        <v/>
      </c>
    </row>
    <row r="364">
      <c r="A364" s="6" t="inlineStr">
        <is>
          <t>2026-06-01</t>
        </is>
      </c>
      <c r="B364" s="6" t="inlineStr">
        <is>
          <t>MMUS</t>
        </is>
      </c>
      <c r="C364" s="6">
        <f>INDEX('Fund Master'!$B$2:$B$7,MATCH(B364,'Fund Master'!$A$2:$A$7,0))</f>
        <v/>
      </c>
      <c r="D364" s="6">
        <f>INDEX('Fund Master'!$C$2:$C$7,MATCH(B364,'Fund Master'!$A$2:$A$7,0))</f>
        <v/>
      </c>
      <c r="E364" s="8" t="n">
        <v>811962788.03</v>
      </c>
      <c r="F364" s="8" t="n">
        <v>24524490.01</v>
      </c>
      <c r="G364" s="8" t="n">
        <v>4813678.82</v>
      </c>
      <c r="H364" s="8" t="n">
        <v>4148029.55</v>
      </c>
      <c r="I364" s="8" t="n">
        <v>249104.07</v>
      </c>
      <c r="J364" s="10" t="n">
        <v>810000000</v>
      </c>
      <c r="K364" s="9">
        <f>E364+F364+G364</f>
        <v/>
      </c>
      <c r="L364" s="9">
        <f>H364+I364</f>
        <v/>
      </c>
      <c r="M364" s="9">
        <f>K364-L364</f>
        <v/>
      </c>
      <c r="N364" s="11">
        <f>IFERROR(M364/J364,0)</f>
        <v/>
      </c>
      <c r="O364" s="11">
        <f>IF((B364=B363),N363,"")</f>
        <v/>
      </c>
      <c r="P364" s="12">
        <f>IF(O364="","",IFERROR((N364-O364)/O364,""))</f>
        <v/>
      </c>
      <c r="Q364" s="13">
        <f>INDEX('Fund Master'!$F$2:$F$7,MATCH(B364,'Fund Master'!$A$2:$A$7,0))</f>
        <v/>
      </c>
      <c r="R364" s="9">
        <f>SUMIFS('Capital Activity'!$E$2:$E$385,'Capital Activity'!$A$2:$A$385,A364,'Capital Activity'!$B$2:$B$385,B364)</f>
        <v/>
      </c>
      <c r="S364" s="6">
        <f>IF(O364="","",IF(ABS(P364)*10000&gt;Q364,"NAV MOVE BREACH",""))</f>
        <v/>
      </c>
      <c r="T364" s="6">
        <f>IF(AND((B364=B363),D364&lt;&gt;"Money Market",E364=E363),"STALE PRICE","")</f>
        <v/>
      </c>
      <c r="U364" s="6">
        <f>IF(F364&lt;0,"NEGATIVE CASH","")</f>
        <v/>
      </c>
      <c r="V364" s="6">
        <f>IF(ABS(R364)&gt;0.05*M364,"LARGE FLOW","")</f>
        <v/>
      </c>
      <c r="W364" s="6">
        <f>(S364&lt;&gt;"")*1+(T364&lt;&gt;"")*1+(U364&lt;&gt;"")*1+(V364&lt;&gt;"")*1</f>
        <v/>
      </c>
      <c r="X364" s="6">
        <f>IF(S364&lt;&gt;"",S364,IF(T364&lt;&gt;"",T364,IF(U364&lt;&gt;"",U364,IF(V364&lt;&gt;"",V364,""))))</f>
        <v/>
      </c>
    </row>
    <row r="365">
      <c r="A365" s="6" t="inlineStr">
        <is>
          <t>2026-06-02</t>
        </is>
      </c>
      <c r="B365" s="6" t="inlineStr">
        <is>
          <t>MMUS</t>
        </is>
      </c>
      <c r="C365" s="6">
        <f>INDEX('Fund Master'!$B$2:$B$7,MATCH(B365,'Fund Master'!$A$2:$A$7,0))</f>
        <v/>
      </c>
      <c r="D365" s="6">
        <f>INDEX('Fund Master'!$C$2:$C$7,MATCH(B365,'Fund Master'!$A$2:$A$7,0))</f>
        <v/>
      </c>
      <c r="E365" s="8" t="n">
        <v>812013648.83</v>
      </c>
      <c r="F365" s="8" t="n">
        <v>24495495.74</v>
      </c>
      <c r="G365" s="8" t="n">
        <v>4808798.82</v>
      </c>
      <c r="H365" s="8" t="n">
        <v>4135361.71</v>
      </c>
      <c r="I365" s="8" t="n">
        <v>254904.17</v>
      </c>
      <c r="J365" s="10" t="n">
        <v>810000000</v>
      </c>
      <c r="K365" s="9">
        <f>E365+F365+G365</f>
        <v/>
      </c>
      <c r="L365" s="9">
        <f>H365+I365</f>
        <v/>
      </c>
      <c r="M365" s="9">
        <f>K365-L365</f>
        <v/>
      </c>
      <c r="N365" s="11">
        <f>IFERROR(M365/J365,0)</f>
        <v/>
      </c>
      <c r="O365" s="11">
        <f>IF((B365=B364),N364,"")</f>
        <v/>
      </c>
      <c r="P365" s="12">
        <f>IF(O365="","",IFERROR((N365-O365)/O365,""))</f>
        <v/>
      </c>
      <c r="Q365" s="13">
        <f>INDEX('Fund Master'!$F$2:$F$7,MATCH(B365,'Fund Master'!$A$2:$A$7,0))</f>
        <v/>
      </c>
      <c r="R365" s="9">
        <f>SUMIFS('Capital Activity'!$E$2:$E$385,'Capital Activity'!$A$2:$A$385,A365,'Capital Activity'!$B$2:$B$385,B365)</f>
        <v/>
      </c>
      <c r="S365" s="6">
        <f>IF(O365="","",IF(ABS(P365)*10000&gt;Q365,"NAV MOVE BREACH",""))</f>
        <v/>
      </c>
      <c r="T365" s="6">
        <f>IF(AND((B365=B364),D365&lt;&gt;"Money Market",E365=E364),"STALE PRICE","")</f>
        <v/>
      </c>
      <c r="U365" s="6">
        <f>IF(F365&lt;0,"NEGATIVE CASH","")</f>
        <v/>
      </c>
      <c r="V365" s="6">
        <f>IF(ABS(R365)&gt;0.05*M365,"LARGE FLOW","")</f>
        <v/>
      </c>
      <c r="W365" s="6">
        <f>(S365&lt;&gt;"")*1+(T365&lt;&gt;"")*1+(U365&lt;&gt;"")*1+(V365&lt;&gt;"")*1</f>
        <v/>
      </c>
      <c r="X365" s="6">
        <f>IF(S365&lt;&gt;"",S365,IF(T365&lt;&gt;"",T365,IF(U365&lt;&gt;"",U365,IF(V365&lt;&gt;"",V365,""))))</f>
        <v/>
      </c>
    </row>
    <row r="366">
      <c r="A366" s="6" t="inlineStr">
        <is>
          <t>2026-06-03</t>
        </is>
      </c>
      <c r="B366" s="6" t="inlineStr">
        <is>
          <t>MMUS</t>
        </is>
      </c>
      <c r="C366" s="6">
        <f>INDEX('Fund Master'!$B$2:$B$7,MATCH(B366,'Fund Master'!$A$2:$A$7,0))</f>
        <v/>
      </c>
      <c r="D366" s="6">
        <f>INDEX('Fund Master'!$C$2:$C$7,MATCH(B366,'Fund Master'!$A$2:$A$7,0))</f>
        <v/>
      </c>
      <c r="E366" s="8" t="n">
        <v>812338647.66</v>
      </c>
      <c r="F366" s="8" t="n">
        <v>24502835.92</v>
      </c>
      <c r="G366" s="8" t="n">
        <v>4799214.17</v>
      </c>
      <c r="H366" s="8" t="n">
        <v>4112423.86</v>
      </c>
      <c r="I366" s="8" t="n">
        <v>260706.59</v>
      </c>
      <c r="J366" s="10" t="n">
        <v>810000000</v>
      </c>
      <c r="K366" s="9">
        <f>E366+F366+G366</f>
        <v/>
      </c>
      <c r="L366" s="9">
        <f>H366+I366</f>
        <v/>
      </c>
      <c r="M366" s="9">
        <f>K366-L366</f>
        <v/>
      </c>
      <c r="N366" s="11">
        <f>IFERROR(M366/J366,0)</f>
        <v/>
      </c>
      <c r="O366" s="11">
        <f>IF((B366=B365),N365,"")</f>
        <v/>
      </c>
      <c r="P366" s="12">
        <f>IF(O366="","",IFERROR((N366-O366)/O366,""))</f>
        <v/>
      </c>
      <c r="Q366" s="13">
        <f>INDEX('Fund Master'!$F$2:$F$7,MATCH(B366,'Fund Master'!$A$2:$A$7,0))</f>
        <v/>
      </c>
      <c r="R366" s="9">
        <f>SUMIFS('Capital Activity'!$E$2:$E$385,'Capital Activity'!$A$2:$A$385,A366,'Capital Activity'!$B$2:$B$385,B366)</f>
        <v/>
      </c>
      <c r="S366" s="6">
        <f>IF(O366="","",IF(ABS(P366)*10000&gt;Q366,"NAV MOVE BREACH",""))</f>
        <v/>
      </c>
      <c r="T366" s="6">
        <f>IF(AND((B366=B365),D366&lt;&gt;"Money Market",E366=E365),"STALE PRICE","")</f>
        <v/>
      </c>
      <c r="U366" s="6">
        <f>IF(F366&lt;0,"NEGATIVE CASH","")</f>
        <v/>
      </c>
      <c r="V366" s="6">
        <f>IF(ABS(R366)&gt;0.05*M366,"LARGE FLOW","")</f>
        <v/>
      </c>
      <c r="W366" s="6">
        <f>(S366&lt;&gt;"")*1+(T366&lt;&gt;"")*1+(U366&lt;&gt;"")*1+(V366&lt;&gt;"")*1</f>
        <v/>
      </c>
      <c r="X366" s="6">
        <f>IF(S366&lt;&gt;"",S366,IF(T366&lt;&gt;"",T366,IF(U366&lt;&gt;"",U366,IF(V366&lt;&gt;"",V366,""))))</f>
        <v/>
      </c>
    </row>
    <row r="367">
      <c r="A367" s="6" t="inlineStr">
        <is>
          <t>2026-06-04</t>
        </is>
      </c>
      <c r="B367" s="6" t="inlineStr">
        <is>
          <t>MMUS</t>
        </is>
      </c>
      <c r="C367" s="6">
        <f>INDEX('Fund Master'!$B$2:$B$7,MATCH(B367,'Fund Master'!$A$2:$A$7,0))</f>
        <v/>
      </c>
      <c r="D367" s="6">
        <f>INDEX('Fund Master'!$C$2:$C$7,MATCH(B367,'Fund Master'!$A$2:$A$7,0))</f>
        <v/>
      </c>
      <c r="E367" s="8" t="n">
        <v>812398293.89</v>
      </c>
      <c r="F367" s="8" t="n">
        <v>24525299.41</v>
      </c>
      <c r="G367" s="8" t="n">
        <v>4773875.42</v>
      </c>
      <c r="H367" s="8" t="n">
        <v>4127268.37</v>
      </c>
      <c r="I367" s="8" t="n">
        <v>266509.44</v>
      </c>
      <c r="J367" s="10" t="n">
        <v>810000000</v>
      </c>
      <c r="K367" s="9">
        <f>E367+F367+G367</f>
        <v/>
      </c>
      <c r="L367" s="9">
        <f>H367+I367</f>
        <v/>
      </c>
      <c r="M367" s="9">
        <f>K367-L367</f>
        <v/>
      </c>
      <c r="N367" s="11">
        <f>IFERROR(M367/J367,0)</f>
        <v/>
      </c>
      <c r="O367" s="11">
        <f>IF((B367=B366),N366,"")</f>
        <v/>
      </c>
      <c r="P367" s="12">
        <f>IF(O367="","",IFERROR((N367-O367)/O367,""))</f>
        <v/>
      </c>
      <c r="Q367" s="13">
        <f>INDEX('Fund Master'!$F$2:$F$7,MATCH(B367,'Fund Master'!$A$2:$A$7,0))</f>
        <v/>
      </c>
      <c r="R367" s="9">
        <f>SUMIFS('Capital Activity'!$E$2:$E$385,'Capital Activity'!$A$2:$A$385,A367,'Capital Activity'!$B$2:$B$385,B367)</f>
        <v/>
      </c>
      <c r="S367" s="6">
        <f>IF(O367="","",IF(ABS(P367)*10000&gt;Q367,"NAV MOVE BREACH",""))</f>
        <v/>
      </c>
      <c r="T367" s="6">
        <f>IF(AND((B367=B366),D367&lt;&gt;"Money Market",E367=E366),"STALE PRICE","")</f>
        <v/>
      </c>
      <c r="U367" s="6">
        <f>IF(F367&lt;0,"NEGATIVE CASH","")</f>
        <v/>
      </c>
      <c r="V367" s="6">
        <f>IF(ABS(R367)&gt;0.05*M367,"LARGE FLOW","")</f>
        <v/>
      </c>
      <c r="W367" s="6">
        <f>(S367&lt;&gt;"")*1+(T367&lt;&gt;"")*1+(U367&lt;&gt;"")*1+(V367&lt;&gt;"")*1</f>
        <v/>
      </c>
      <c r="X367" s="6">
        <f>IF(S367&lt;&gt;"",S367,IF(T367&lt;&gt;"",T367,IF(U367&lt;&gt;"",U367,IF(V367&lt;&gt;"",V367,""))))</f>
        <v/>
      </c>
    </row>
    <row r="368">
      <c r="A368" s="6" t="inlineStr">
        <is>
          <t>2026-06-05</t>
        </is>
      </c>
      <c r="B368" s="6" t="inlineStr">
        <is>
          <t>MMUS</t>
        </is>
      </c>
      <c r="C368" s="6">
        <f>INDEX('Fund Master'!$B$2:$B$7,MATCH(B368,'Fund Master'!$A$2:$A$7,0))</f>
        <v/>
      </c>
      <c r="D368" s="6">
        <f>INDEX('Fund Master'!$C$2:$C$7,MATCH(B368,'Fund Master'!$A$2:$A$7,0))</f>
        <v/>
      </c>
      <c r="E368" s="8" t="n">
        <v>812676494.92</v>
      </c>
      <c r="F368" s="8" t="n">
        <v>24570139.97</v>
      </c>
      <c r="G368" s="8" t="n">
        <v>4771145.63</v>
      </c>
      <c r="H368" s="8" t="n">
        <v>4114196.71</v>
      </c>
      <c r="I368" s="8" t="n">
        <v>272314.27</v>
      </c>
      <c r="J368" s="10" t="n">
        <v>810000000</v>
      </c>
      <c r="K368" s="9">
        <f>E368+F368+G368</f>
        <v/>
      </c>
      <c r="L368" s="9">
        <f>H368+I368</f>
        <v/>
      </c>
      <c r="M368" s="9">
        <f>K368-L368</f>
        <v/>
      </c>
      <c r="N368" s="11">
        <f>IFERROR(M368/J368,0)</f>
        <v/>
      </c>
      <c r="O368" s="11">
        <f>IF((B368=B367),N367,"")</f>
        <v/>
      </c>
      <c r="P368" s="12">
        <f>IF(O368="","",IFERROR((N368-O368)/O368,""))</f>
        <v/>
      </c>
      <c r="Q368" s="13">
        <f>INDEX('Fund Master'!$F$2:$F$7,MATCH(B368,'Fund Master'!$A$2:$A$7,0))</f>
        <v/>
      </c>
      <c r="R368" s="9">
        <f>SUMIFS('Capital Activity'!$E$2:$E$385,'Capital Activity'!$A$2:$A$385,A368,'Capital Activity'!$B$2:$B$385,B368)</f>
        <v/>
      </c>
      <c r="S368" s="6">
        <f>IF(O368="","",IF(ABS(P368)*10000&gt;Q368,"NAV MOVE BREACH",""))</f>
        <v/>
      </c>
      <c r="T368" s="6">
        <f>IF(AND((B368=B367),D368&lt;&gt;"Money Market",E368=E367),"STALE PRICE","")</f>
        <v/>
      </c>
      <c r="U368" s="6">
        <f>IF(F368&lt;0,"NEGATIVE CASH","")</f>
        <v/>
      </c>
      <c r="V368" s="6">
        <f>IF(ABS(R368)&gt;0.05*M368,"LARGE FLOW","")</f>
        <v/>
      </c>
      <c r="W368" s="6">
        <f>(S368&lt;&gt;"")*1+(T368&lt;&gt;"")*1+(U368&lt;&gt;"")*1+(V368&lt;&gt;"")*1</f>
        <v/>
      </c>
      <c r="X368" s="6">
        <f>IF(S368&lt;&gt;"",S368,IF(T368&lt;&gt;"",T368,IF(U368&lt;&gt;"",U368,IF(V368&lt;&gt;"",V368,""))))</f>
        <v/>
      </c>
    </row>
    <row r="369">
      <c r="A369" s="6" t="inlineStr">
        <is>
          <t>2026-06-08</t>
        </is>
      </c>
      <c r="B369" s="6" t="inlineStr">
        <is>
          <t>MMUS</t>
        </is>
      </c>
      <c r="C369" s="6">
        <f>INDEX('Fund Master'!$B$2:$B$7,MATCH(B369,'Fund Master'!$A$2:$A$7,0))</f>
        <v/>
      </c>
      <c r="D369" s="6">
        <f>INDEX('Fund Master'!$C$2:$C$7,MATCH(B369,'Fund Master'!$A$2:$A$7,0))</f>
        <v/>
      </c>
      <c r="E369" s="8" t="n">
        <v>812658432.33</v>
      </c>
      <c r="F369" s="8" t="n">
        <v>24529481.88</v>
      </c>
      <c r="G369" s="8" t="n">
        <v>4768906.25</v>
      </c>
      <c r="H369" s="8" t="n">
        <v>4115354.35</v>
      </c>
      <c r="I369" s="8" t="n">
        <v>278118.97</v>
      </c>
      <c r="J369" s="10" t="n">
        <v>810000000</v>
      </c>
      <c r="K369" s="9">
        <f>E369+F369+G369</f>
        <v/>
      </c>
      <c r="L369" s="9">
        <f>H369+I369</f>
        <v/>
      </c>
      <c r="M369" s="9">
        <f>K369-L369</f>
        <v/>
      </c>
      <c r="N369" s="11">
        <f>IFERROR(M369/J369,0)</f>
        <v/>
      </c>
      <c r="O369" s="11">
        <f>IF((B369=B368),N368,"")</f>
        <v/>
      </c>
      <c r="P369" s="12">
        <f>IF(O369="","",IFERROR((N369-O369)/O369,""))</f>
        <v/>
      </c>
      <c r="Q369" s="13">
        <f>INDEX('Fund Master'!$F$2:$F$7,MATCH(B369,'Fund Master'!$A$2:$A$7,0))</f>
        <v/>
      </c>
      <c r="R369" s="9">
        <f>SUMIFS('Capital Activity'!$E$2:$E$385,'Capital Activity'!$A$2:$A$385,A369,'Capital Activity'!$B$2:$B$385,B369)</f>
        <v/>
      </c>
      <c r="S369" s="6">
        <f>IF(O369="","",IF(ABS(P369)*10000&gt;Q369,"NAV MOVE BREACH",""))</f>
        <v/>
      </c>
      <c r="T369" s="6">
        <f>IF(AND((B369=B368),D369&lt;&gt;"Money Market",E369=E368),"STALE PRICE","")</f>
        <v/>
      </c>
      <c r="U369" s="6">
        <f>IF(F369&lt;0,"NEGATIVE CASH","")</f>
        <v/>
      </c>
      <c r="V369" s="6">
        <f>IF(ABS(R369)&gt;0.05*M369,"LARGE FLOW","")</f>
        <v/>
      </c>
      <c r="W369" s="6">
        <f>(S369&lt;&gt;"")*1+(T369&lt;&gt;"")*1+(U369&lt;&gt;"")*1+(V369&lt;&gt;"")*1</f>
        <v/>
      </c>
      <c r="X369" s="6">
        <f>IF(S369&lt;&gt;"",S369,IF(T369&lt;&gt;"",T369,IF(U369&lt;&gt;"",U369,IF(V369&lt;&gt;"",V369,""))))</f>
        <v/>
      </c>
    </row>
    <row r="370">
      <c r="A370" s="6" t="inlineStr">
        <is>
          <t>2026-06-09</t>
        </is>
      </c>
      <c r="B370" s="6" t="inlineStr">
        <is>
          <t>MMUS</t>
        </is>
      </c>
      <c r="C370" s="6">
        <f>INDEX('Fund Master'!$B$2:$B$7,MATCH(B370,'Fund Master'!$A$2:$A$7,0))</f>
        <v/>
      </c>
      <c r="D370" s="6">
        <f>INDEX('Fund Master'!$C$2:$C$7,MATCH(B370,'Fund Master'!$A$2:$A$7,0))</f>
        <v/>
      </c>
      <c r="E370" s="8" t="n">
        <v>812702097.23</v>
      </c>
      <c r="F370" s="8" t="n">
        <v>24548758.18</v>
      </c>
      <c r="G370" s="8" t="n">
        <v>4751439.09</v>
      </c>
      <c r="H370" s="8" t="n">
        <v>4138508.83</v>
      </c>
      <c r="I370" s="8" t="n">
        <v>283923.99</v>
      </c>
      <c r="J370" s="10" t="n">
        <v>810000000</v>
      </c>
      <c r="K370" s="9">
        <f>E370+F370+G370</f>
        <v/>
      </c>
      <c r="L370" s="9">
        <f>H370+I370</f>
        <v/>
      </c>
      <c r="M370" s="9">
        <f>K370-L370</f>
        <v/>
      </c>
      <c r="N370" s="11">
        <f>IFERROR(M370/J370,0)</f>
        <v/>
      </c>
      <c r="O370" s="11">
        <f>IF((B370=B369),N369,"")</f>
        <v/>
      </c>
      <c r="P370" s="12">
        <f>IF(O370="","",IFERROR((N370-O370)/O370,""))</f>
        <v/>
      </c>
      <c r="Q370" s="13">
        <f>INDEX('Fund Master'!$F$2:$F$7,MATCH(B370,'Fund Master'!$A$2:$A$7,0))</f>
        <v/>
      </c>
      <c r="R370" s="9">
        <f>SUMIFS('Capital Activity'!$E$2:$E$385,'Capital Activity'!$A$2:$A$385,A370,'Capital Activity'!$B$2:$B$385,B370)</f>
        <v/>
      </c>
      <c r="S370" s="6">
        <f>IF(O370="","",IF(ABS(P370)*10000&gt;Q370,"NAV MOVE BREACH",""))</f>
        <v/>
      </c>
      <c r="T370" s="6">
        <f>IF(AND((B370=B369),D370&lt;&gt;"Money Market",E370=E369),"STALE PRICE","")</f>
        <v/>
      </c>
      <c r="U370" s="6">
        <f>IF(F370&lt;0,"NEGATIVE CASH","")</f>
        <v/>
      </c>
      <c r="V370" s="6">
        <f>IF(ABS(R370)&gt;0.05*M370,"LARGE FLOW","")</f>
        <v/>
      </c>
      <c r="W370" s="6">
        <f>(S370&lt;&gt;"")*1+(T370&lt;&gt;"")*1+(U370&lt;&gt;"")*1+(V370&lt;&gt;"")*1</f>
        <v/>
      </c>
      <c r="X370" s="6">
        <f>IF(S370&lt;&gt;"",S370,IF(T370&lt;&gt;"",T370,IF(U370&lt;&gt;"",U370,IF(V370&lt;&gt;"",V370,""))))</f>
        <v/>
      </c>
    </row>
    <row r="371">
      <c r="A371" s="6" t="inlineStr">
        <is>
          <t>2026-06-10</t>
        </is>
      </c>
      <c r="B371" s="6" t="inlineStr">
        <is>
          <t>MMUS</t>
        </is>
      </c>
      <c r="C371" s="6">
        <f>INDEX('Fund Master'!$B$2:$B$7,MATCH(B371,'Fund Master'!$A$2:$A$7,0))</f>
        <v/>
      </c>
      <c r="D371" s="6">
        <f>INDEX('Fund Master'!$C$2:$C$7,MATCH(B371,'Fund Master'!$A$2:$A$7,0))</f>
        <v/>
      </c>
      <c r="E371" s="8" t="n">
        <v>812833464.74</v>
      </c>
      <c r="F371" s="8" t="n">
        <v>24562204.6</v>
      </c>
      <c r="G371" s="8" t="n">
        <v>4767701.96</v>
      </c>
      <c r="H371" s="8" t="n">
        <v>4143845.47</v>
      </c>
      <c r="I371" s="8" t="n">
        <v>289729.94</v>
      </c>
      <c r="J371" s="10" t="n">
        <v>810000000</v>
      </c>
      <c r="K371" s="9">
        <f>E371+F371+G371</f>
        <v/>
      </c>
      <c r="L371" s="9">
        <f>H371+I371</f>
        <v/>
      </c>
      <c r="M371" s="9">
        <f>K371-L371</f>
        <v/>
      </c>
      <c r="N371" s="11">
        <f>IFERROR(M371/J371,0)</f>
        <v/>
      </c>
      <c r="O371" s="11">
        <f>IF((B371=B370),N370,"")</f>
        <v/>
      </c>
      <c r="P371" s="12">
        <f>IF(O371="","",IFERROR((N371-O371)/O371,""))</f>
        <v/>
      </c>
      <c r="Q371" s="13">
        <f>INDEX('Fund Master'!$F$2:$F$7,MATCH(B371,'Fund Master'!$A$2:$A$7,0))</f>
        <v/>
      </c>
      <c r="R371" s="9">
        <f>SUMIFS('Capital Activity'!$E$2:$E$385,'Capital Activity'!$A$2:$A$385,A371,'Capital Activity'!$B$2:$B$385,B371)</f>
        <v/>
      </c>
      <c r="S371" s="6">
        <f>IF(O371="","",IF(ABS(P371)*10000&gt;Q371,"NAV MOVE BREACH",""))</f>
        <v/>
      </c>
      <c r="T371" s="6">
        <f>IF(AND((B371=B370),D371&lt;&gt;"Money Market",E371=E370),"STALE PRICE","")</f>
        <v/>
      </c>
      <c r="U371" s="6">
        <f>IF(F371&lt;0,"NEGATIVE CASH","")</f>
        <v/>
      </c>
      <c r="V371" s="6">
        <f>IF(ABS(R371)&gt;0.05*M371,"LARGE FLOW","")</f>
        <v/>
      </c>
      <c r="W371" s="6">
        <f>(S371&lt;&gt;"")*1+(T371&lt;&gt;"")*1+(U371&lt;&gt;"")*1+(V371&lt;&gt;"")*1</f>
        <v/>
      </c>
      <c r="X371" s="6">
        <f>IF(S371&lt;&gt;"",S371,IF(T371&lt;&gt;"",T371,IF(U371&lt;&gt;"",U371,IF(V371&lt;&gt;"",V371,""))))</f>
        <v/>
      </c>
    </row>
    <row r="372">
      <c r="A372" s="6" t="inlineStr">
        <is>
          <t>2026-06-11</t>
        </is>
      </c>
      <c r="B372" s="6" t="inlineStr">
        <is>
          <t>MMUS</t>
        </is>
      </c>
      <c r="C372" s="6">
        <f>INDEX('Fund Master'!$B$2:$B$7,MATCH(B372,'Fund Master'!$A$2:$A$7,0))</f>
        <v/>
      </c>
      <c r="D372" s="6">
        <f>INDEX('Fund Master'!$C$2:$C$7,MATCH(B372,'Fund Master'!$A$2:$A$7,0))</f>
        <v/>
      </c>
      <c r="E372" s="8" t="n">
        <v>812663789.62</v>
      </c>
      <c r="F372" s="8" t="n">
        <v>24561488.49</v>
      </c>
      <c r="G372" s="8" t="n">
        <v>4766166.62</v>
      </c>
      <c r="H372" s="8" t="n">
        <v>4139597.88</v>
      </c>
      <c r="I372" s="8" t="n">
        <v>295534.68</v>
      </c>
      <c r="J372" s="10" t="n">
        <v>810000000</v>
      </c>
      <c r="K372" s="9">
        <f>E372+F372+G372</f>
        <v/>
      </c>
      <c r="L372" s="9">
        <f>H372+I372</f>
        <v/>
      </c>
      <c r="M372" s="9">
        <f>K372-L372</f>
        <v/>
      </c>
      <c r="N372" s="11">
        <f>IFERROR(M372/J372,0)</f>
        <v/>
      </c>
      <c r="O372" s="11">
        <f>IF((B372=B371),N371,"")</f>
        <v/>
      </c>
      <c r="P372" s="12">
        <f>IF(O372="","",IFERROR((N372-O372)/O372,""))</f>
        <v/>
      </c>
      <c r="Q372" s="13">
        <f>INDEX('Fund Master'!$F$2:$F$7,MATCH(B372,'Fund Master'!$A$2:$A$7,0))</f>
        <v/>
      </c>
      <c r="R372" s="9">
        <f>SUMIFS('Capital Activity'!$E$2:$E$385,'Capital Activity'!$A$2:$A$385,A372,'Capital Activity'!$B$2:$B$385,B372)</f>
        <v/>
      </c>
      <c r="S372" s="6">
        <f>IF(O372="","",IF(ABS(P372)*10000&gt;Q372,"NAV MOVE BREACH",""))</f>
        <v/>
      </c>
      <c r="T372" s="6">
        <f>IF(AND((B372=B371),D372&lt;&gt;"Money Market",E372=E371),"STALE PRICE","")</f>
        <v/>
      </c>
      <c r="U372" s="6">
        <f>IF(F372&lt;0,"NEGATIVE CASH","")</f>
        <v/>
      </c>
      <c r="V372" s="6">
        <f>IF(ABS(R372)&gt;0.05*M372,"LARGE FLOW","")</f>
        <v/>
      </c>
      <c r="W372" s="6">
        <f>(S372&lt;&gt;"")*1+(T372&lt;&gt;"")*1+(U372&lt;&gt;"")*1+(V372&lt;&gt;"")*1</f>
        <v/>
      </c>
      <c r="X372" s="6">
        <f>IF(S372&lt;&gt;"",S372,IF(T372&lt;&gt;"",T372,IF(U372&lt;&gt;"",U372,IF(V372&lt;&gt;"",V372,""))))</f>
        <v/>
      </c>
    </row>
    <row r="373">
      <c r="A373" s="6" t="inlineStr">
        <is>
          <t>2026-06-12</t>
        </is>
      </c>
      <c r="B373" s="6" t="inlineStr">
        <is>
          <t>MMUS</t>
        </is>
      </c>
      <c r="C373" s="6">
        <f>INDEX('Fund Master'!$B$2:$B$7,MATCH(B373,'Fund Master'!$A$2:$A$7,0))</f>
        <v/>
      </c>
      <c r="D373" s="6">
        <f>INDEX('Fund Master'!$C$2:$C$7,MATCH(B373,'Fund Master'!$A$2:$A$7,0))</f>
        <v/>
      </c>
      <c r="E373" s="8" t="n">
        <v>812590857.13</v>
      </c>
      <c r="F373" s="8" t="n">
        <v>24563056.46</v>
      </c>
      <c r="G373" s="8" t="n">
        <v>4768336.84</v>
      </c>
      <c r="H373" s="8" t="n">
        <v>4122524.79</v>
      </c>
      <c r="I373" s="8" t="n">
        <v>301338.9</v>
      </c>
      <c r="J373" s="10" t="n">
        <v>810000000</v>
      </c>
      <c r="K373" s="9">
        <f>E373+F373+G373</f>
        <v/>
      </c>
      <c r="L373" s="9">
        <f>H373+I373</f>
        <v/>
      </c>
      <c r="M373" s="9">
        <f>K373-L373</f>
        <v/>
      </c>
      <c r="N373" s="11">
        <f>IFERROR(M373/J373,0)</f>
        <v/>
      </c>
      <c r="O373" s="11">
        <f>IF((B373=B372),N372,"")</f>
        <v/>
      </c>
      <c r="P373" s="12">
        <f>IF(O373="","",IFERROR((N373-O373)/O373,""))</f>
        <v/>
      </c>
      <c r="Q373" s="13">
        <f>INDEX('Fund Master'!$F$2:$F$7,MATCH(B373,'Fund Master'!$A$2:$A$7,0))</f>
        <v/>
      </c>
      <c r="R373" s="9">
        <f>SUMIFS('Capital Activity'!$E$2:$E$385,'Capital Activity'!$A$2:$A$385,A373,'Capital Activity'!$B$2:$B$385,B373)</f>
        <v/>
      </c>
      <c r="S373" s="6">
        <f>IF(O373="","",IF(ABS(P373)*10000&gt;Q373,"NAV MOVE BREACH",""))</f>
        <v/>
      </c>
      <c r="T373" s="6">
        <f>IF(AND((B373=B372),D373&lt;&gt;"Money Market",E373=E372),"STALE PRICE","")</f>
        <v/>
      </c>
      <c r="U373" s="6">
        <f>IF(F373&lt;0,"NEGATIVE CASH","")</f>
        <v/>
      </c>
      <c r="V373" s="6">
        <f>IF(ABS(R373)&gt;0.05*M373,"LARGE FLOW","")</f>
        <v/>
      </c>
      <c r="W373" s="6">
        <f>(S373&lt;&gt;"")*1+(T373&lt;&gt;"")*1+(U373&lt;&gt;"")*1+(V373&lt;&gt;"")*1</f>
        <v/>
      </c>
      <c r="X373" s="6">
        <f>IF(S373&lt;&gt;"",S373,IF(T373&lt;&gt;"",T373,IF(U373&lt;&gt;"",U373,IF(V373&lt;&gt;"",V373,""))))</f>
        <v/>
      </c>
    </row>
    <row r="374">
      <c r="A374" s="6" t="inlineStr">
        <is>
          <t>2026-06-15</t>
        </is>
      </c>
      <c r="B374" s="6" t="inlineStr">
        <is>
          <t>MMUS</t>
        </is>
      </c>
      <c r="C374" s="6">
        <f>INDEX('Fund Master'!$B$2:$B$7,MATCH(B374,'Fund Master'!$A$2:$A$7,0))</f>
        <v/>
      </c>
      <c r="D374" s="6">
        <f>INDEX('Fund Master'!$C$2:$C$7,MATCH(B374,'Fund Master'!$A$2:$A$7,0))</f>
        <v/>
      </c>
      <c r="E374" s="8" t="n">
        <v>812764663.35</v>
      </c>
      <c r="F374" s="8" t="n">
        <v>24585670.72</v>
      </c>
      <c r="G374" s="8" t="n">
        <v>4758852.13</v>
      </c>
      <c r="H374" s="8" t="n">
        <v>4152264.76</v>
      </c>
      <c r="I374" s="8" t="n">
        <v>307144.36</v>
      </c>
      <c r="J374" s="10" t="n">
        <v>810000000</v>
      </c>
      <c r="K374" s="9">
        <f>E374+F374+G374</f>
        <v/>
      </c>
      <c r="L374" s="9">
        <f>H374+I374</f>
        <v/>
      </c>
      <c r="M374" s="9">
        <f>K374-L374</f>
        <v/>
      </c>
      <c r="N374" s="11">
        <f>IFERROR(M374/J374,0)</f>
        <v/>
      </c>
      <c r="O374" s="11">
        <f>IF((B374=B373),N373,"")</f>
        <v/>
      </c>
      <c r="P374" s="12">
        <f>IF(O374="","",IFERROR((N374-O374)/O374,""))</f>
        <v/>
      </c>
      <c r="Q374" s="13">
        <f>INDEX('Fund Master'!$F$2:$F$7,MATCH(B374,'Fund Master'!$A$2:$A$7,0))</f>
        <v/>
      </c>
      <c r="R374" s="9">
        <f>SUMIFS('Capital Activity'!$E$2:$E$385,'Capital Activity'!$A$2:$A$385,A374,'Capital Activity'!$B$2:$B$385,B374)</f>
        <v/>
      </c>
      <c r="S374" s="6">
        <f>IF(O374="","",IF(ABS(P374)*10000&gt;Q374,"NAV MOVE BREACH",""))</f>
        <v/>
      </c>
      <c r="T374" s="6">
        <f>IF(AND((B374=B373),D374&lt;&gt;"Money Market",E374=E373),"STALE PRICE","")</f>
        <v/>
      </c>
      <c r="U374" s="6">
        <f>IF(F374&lt;0,"NEGATIVE CASH","")</f>
        <v/>
      </c>
      <c r="V374" s="6">
        <f>IF(ABS(R374)&gt;0.05*M374,"LARGE FLOW","")</f>
        <v/>
      </c>
      <c r="W374" s="6">
        <f>(S374&lt;&gt;"")*1+(T374&lt;&gt;"")*1+(U374&lt;&gt;"")*1+(V374&lt;&gt;"")*1</f>
        <v/>
      </c>
      <c r="X374" s="6">
        <f>IF(S374&lt;&gt;"",S374,IF(T374&lt;&gt;"",T374,IF(U374&lt;&gt;"",U374,IF(V374&lt;&gt;"",V374,""))))</f>
        <v/>
      </c>
    </row>
    <row r="375">
      <c r="A375" s="6" t="inlineStr">
        <is>
          <t>2026-06-16</t>
        </is>
      </c>
      <c r="B375" s="6" t="inlineStr">
        <is>
          <t>MMUS</t>
        </is>
      </c>
      <c r="C375" s="6">
        <f>INDEX('Fund Master'!$B$2:$B$7,MATCH(B375,'Fund Master'!$A$2:$A$7,0))</f>
        <v/>
      </c>
      <c r="D375" s="6">
        <f>INDEX('Fund Master'!$C$2:$C$7,MATCH(B375,'Fund Master'!$A$2:$A$7,0))</f>
        <v/>
      </c>
      <c r="E375" s="8" t="n">
        <v>812943566.24</v>
      </c>
      <c r="F375" s="8" t="n">
        <v>24563823.61</v>
      </c>
      <c r="G375" s="8" t="n">
        <v>4782539.55</v>
      </c>
      <c r="H375" s="8" t="n">
        <v>4149113.27</v>
      </c>
      <c r="I375" s="8" t="n">
        <v>312951.1</v>
      </c>
      <c r="J375" s="10" t="n">
        <v>810000000</v>
      </c>
      <c r="K375" s="9">
        <f>E375+F375+G375</f>
        <v/>
      </c>
      <c r="L375" s="9">
        <f>H375+I375</f>
        <v/>
      </c>
      <c r="M375" s="9">
        <f>K375-L375</f>
        <v/>
      </c>
      <c r="N375" s="11">
        <f>IFERROR(M375/J375,0)</f>
        <v/>
      </c>
      <c r="O375" s="11">
        <f>IF((B375=B374),N374,"")</f>
        <v/>
      </c>
      <c r="P375" s="12">
        <f>IF(O375="","",IFERROR((N375-O375)/O375,""))</f>
        <v/>
      </c>
      <c r="Q375" s="13">
        <f>INDEX('Fund Master'!$F$2:$F$7,MATCH(B375,'Fund Master'!$A$2:$A$7,0))</f>
        <v/>
      </c>
      <c r="R375" s="9">
        <f>SUMIFS('Capital Activity'!$E$2:$E$385,'Capital Activity'!$A$2:$A$385,A375,'Capital Activity'!$B$2:$B$385,B375)</f>
        <v/>
      </c>
      <c r="S375" s="6">
        <f>IF(O375="","",IF(ABS(P375)*10000&gt;Q375,"NAV MOVE BREACH",""))</f>
        <v/>
      </c>
      <c r="T375" s="6">
        <f>IF(AND((B375=B374),D375&lt;&gt;"Money Market",E375=E374),"STALE PRICE","")</f>
        <v/>
      </c>
      <c r="U375" s="6">
        <f>IF(F375&lt;0,"NEGATIVE CASH","")</f>
        <v/>
      </c>
      <c r="V375" s="6">
        <f>IF(ABS(R375)&gt;0.05*M375,"LARGE FLOW","")</f>
        <v/>
      </c>
      <c r="W375" s="6">
        <f>(S375&lt;&gt;"")*1+(T375&lt;&gt;"")*1+(U375&lt;&gt;"")*1+(V375&lt;&gt;"")*1</f>
        <v/>
      </c>
      <c r="X375" s="6">
        <f>IF(S375&lt;&gt;"",S375,IF(T375&lt;&gt;"",T375,IF(U375&lt;&gt;"",U375,IF(V375&lt;&gt;"",V375,""))))</f>
        <v/>
      </c>
    </row>
    <row r="376">
      <c r="A376" s="6" t="inlineStr">
        <is>
          <t>2026-06-17</t>
        </is>
      </c>
      <c r="B376" s="6" t="inlineStr">
        <is>
          <t>MMUS</t>
        </is>
      </c>
      <c r="C376" s="6">
        <f>INDEX('Fund Master'!$B$2:$B$7,MATCH(B376,'Fund Master'!$A$2:$A$7,0))</f>
        <v/>
      </c>
      <c r="D376" s="6">
        <f>INDEX('Fund Master'!$C$2:$C$7,MATCH(B376,'Fund Master'!$A$2:$A$7,0))</f>
        <v/>
      </c>
      <c r="E376" s="8" t="n">
        <v>812937988.02</v>
      </c>
      <c r="F376" s="8" t="n">
        <v>24596611.9</v>
      </c>
      <c r="G376" s="8" t="n">
        <v>4795407.87</v>
      </c>
      <c r="H376" s="8" t="n">
        <v>4120655.83</v>
      </c>
      <c r="I376" s="8" t="n">
        <v>318757.8</v>
      </c>
      <c r="J376" s="10" t="n">
        <v>810000000</v>
      </c>
      <c r="K376" s="9">
        <f>E376+F376+G376</f>
        <v/>
      </c>
      <c r="L376" s="9">
        <f>H376+I376</f>
        <v/>
      </c>
      <c r="M376" s="9">
        <f>K376-L376</f>
        <v/>
      </c>
      <c r="N376" s="11">
        <f>IFERROR(M376/J376,0)</f>
        <v/>
      </c>
      <c r="O376" s="11">
        <f>IF((B376=B375),N375,"")</f>
        <v/>
      </c>
      <c r="P376" s="12">
        <f>IF(O376="","",IFERROR((N376-O376)/O376,""))</f>
        <v/>
      </c>
      <c r="Q376" s="13">
        <f>INDEX('Fund Master'!$F$2:$F$7,MATCH(B376,'Fund Master'!$A$2:$A$7,0))</f>
        <v/>
      </c>
      <c r="R376" s="9">
        <f>SUMIFS('Capital Activity'!$E$2:$E$385,'Capital Activity'!$A$2:$A$385,A376,'Capital Activity'!$B$2:$B$385,B376)</f>
        <v/>
      </c>
      <c r="S376" s="6">
        <f>IF(O376="","",IF(ABS(P376)*10000&gt;Q376,"NAV MOVE BREACH",""))</f>
        <v/>
      </c>
      <c r="T376" s="6">
        <f>IF(AND((B376=B375),D376&lt;&gt;"Money Market",E376=E375),"STALE PRICE","")</f>
        <v/>
      </c>
      <c r="U376" s="6">
        <f>IF(F376&lt;0,"NEGATIVE CASH","")</f>
        <v/>
      </c>
      <c r="V376" s="6">
        <f>IF(ABS(R376)&gt;0.05*M376,"LARGE FLOW","")</f>
        <v/>
      </c>
      <c r="W376" s="6">
        <f>(S376&lt;&gt;"")*1+(T376&lt;&gt;"")*1+(U376&lt;&gt;"")*1+(V376&lt;&gt;"")*1</f>
        <v/>
      </c>
      <c r="X376" s="6">
        <f>IF(S376&lt;&gt;"",S376,IF(T376&lt;&gt;"",T376,IF(U376&lt;&gt;"",U376,IF(V376&lt;&gt;"",V376,""))))</f>
        <v/>
      </c>
    </row>
    <row r="377">
      <c r="A377" s="6" t="inlineStr">
        <is>
          <t>2026-06-18</t>
        </is>
      </c>
      <c r="B377" s="6" t="inlineStr">
        <is>
          <t>MMUS</t>
        </is>
      </c>
      <c r="C377" s="6">
        <f>INDEX('Fund Master'!$B$2:$B$7,MATCH(B377,'Fund Master'!$A$2:$A$7,0))</f>
        <v/>
      </c>
      <c r="D377" s="6">
        <f>INDEX('Fund Master'!$C$2:$C$7,MATCH(B377,'Fund Master'!$A$2:$A$7,0))</f>
        <v/>
      </c>
      <c r="E377" s="8" t="n">
        <v>813122125.99</v>
      </c>
      <c r="F377" s="8" t="n">
        <v>24647990.7</v>
      </c>
      <c r="G377" s="8" t="n">
        <v>4778752.3</v>
      </c>
      <c r="H377" s="8" t="n">
        <v>4114908.36</v>
      </c>
      <c r="I377" s="8" t="n">
        <v>324565.82</v>
      </c>
      <c r="J377" s="10" t="n">
        <v>810000000</v>
      </c>
      <c r="K377" s="9">
        <f>E377+F377+G377</f>
        <v/>
      </c>
      <c r="L377" s="9">
        <f>H377+I377</f>
        <v/>
      </c>
      <c r="M377" s="9">
        <f>K377-L377</f>
        <v/>
      </c>
      <c r="N377" s="11">
        <f>IFERROR(M377/J377,0)</f>
        <v/>
      </c>
      <c r="O377" s="11">
        <f>IF((B377=B376),N376,"")</f>
        <v/>
      </c>
      <c r="P377" s="12">
        <f>IF(O377="","",IFERROR((N377-O377)/O377,""))</f>
        <v/>
      </c>
      <c r="Q377" s="13">
        <f>INDEX('Fund Master'!$F$2:$F$7,MATCH(B377,'Fund Master'!$A$2:$A$7,0))</f>
        <v/>
      </c>
      <c r="R377" s="9">
        <f>SUMIFS('Capital Activity'!$E$2:$E$385,'Capital Activity'!$A$2:$A$385,A377,'Capital Activity'!$B$2:$B$385,B377)</f>
        <v/>
      </c>
      <c r="S377" s="6">
        <f>IF(O377="","",IF(ABS(P377)*10000&gt;Q377,"NAV MOVE BREACH",""))</f>
        <v/>
      </c>
      <c r="T377" s="6">
        <f>IF(AND((B377=B376),D377&lt;&gt;"Money Market",E377=E376),"STALE PRICE","")</f>
        <v/>
      </c>
      <c r="U377" s="6">
        <f>IF(F377&lt;0,"NEGATIVE CASH","")</f>
        <v/>
      </c>
      <c r="V377" s="6">
        <f>IF(ABS(R377)&gt;0.05*M377,"LARGE FLOW","")</f>
        <v/>
      </c>
      <c r="W377" s="6">
        <f>(S377&lt;&gt;"")*1+(T377&lt;&gt;"")*1+(U377&lt;&gt;"")*1+(V377&lt;&gt;"")*1</f>
        <v/>
      </c>
      <c r="X377" s="6">
        <f>IF(S377&lt;&gt;"",S377,IF(T377&lt;&gt;"",T377,IF(U377&lt;&gt;"",U377,IF(V377&lt;&gt;"",V377,""))))</f>
        <v/>
      </c>
    </row>
    <row r="378">
      <c r="A378" s="6" t="inlineStr">
        <is>
          <t>2026-06-19</t>
        </is>
      </c>
      <c r="B378" s="6" t="inlineStr">
        <is>
          <t>MMUS</t>
        </is>
      </c>
      <c r="C378" s="6">
        <f>INDEX('Fund Master'!$B$2:$B$7,MATCH(B378,'Fund Master'!$A$2:$A$7,0))</f>
        <v/>
      </c>
      <c r="D378" s="6">
        <f>INDEX('Fund Master'!$C$2:$C$7,MATCH(B378,'Fund Master'!$A$2:$A$7,0))</f>
        <v/>
      </c>
      <c r="E378" s="8" t="n">
        <v>813088294.53</v>
      </c>
      <c r="F378" s="8" t="n">
        <v>24678661.82</v>
      </c>
      <c r="G378" s="8" t="n">
        <v>4799861.41</v>
      </c>
      <c r="H378" s="8" t="n">
        <v>4137433.43</v>
      </c>
      <c r="I378" s="8" t="n">
        <v>330373.59</v>
      </c>
      <c r="J378" s="10" t="n">
        <v>810000000</v>
      </c>
      <c r="K378" s="9">
        <f>E378+F378+G378</f>
        <v/>
      </c>
      <c r="L378" s="9">
        <f>H378+I378</f>
        <v/>
      </c>
      <c r="M378" s="9">
        <f>K378-L378</f>
        <v/>
      </c>
      <c r="N378" s="11">
        <f>IFERROR(M378/J378,0)</f>
        <v/>
      </c>
      <c r="O378" s="11">
        <f>IF((B378=B377),N377,"")</f>
        <v/>
      </c>
      <c r="P378" s="12">
        <f>IF(O378="","",IFERROR((N378-O378)/O378,""))</f>
        <v/>
      </c>
      <c r="Q378" s="13">
        <f>INDEX('Fund Master'!$F$2:$F$7,MATCH(B378,'Fund Master'!$A$2:$A$7,0))</f>
        <v/>
      </c>
      <c r="R378" s="9">
        <f>SUMIFS('Capital Activity'!$E$2:$E$385,'Capital Activity'!$A$2:$A$385,A378,'Capital Activity'!$B$2:$B$385,B378)</f>
        <v/>
      </c>
      <c r="S378" s="6">
        <f>IF(O378="","",IF(ABS(P378)*10000&gt;Q378,"NAV MOVE BREACH",""))</f>
        <v/>
      </c>
      <c r="T378" s="6">
        <f>IF(AND((B378=B377),D378&lt;&gt;"Money Market",E378=E377),"STALE PRICE","")</f>
        <v/>
      </c>
      <c r="U378" s="6">
        <f>IF(F378&lt;0,"NEGATIVE CASH","")</f>
        <v/>
      </c>
      <c r="V378" s="6">
        <f>IF(ABS(R378)&gt;0.05*M378,"LARGE FLOW","")</f>
        <v/>
      </c>
      <c r="W378" s="6">
        <f>(S378&lt;&gt;"")*1+(T378&lt;&gt;"")*1+(U378&lt;&gt;"")*1+(V378&lt;&gt;"")*1</f>
        <v/>
      </c>
      <c r="X378" s="6">
        <f>IF(S378&lt;&gt;"",S378,IF(T378&lt;&gt;"",T378,IF(U378&lt;&gt;"",U378,IF(V378&lt;&gt;"",V378,""))))</f>
        <v/>
      </c>
    </row>
    <row r="379">
      <c r="A379" s="6" t="inlineStr">
        <is>
          <t>2026-06-22</t>
        </is>
      </c>
      <c r="B379" s="6" t="inlineStr">
        <is>
          <t>MMUS</t>
        </is>
      </c>
      <c r="C379" s="6">
        <f>INDEX('Fund Master'!$B$2:$B$7,MATCH(B379,'Fund Master'!$A$2:$A$7,0))</f>
        <v/>
      </c>
      <c r="D379" s="6">
        <f>INDEX('Fund Master'!$C$2:$C$7,MATCH(B379,'Fund Master'!$A$2:$A$7,0))</f>
        <v/>
      </c>
      <c r="E379" s="8" t="n">
        <v>812830799.52</v>
      </c>
      <c r="F379" s="8" t="n">
        <v>24638094.59</v>
      </c>
      <c r="G379" s="8" t="n">
        <v>4814026.57</v>
      </c>
      <c r="H379" s="8" t="n">
        <v>4162387.07</v>
      </c>
      <c r="I379" s="8" t="n">
        <v>336179.53</v>
      </c>
      <c r="J379" s="10" t="n">
        <v>810000000</v>
      </c>
      <c r="K379" s="9">
        <f>E379+F379+G379</f>
        <v/>
      </c>
      <c r="L379" s="9">
        <f>H379+I379</f>
        <v/>
      </c>
      <c r="M379" s="9">
        <f>K379-L379</f>
        <v/>
      </c>
      <c r="N379" s="11">
        <f>IFERROR(M379/J379,0)</f>
        <v/>
      </c>
      <c r="O379" s="11">
        <f>IF((B379=B378),N378,"")</f>
        <v/>
      </c>
      <c r="P379" s="12">
        <f>IF(O379="","",IFERROR((N379-O379)/O379,""))</f>
        <v/>
      </c>
      <c r="Q379" s="13">
        <f>INDEX('Fund Master'!$F$2:$F$7,MATCH(B379,'Fund Master'!$A$2:$A$7,0))</f>
        <v/>
      </c>
      <c r="R379" s="9">
        <f>SUMIFS('Capital Activity'!$E$2:$E$385,'Capital Activity'!$A$2:$A$385,A379,'Capital Activity'!$B$2:$B$385,B379)</f>
        <v/>
      </c>
      <c r="S379" s="6">
        <f>IF(O379="","",IF(ABS(P379)*10000&gt;Q379,"NAV MOVE BREACH",""))</f>
        <v/>
      </c>
      <c r="T379" s="6">
        <f>IF(AND((B379=B378),D379&lt;&gt;"Money Market",E379=E378),"STALE PRICE","")</f>
        <v/>
      </c>
      <c r="U379" s="6">
        <f>IF(F379&lt;0,"NEGATIVE CASH","")</f>
        <v/>
      </c>
      <c r="V379" s="6">
        <f>IF(ABS(R379)&gt;0.05*M379,"LARGE FLOW","")</f>
        <v/>
      </c>
      <c r="W379" s="6">
        <f>(S379&lt;&gt;"")*1+(T379&lt;&gt;"")*1+(U379&lt;&gt;"")*1+(V379&lt;&gt;"")*1</f>
        <v/>
      </c>
      <c r="X379" s="6">
        <f>IF(S379&lt;&gt;"",S379,IF(T379&lt;&gt;"",T379,IF(U379&lt;&gt;"",U379,IF(V379&lt;&gt;"",V379,""))))</f>
        <v/>
      </c>
    </row>
    <row r="380">
      <c r="A380" s="6" t="inlineStr">
        <is>
          <t>2026-06-23</t>
        </is>
      </c>
      <c r="B380" s="6" t="inlineStr">
        <is>
          <t>MMUS</t>
        </is>
      </c>
      <c r="C380" s="6">
        <f>INDEX('Fund Master'!$B$2:$B$7,MATCH(B380,'Fund Master'!$A$2:$A$7,0))</f>
        <v/>
      </c>
      <c r="D380" s="6">
        <f>INDEX('Fund Master'!$C$2:$C$7,MATCH(B380,'Fund Master'!$A$2:$A$7,0))</f>
        <v/>
      </c>
      <c r="E380" s="8" t="n">
        <v>812842763.46</v>
      </c>
      <c r="F380" s="8" t="n">
        <v>24649843.58</v>
      </c>
      <c r="G380" s="8" t="n">
        <v>4800935.82</v>
      </c>
      <c r="H380" s="8" t="n">
        <v>4169342.23</v>
      </c>
      <c r="I380" s="8" t="n">
        <v>341985.54</v>
      </c>
      <c r="J380" s="10" t="n">
        <v>810000000</v>
      </c>
      <c r="K380" s="9">
        <f>E380+F380+G380</f>
        <v/>
      </c>
      <c r="L380" s="9">
        <f>H380+I380</f>
        <v/>
      </c>
      <c r="M380" s="9">
        <f>K380-L380</f>
        <v/>
      </c>
      <c r="N380" s="11">
        <f>IFERROR(M380/J380,0)</f>
        <v/>
      </c>
      <c r="O380" s="11">
        <f>IF((B380=B379),N379,"")</f>
        <v/>
      </c>
      <c r="P380" s="12">
        <f>IF(O380="","",IFERROR((N380-O380)/O380,""))</f>
        <v/>
      </c>
      <c r="Q380" s="13">
        <f>INDEX('Fund Master'!$F$2:$F$7,MATCH(B380,'Fund Master'!$A$2:$A$7,0))</f>
        <v/>
      </c>
      <c r="R380" s="9">
        <f>SUMIFS('Capital Activity'!$E$2:$E$385,'Capital Activity'!$A$2:$A$385,A380,'Capital Activity'!$B$2:$B$385,B380)</f>
        <v/>
      </c>
      <c r="S380" s="6">
        <f>IF(O380="","",IF(ABS(P380)*10000&gt;Q380,"NAV MOVE BREACH",""))</f>
        <v/>
      </c>
      <c r="T380" s="6">
        <f>IF(AND((B380=B379),D380&lt;&gt;"Money Market",E380=E379),"STALE PRICE","")</f>
        <v/>
      </c>
      <c r="U380" s="6">
        <f>IF(F380&lt;0,"NEGATIVE CASH","")</f>
        <v/>
      </c>
      <c r="V380" s="6">
        <f>IF(ABS(R380)&gt;0.05*M380,"LARGE FLOW","")</f>
        <v/>
      </c>
      <c r="W380" s="6">
        <f>(S380&lt;&gt;"")*1+(T380&lt;&gt;"")*1+(U380&lt;&gt;"")*1+(V380&lt;&gt;"")*1</f>
        <v/>
      </c>
      <c r="X380" s="6">
        <f>IF(S380&lt;&gt;"",S380,IF(T380&lt;&gt;"",T380,IF(U380&lt;&gt;"",U380,IF(V380&lt;&gt;"",V380,""))))</f>
        <v/>
      </c>
    </row>
    <row r="381">
      <c r="A381" s="6" t="inlineStr">
        <is>
          <t>2026-06-24</t>
        </is>
      </c>
      <c r="B381" s="6" t="inlineStr">
        <is>
          <t>MMUS</t>
        </is>
      </c>
      <c r="C381" s="6">
        <f>INDEX('Fund Master'!$B$2:$B$7,MATCH(B381,'Fund Master'!$A$2:$A$7,0))</f>
        <v/>
      </c>
      <c r="D381" s="6">
        <f>INDEX('Fund Master'!$C$2:$C$7,MATCH(B381,'Fund Master'!$A$2:$A$7,0))</f>
        <v/>
      </c>
      <c r="E381" s="8" t="n">
        <v>812947828.95</v>
      </c>
      <c r="F381" s="8" t="n">
        <v>24653290.79</v>
      </c>
      <c r="G381" s="8" t="n">
        <v>4794461.2</v>
      </c>
      <c r="H381" s="8" t="n">
        <v>4168099.01</v>
      </c>
      <c r="I381" s="8" t="n">
        <v>347792.31</v>
      </c>
      <c r="J381" s="10" t="n">
        <v>810000000</v>
      </c>
      <c r="K381" s="9">
        <f>E381+F381+G381</f>
        <v/>
      </c>
      <c r="L381" s="9">
        <f>H381+I381</f>
        <v/>
      </c>
      <c r="M381" s="9">
        <f>K381-L381</f>
        <v/>
      </c>
      <c r="N381" s="11">
        <f>IFERROR(M381/J381,0)</f>
        <v/>
      </c>
      <c r="O381" s="11">
        <f>IF((B381=B380),N380,"")</f>
        <v/>
      </c>
      <c r="P381" s="12">
        <f>IF(O381="","",IFERROR((N381-O381)/O381,""))</f>
        <v/>
      </c>
      <c r="Q381" s="13">
        <f>INDEX('Fund Master'!$F$2:$F$7,MATCH(B381,'Fund Master'!$A$2:$A$7,0))</f>
        <v/>
      </c>
      <c r="R381" s="9">
        <f>SUMIFS('Capital Activity'!$E$2:$E$385,'Capital Activity'!$A$2:$A$385,A381,'Capital Activity'!$B$2:$B$385,B381)</f>
        <v/>
      </c>
      <c r="S381" s="6">
        <f>IF(O381="","",IF(ABS(P381)*10000&gt;Q381,"NAV MOVE BREACH",""))</f>
        <v/>
      </c>
      <c r="T381" s="6">
        <f>IF(AND((B381=B380),D381&lt;&gt;"Money Market",E381=E380),"STALE PRICE","")</f>
        <v/>
      </c>
      <c r="U381" s="6">
        <f>IF(F381&lt;0,"NEGATIVE CASH","")</f>
        <v/>
      </c>
      <c r="V381" s="6">
        <f>IF(ABS(R381)&gt;0.05*M381,"LARGE FLOW","")</f>
        <v/>
      </c>
      <c r="W381" s="6">
        <f>(S381&lt;&gt;"")*1+(T381&lt;&gt;"")*1+(U381&lt;&gt;"")*1+(V381&lt;&gt;"")*1</f>
        <v/>
      </c>
      <c r="X381" s="6">
        <f>IF(S381&lt;&gt;"",S381,IF(T381&lt;&gt;"",T381,IF(U381&lt;&gt;"",U381,IF(V381&lt;&gt;"",V381,""))))</f>
        <v/>
      </c>
    </row>
    <row r="382">
      <c r="A382" s="6" t="inlineStr">
        <is>
          <t>2026-06-25</t>
        </is>
      </c>
      <c r="B382" s="6" t="inlineStr">
        <is>
          <t>MMUS</t>
        </is>
      </c>
      <c r="C382" s="6">
        <f>INDEX('Fund Master'!$B$2:$B$7,MATCH(B382,'Fund Master'!$A$2:$A$7,0))</f>
        <v/>
      </c>
      <c r="D382" s="6">
        <f>INDEX('Fund Master'!$C$2:$C$7,MATCH(B382,'Fund Master'!$A$2:$A$7,0))</f>
        <v/>
      </c>
      <c r="E382" s="8" t="n">
        <v>812922010.37</v>
      </c>
      <c r="F382" s="8" t="n">
        <v>24717486.6</v>
      </c>
      <c r="G382" s="8" t="n">
        <v>4803428.6</v>
      </c>
      <c r="H382" s="8" t="n">
        <v>4163162.58</v>
      </c>
      <c r="I382" s="8" t="n">
        <v>353598.9</v>
      </c>
      <c r="J382" s="10" t="n">
        <v>810000000</v>
      </c>
      <c r="K382" s="9">
        <f>E382+F382+G382</f>
        <v/>
      </c>
      <c r="L382" s="9">
        <f>H382+I382</f>
        <v/>
      </c>
      <c r="M382" s="9">
        <f>K382-L382</f>
        <v/>
      </c>
      <c r="N382" s="11">
        <f>IFERROR(M382/J382,0)</f>
        <v/>
      </c>
      <c r="O382" s="11">
        <f>IF((B382=B381),N381,"")</f>
        <v/>
      </c>
      <c r="P382" s="12">
        <f>IF(O382="","",IFERROR((N382-O382)/O382,""))</f>
        <v/>
      </c>
      <c r="Q382" s="13">
        <f>INDEX('Fund Master'!$F$2:$F$7,MATCH(B382,'Fund Master'!$A$2:$A$7,0))</f>
        <v/>
      </c>
      <c r="R382" s="9">
        <f>SUMIFS('Capital Activity'!$E$2:$E$385,'Capital Activity'!$A$2:$A$385,A382,'Capital Activity'!$B$2:$B$385,B382)</f>
        <v/>
      </c>
      <c r="S382" s="6">
        <f>IF(O382="","",IF(ABS(P382)*10000&gt;Q382,"NAV MOVE BREACH",""))</f>
        <v/>
      </c>
      <c r="T382" s="6">
        <f>IF(AND((B382=B381),D382&lt;&gt;"Money Market",E382=E381),"STALE PRICE","")</f>
        <v/>
      </c>
      <c r="U382" s="6">
        <f>IF(F382&lt;0,"NEGATIVE CASH","")</f>
        <v/>
      </c>
      <c r="V382" s="6">
        <f>IF(ABS(R382)&gt;0.05*M382,"LARGE FLOW","")</f>
        <v/>
      </c>
      <c r="W382" s="6">
        <f>(S382&lt;&gt;"")*1+(T382&lt;&gt;"")*1+(U382&lt;&gt;"")*1+(V382&lt;&gt;"")*1</f>
        <v/>
      </c>
      <c r="X382" s="6">
        <f>IF(S382&lt;&gt;"",S382,IF(T382&lt;&gt;"",T382,IF(U382&lt;&gt;"",U382,IF(V382&lt;&gt;"",V382,""))))</f>
        <v/>
      </c>
    </row>
    <row r="383">
      <c r="A383" s="6" t="inlineStr">
        <is>
          <t>2026-06-26</t>
        </is>
      </c>
      <c r="B383" s="6" t="inlineStr">
        <is>
          <t>MMUS</t>
        </is>
      </c>
      <c r="C383" s="6">
        <f>INDEX('Fund Master'!$B$2:$B$7,MATCH(B383,'Fund Master'!$A$2:$A$7,0))</f>
        <v/>
      </c>
      <c r="D383" s="6">
        <f>INDEX('Fund Master'!$C$2:$C$7,MATCH(B383,'Fund Master'!$A$2:$A$7,0))</f>
        <v/>
      </c>
      <c r="E383" s="8" t="n">
        <v>813129000.58</v>
      </c>
      <c r="F383" s="8" t="n">
        <v>24738808.63</v>
      </c>
      <c r="G383" s="8" t="n">
        <v>4802906.67</v>
      </c>
      <c r="H383" s="8" t="n">
        <v>4171503.66</v>
      </c>
      <c r="I383" s="8" t="n">
        <v>359406.97</v>
      </c>
      <c r="J383" s="10" t="n">
        <v>810000000</v>
      </c>
      <c r="K383" s="9">
        <f>E383+F383+G383</f>
        <v/>
      </c>
      <c r="L383" s="9">
        <f>H383+I383</f>
        <v/>
      </c>
      <c r="M383" s="9">
        <f>K383-L383</f>
        <v/>
      </c>
      <c r="N383" s="11">
        <f>IFERROR(M383/J383,0)</f>
        <v/>
      </c>
      <c r="O383" s="11">
        <f>IF((B383=B382),N382,"")</f>
        <v/>
      </c>
      <c r="P383" s="12">
        <f>IF(O383="","",IFERROR((N383-O383)/O383,""))</f>
        <v/>
      </c>
      <c r="Q383" s="13">
        <f>INDEX('Fund Master'!$F$2:$F$7,MATCH(B383,'Fund Master'!$A$2:$A$7,0))</f>
        <v/>
      </c>
      <c r="R383" s="9">
        <f>SUMIFS('Capital Activity'!$E$2:$E$385,'Capital Activity'!$A$2:$A$385,A383,'Capital Activity'!$B$2:$B$385,B383)</f>
        <v/>
      </c>
      <c r="S383" s="6">
        <f>IF(O383="","",IF(ABS(P383)*10000&gt;Q383,"NAV MOVE BREACH",""))</f>
        <v/>
      </c>
      <c r="T383" s="6">
        <f>IF(AND((B383=B382),D383&lt;&gt;"Money Market",E383=E382),"STALE PRICE","")</f>
        <v/>
      </c>
      <c r="U383" s="6">
        <f>IF(F383&lt;0,"NEGATIVE CASH","")</f>
        <v/>
      </c>
      <c r="V383" s="6">
        <f>IF(ABS(R383)&gt;0.05*M383,"LARGE FLOW","")</f>
        <v/>
      </c>
      <c r="W383" s="6">
        <f>(S383&lt;&gt;"")*1+(T383&lt;&gt;"")*1+(U383&lt;&gt;"")*1+(V383&lt;&gt;"")*1</f>
        <v/>
      </c>
      <c r="X383" s="6">
        <f>IF(S383&lt;&gt;"",S383,IF(T383&lt;&gt;"",T383,IF(U383&lt;&gt;"",U383,IF(V383&lt;&gt;"",V383,""))))</f>
        <v/>
      </c>
    </row>
    <row r="384">
      <c r="A384" s="6" t="inlineStr">
        <is>
          <t>2026-06-29</t>
        </is>
      </c>
      <c r="B384" s="6" t="inlineStr">
        <is>
          <t>MMUS</t>
        </is>
      </c>
      <c r="C384" s="6">
        <f>INDEX('Fund Master'!$B$2:$B$7,MATCH(B384,'Fund Master'!$A$2:$A$7,0))</f>
        <v/>
      </c>
      <c r="D384" s="6">
        <f>INDEX('Fund Master'!$C$2:$C$7,MATCH(B384,'Fund Master'!$A$2:$A$7,0))</f>
        <v/>
      </c>
      <c r="E384" s="8" t="n">
        <v>812951100.15</v>
      </c>
      <c r="F384" s="8" t="n">
        <v>24739206.43</v>
      </c>
      <c r="G384" s="8" t="n">
        <v>4830024.86</v>
      </c>
      <c r="H384" s="8" t="n">
        <v>4206869.76</v>
      </c>
      <c r="I384" s="8" t="n">
        <v>365213.76</v>
      </c>
      <c r="J384" s="10" t="n">
        <v>810000000</v>
      </c>
      <c r="K384" s="9">
        <f>E384+F384+G384</f>
        <v/>
      </c>
      <c r="L384" s="9">
        <f>H384+I384</f>
        <v/>
      </c>
      <c r="M384" s="9">
        <f>K384-L384</f>
        <v/>
      </c>
      <c r="N384" s="11">
        <f>IFERROR(M384/J384,0)</f>
        <v/>
      </c>
      <c r="O384" s="11">
        <f>IF((B384=B383),N383,"")</f>
        <v/>
      </c>
      <c r="P384" s="12">
        <f>IF(O384="","",IFERROR((N384-O384)/O384,""))</f>
        <v/>
      </c>
      <c r="Q384" s="13">
        <f>INDEX('Fund Master'!$F$2:$F$7,MATCH(B384,'Fund Master'!$A$2:$A$7,0))</f>
        <v/>
      </c>
      <c r="R384" s="9">
        <f>SUMIFS('Capital Activity'!$E$2:$E$385,'Capital Activity'!$A$2:$A$385,A384,'Capital Activity'!$B$2:$B$385,B384)</f>
        <v/>
      </c>
      <c r="S384" s="6">
        <f>IF(O384="","",IF(ABS(P384)*10000&gt;Q384,"NAV MOVE BREACH",""))</f>
        <v/>
      </c>
      <c r="T384" s="6">
        <f>IF(AND((B384=B383),D384&lt;&gt;"Money Market",E384=E383),"STALE PRICE","")</f>
        <v/>
      </c>
      <c r="U384" s="6">
        <f>IF(F384&lt;0,"NEGATIVE CASH","")</f>
        <v/>
      </c>
      <c r="V384" s="6">
        <f>IF(ABS(R384)&gt;0.05*M384,"LARGE FLOW","")</f>
        <v/>
      </c>
      <c r="W384" s="6">
        <f>(S384&lt;&gt;"")*1+(T384&lt;&gt;"")*1+(U384&lt;&gt;"")*1+(V384&lt;&gt;"")*1</f>
        <v/>
      </c>
      <c r="X384" s="6">
        <f>IF(S384&lt;&gt;"",S384,IF(T384&lt;&gt;"",T384,IF(U384&lt;&gt;"",U384,IF(V384&lt;&gt;"",V384,""))))</f>
        <v/>
      </c>
    </row>
    <row r="385">
      <c r="A385" s="6" t="inlineStr">
        <is>
          <t>2026-06-30</t>
        </is>
      </c>
      <c r="B385" s="6" t="inlineStr">
        <is>
          <t>MMUS</t>
        </is>
      </c>
      <c r="C385" s="6">
        <f>INDEX('Fund Master'!$B$2:$B$7,MATCH(B385,'Fund Master'!$A$2:$A$7,0))</f>
        <v/>
      </c>
      <c r="D385" s="6">
        <f>INDEX('Fund Master'!$C$2:$C$7,MATCH(B385,'Fund Master'!$A$2:$A$7,0))</f>
        <v/>
      </c>
      <c r="E385" s="8" t="n">
        <v>812674524.79</v>
      </c>
      <c r="F385" s="8" t="n">
        <v>24708739.01</v>
      </c>
      <c r="G385" s="8" t="n">
        <v>4815577.4</v>
      </c>
      <c r="H385" s="8" t="n">
        <v>4195347.59</v>
      </c>
      <c r="I385" s="8" t="n">
        <v>371018.58</v>
      </c>
      <c r="J385" s="10" t="n">
        <v>810000000</v>
      </c>
      <c r="K385" s="9">
        <f>E385+F385+G385</f>
        <v/>
      </c>
      <c r="L385" s="9">
        <f>H385+I385</f>
        <v/>
      </c>
      <c r="M385" s="9">
        <f>K385-L385</f>
        <v/>
      </c>
      <c r="N385" s="11">
        <f>IFERROR(M385/J385,0)</f>
        <v/>
      </c>
      <c r="O385" s="11">
        <f>IF((B385=B384),N384,"")</f>
        <v/>
      </c>
      <c r="P385" s="12">
        <f>IF(O385="","",IFERROR((N385-O385)/O385,""))</f>
        <v/>
      </c>
      <c r="Q385" s="13">
        <f>INDEX('Fund Master'!$F$2:$F$7,MATCH(B385,'Fund Master'!$A$2:$A$7,0))</f>
        <v/>
      </c>
      <c r="R385" s="9">
        <f>SUMIFS('Capital Activity'!$E$2:$E$385,'Capital Activity'!$A$2:$A$385,A385,'Capital Activity'!$B$2:$B$385,B385)</f>
        <v/>
      </c>
      <c r="S385" s="6">
        <f>IF(O385="","",IF(ABS(P385)*10000&gt;Q385,"NAV MOVE BREACH",""))</f>
        <v/>
      </c>
      <c r="T385" s="6">
        <f>IF(AND((B385=B384),D385&lt;&gt;"Money Market",E385=E384),"STALE PRICE","")</f>
        <v/>
      </c>
      <c r="U385" s="6">
        <f>IF(F385&lt;0,"NEGATIVE CASH","")</f>
        <v/>
      </c>
      <c r="V385" s="6">
        <f>IF(ABS(R385)&gt;0.05*M385,"LARGE FLOW","")</f>
        <v/>
      </c>
      <c r="W385" s="6">
        <f>(S385&lt;&gt;"")*1+(T385&lt;&gt;"")*1+(U385&lt;&gt;"")*1+(V385&lt;&gt;"")*1</f>
        <v/>
      </c>
      <c r="X385" s="6">
        <f>IF(S385&lt;&gt;"",S385,IF(T385&lt;&gt;"",T385,IF(U385&lt;&gt;"",U385,IF(V385&lt;&gt;"",V385,""))))</f>
        <v/>
      </c>
    </row>
  </sheetData>
  <conditionalFormatting sqref="S2:S385">
    <cfRule type="expression" priority="1" dxfId="0">
      <formula>$S2="NAV MOVE BREACH"</formula>
    </cfRule>
  </conditionalFormatting>
  <conditionalFormatting sqref="U2:U385">
    <cfRule type="expression" priority="2" dxfId="0">
      <formula>$U2="NEGATIVE CASH"</formula>
    </cfRule>
  </conditionalFormatting>
  <conditionalFormatting sqref="T2:T385">
    <cfRule type="expression" priority="3" dxfId="1">
      <formula>$T2="STALE PRICE"</formula>
    </cfRule>
  </conditionalFormatting>
  <conditionalFormatting sqref="V2:V385">
    <cfRule type="expression" priority="4" dxfId="1">
      <formula>$V2="LARGE FLOW"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NAV Oversight Dashboard</t>
        </is>
      </c>
    </row>
    <row r="2">
      <c r="A2" s="2" t="inlineStr">
        <is>
          <t>Reporting period: 01 Apr 2026 to 30 Jun 2026   |   6 funds   |   daily strike</t>
        </is>
      </c>
    </row>
    <row r="4">
      <c r="A4" s="14" t="inlineStr">
        <is>
          <t>Fund strikes reviewed</t>
        </is>
      </c>
      <c r="C4" s="14" t="inlineStr">
        <is>
          <t>Total exceptions</t>
        </is>
      </c>
      <c r="E4" s="14" t="inlineStr">
        <is>
          <t>NAV move breaches</t>
        </is>
      </c>
      <c r="G4" s="14" t="inlineStr">
        <is>
          <t>Total net assets ($)</t>
        </is>
      </c>
    </row>
    <row r="5">
      <c r="A5" s="15">
        <f>COUNTA('NAV Engine'!$B$2:$B$385)</f>
        <v/>
      </c>
      <c r="C5" s="15">
        <f>SUM('NAV Engine'!$W$2:$W$385)</f>
        <v/>
      </c>
      <c r="E5" s="15">
        <f>COUNTIF('NAV Engine'!$S$2:$S$385,"NAV MOVE BREACH")</f>
        <v/>
      </c>
      <c r="G5" s="16">
        <f>SUMIFS('NAV Engine'!$M$2:$M$385,'NAV Engine'!$A$2:$A$385,MAX('NAV Engine'!$A$2:$A$385))</f>
        <v/>
      </c>
    </row>
    <row r="8">
      <c r="A8" s="4" t="inlineStr">
        <is>
          <t>Exceptions by type</t>
        </is>
      </c>
      <c r="D8" s="4" t="inlineStr">
        <is>
          <t>Exceptions by fund</t>
        </is>
      </c>
    </row>
    <row r="9">
      <c r="A9" s="17" t="inlineStr">
        <is>
          <t>Type</t>
        </is>
      </c>
      <c r="B9" s="17" t="inlineStr">
        <is>
          <t>Count</t>
        </is>
      </c>
      <c r="D9" s="17" t="inlineStr">
        <is>
          <t>Fund</t>
        </is>
      </c>
      <c r="E9" s="17" t="inlineStr">
        <is>
          <t>Net Assets</t>
        </is>
      </c>
      <c r="F9" s="17" t="inlineStr">
        <is>
          <t>Exceptions</t>
        </is>
      </c>
    </row>
    <row r="10">
      <c r="A10" s="3" t="inlineStr">
        <is>
          <t>NAV MOVE BREACH</t>
        </is>
      </c>
      <c r="B10" s="18">
        <f>COUNTIF('NAV Engine'!$S$2:$S$385,"NAV MOVE BREACH")</f>
        <v/>
      </c>
      <c r="D10" s="3" t="inlineStr">
        <is>
          <t>EQGL</t>
        </is>
      </c>
      <c r="E10" s="19">
        <f>SUMIFS('NAV Engine'!$M$2:$M$385,'NAV Engine'!$B$2:$B$385,D10,'NAV Engine'!$A$2:$A$385,MAX('NAV Engine'!$A$2:$A$385))</f>
        <v/>
      </c>
      <c r="F10" s="18">
        <f>SUMIFS('NAV Engine'!$W$2:$W$385,'NAV Engine'!$B$2:$B$385,D10)</f>
        <v/>
      </c>
    </row>
    <row r="11">
      <c r="A11" s="3" t="inlineStr">
        <is>
          <t>STALE PRICE</t>
        </is>
      </c>
      <c r="B11" s="18">
        <f>COUNTIF('NAV Engine'!$T$2:$T$385,"STALE PRICE")</f>
        <v/>
      </c>
      <c r="D11" s="3" t="inlineStr">
        <is>
          <t>EQEM</t>
        </is>
      </c>
      <c r="E11" s="19">
        <f>SUMIFS('NAV Engine'!$M$2:$M$385,'NAV Engine'!$B$2:$B$385,D11,'NAV Engine'!$A$2:$A$385,MAX('NAV Engine'!$A$2:$A$385))</f>
        <v/>
      </c>
      <c r="F11" s="18">
        <f>SUMIFS('NAV Engine'!$W$2:$W$385,'NAV Engine'!$B$2:$B$385,D11)</f>
        <v/>
      </c>
    </row>
    <row r="12">
      <c r="A12" s="3" t="inlineStr">
        <is>
          <t>NEGATIVE CASH</t>
        </is>
      </c>
      <c r="B12" s="18">
        <f>COUNTIF('NAV Engine'!$U$2:$U$385,"NEGATIVE CASH")</f>
        <v/>
      </c>
      <c r="D12" s="3" t="inlineStr">
        <is>
          <t>FIIG</t>
        </is>
      </c>
      <c r="E12" s="19">
        <f>SUMIFS('NAV Engine'!$M$2:$M$385,'NAV Engine'!$B$2:$B$385,D12,'NAV Engine'!$A$2:$A$385,MAX('NAV Engine'!$A$2:$A$385))</f>
        <v/>
      </c>
      <c r="F12" s="18">
        <f>SUMIFS('NAV Engine'!$W$2:$W$385,'NAV Engine'!$B$2:$B$385,D12)</f>
        <v/>
      </c>
    </row>
    <row r="13">
      <c r="A13" s="3" t="inlineStr">
        <is>
          <t>LARGE FLOW</t>
        </is>
      </c>
      <c r="B13" s="18">
        <f>COUNTIF('NAV Engine'!$V$2:$V$385,"LARGE FLOW")</f>
        <v/>
      </c>
      <c r="D13" s="3" t="inlineStr">
        <is>
          <t>BALM</t>
        </is>
      </c>
      <c r="E13" s="19">
        <f>SUMIFS('NAV Engine'!$M$2:$M$385,'NAV Engine'!$B$2:$B$385,D13,'NAV Engine'!$A$2:$A$385,MAX('NAV Engine'!$A$2:$A$385))</f>
        <v/>
      </c>
      <c r="F13" s="18">
        <f>SUMIFS('NAV Engine'!$W$2:$W$385,'NAV Engine'!$B$2:$B$385,D13)</f>
        <v/>
      </c>
    </row>
    <row r="14">
      <c r="D14" s="3" t="inlineStr">
        <is>
          <t>MMUS</t>
        </is>
      </c>
      <c r="E14" s="19">
        <f>SUMIFS('NAV Engine'!$M$2:$M$385,'NAV Engine'!$B$2:$B$385,D14,'NAV Engine'!$A$2:$A$385,MAX('NAV Engine'!$A$2:$A$385))</f>
        <v/>
      </c>
      <c r="F14" s="18">
        <f>SUMIFS('NAV Engine'!$W$2:$W$385,'NAV Engine'!$B$2:$B$385,D14)</f>
        <v/>
      </c>
    </row>
    <row r="15">
      <c r="D15" s="3" t="inlineStr">
        <is>
          <t>FDIV</t>
        </is>
      </c>
      <c r="E15" s="19">
        <f>SUMIFS('NAV Engine'!$M$2:$M$385,'NAV Engine'!$B$2:$B$385,D15,'NAV Engine'!$A$2:$A$385,MAX('NAV Engine'!$A$2:$A$385))</f>
        <v/>
      </c>
      <c r="F15" s="18">
        <f>SUMIFS('NAV Engine'!$W$2:$W$385,'NAV Engine'!$B$2:$B$385,D15)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Chintamani Deogaonkar</dc:creator>
  <cp:lastModifiedBy>Chintamani Deogaonkar</cp:lastModifiedBy>
</cp:coreProperties>
</file>