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ternalTrades" sheetId="2" state="visible" r:id="rId2"/>
    <sheet xmlns:r="http://schemas.openxmlformats.org/officeDocument/2006/relationships" name="ExchangeConfirms" sheetId="3" state="visible" r:id="rId3"/>
    <sheet xmlns:r="http://schemas.openxmlformats.org/officeDocument/2006/relationships" name="Reconcil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3356B"/>
      <sz val="14"/>
    </font>
    <font>
      <i val="1"/>
      <color rgb="006E7284"/>
      <sz val="9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4335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164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" customWidth="1" min="3" max="3"/>
    <col width="16" customWidth="1" min="4" max="4"/>
    <col width="18" customWidth="1" min="5" max="5"/>
  </cols>
  <sheetData>
    <row r="2">
      <c r="B2" s="1" t="inlineStr">
        <is>
          <t>Trade Reconciliation - Daily Break Summary</t>
        </is>
      </c>
    </row>
    <row r="3">
      <c r="B3" s="2" t="inlineStr">
        <is>
          <t>Internal OMS blotter vs exchange / clearing confirmations, matched on TradeID. Trade date 2026-06-30. All figures synthetic.</t>
        </is>
      </c>
    </row>
    <row r="5">
      <c r="B5" s="3" t="inlineStr">
        <is>
          <t>Total trades reconciled</t>
        </is>
      </c>
      <c r="D5" s="4">
        <f>COUNTA(Reconciliation!$A$2:$A$463)</f>
        <v/>
      </c>
    </row>
    <row r="6">
      <c r="B6" s="5" t="inlineStr">
        <is>
          <t>Matched</t>
        </is>
      </c>
      <c r="D6" s="6">
        <f>462-SUM(Reconciliation!$R$2:$R$463)</f>
        <v/>
      </c>
    </row>
    <row r="7">
      <c r="B7" s="5" t="inlineStr">
        <is>
          <t>Total breaks</t>
        </is>
      </c>
      <c r="D7" s="6">
        <f>SUM(Reconciliation!$R$2:$R$463)</f>
        <v/>
      </c>
    </row>
    <row r="8">
      <c r="B8" s="3" t="inlineStr">
        <is>
          <t>Match rate</t>
        </is>
      </c>
      <c r="D8" s="7">
        <f>(462-SUM(Reconciliation!$R$2:$R$463))/462</f>
        <v/>
      </c>
    </row>
    <row r="9">
      <c r="B9" s="5" t="inlineStr">
        <is>
          <t>Break notional exposure (INR)</t>
        </is>
      </c>
      <c r="D9" s="6">
        <f>SUM(Reconciliation!$S$2:$S$463)</f>
        <v/>
      </c>
    </row>
    <row r="11">
      <c r="B11" s="3" t="inlineStr">
        <is>
          <t>Breaks by type</t>
        </is>
      </c>
      <c r="D11" s="3" t="inlineStr">
        <is>
          <t>Count</t>
        </is>
      </c>
      <c r="E11" s="3" t="inlineStr">
        <is>
          <t>Notional (INR)</t>
        </is>
      </c>
    </row>
    <row r="12">
      <c r="B12" t="inlineStr">
        <is>
          <t>QTY BREAK</t>
        </is>
      </c>
      <c r="D12" s="6">
        <f>COUNTIF(Reconciliation!$Q$2:$Q$463,"QTY BREAK")</f>
        <v/>
      </c>
      <c r="E12" s="6">
        <f>SUMIF(Reconciliation!$Q$2:$Q$463,"QTY BREAK",Reconciliation!$S$2:$S$463)</f>
        <v/>
      </c>
    </row>
    <row r="13">
      <c r="B13" t="inlineStr">
        <is>
          <t>PRICE BREAK</t>
        </is>
      </c>
      <c r="D13" s="6">
        <f>COUNTIF(Reconciliation!$Q$2:$Q$463,"PRICE BREAK")</f>
        <v/>
      </c>
      <c r="E13" s="6">
        <f>SUMIF(Reconciliation!$Q$2:$Q$463,"PRICE BREAK",Reconciliation!$S$2:$S$463)</f>
        <v/>
      </c>
    </row>
    <row r="14">
      <c r="B14" t="inlineStr">
        <is>
          <t>FEE BREAK</t>
        </is>
      </c>
      <c r="D14" s="6">
        <f>COUNTIF(Reconciliation!$Q$2:$Q$463,"FEE BREAK")</f>
        <v/>
      </c>
      <c r="E14" s="6">
        <f>SUMIF(Reconciliation!$Q$2:$Q$463,"FEE BREAK",Reconciliation!$S$2:$S$463)</f>
        <v/>
      </c>
    </row>
    <row r="15">
      <c r="B15" t="inlineStr">
        <is>
          <t>SIDE BREAK</t>
        </is>
      </c>
      <c r="D15" s="6">
        <f>COUNTIF(Reconciliation!$Q$2:$Q$463,"SIDE BREAK")</f>
        <v/>
      </c>
      <c r="E15" s="6">
        <f>SUMIF(Reconciliation!$Q$2:$Q$463,"SIDE BREAK",Reconciliation!$S$2:$S$463)</f>
        <v/>
      </c>
    </row>
    <row r="16">
      <c r="B16" t="inlineStr">
        <is>
          <t>MISSING IN EXCHANGE</t>
        </is>
      </c>
      <c r="D16" s="6">
        <f>COUNTIF(Reconciliation!$Q$2:$Q$463,"MISSING IN EXCHANGE")</f>
        <v/>
      </c>
      <c r="E16" s="6">
        <f>SUMIF(Reconciliation!$Q$2:$Q$463,"MISSING IN EXCHANGE",Reconciliation!$S$2:$S$463)</f>
        <v/>
      </c>
    </row>
    <row r="17">
      <c r="B17" t="inlineStr">
        <is>
          <t>MISSING IN INTERNAL</t>
        </is>
      </c>
      <c r="D17" s="6">
        <f>COUNTIF(Reconciliation!$Q$2:$Q$463,"MISSING IN INTERNAL")</f>
        <v/>
      </c>
      <c r="E17" s="6">
        <f>SUMIF(Reconciliation!$Q$2:$Q$463,"MISSING IN INTERNAL",Reconciliation!$S$2:$S$463)</f>
        <v/>
      </c>
    </row>
    <row r="18">
      <c r="B18" s="3" t="inlineStr">
        <is>
          <t>TOTAL</t>
        </is>
      </c>
      <c r="D18" s="4">
        <f>SUM(D12:D17)</f>
        <v/>
      </c>
      <c r="E18" s="4">
        <f>SUM(E12:E17)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8" t="inlineStr">
        <is>
          <t>TradeID</t>
        </is>
      </c>
      <c r="B1" s="8" t="inlineStr">
        <is>
          <t>TradeDate</t>
        </is>
      </c>
      <c r="C1" s="8" t="inlineStr">
        <is>
          <t>TradeTime</t>
        </is>
      </c>
      <c r="D1" s="8" t="inlineStr">
        <is>
          <t>Symbol</t>
        </is>
      </c>
      <c r="E1" s="8" t="inlineStr">
        <is>
          <t>AssetClass</t>
        </is>
      </c>
      <c r="F1" s="8" t="inlineStr">
        <is>
          <t>Side</t>
        </is>
      </c>
      <c r="G1" s="8" t="inlineStr">
        <is>
          <t>Quantity</t>
        </is>
      </c>
      <c r="H1" s="8" t="inlineStr">
        <is>
          <t>Price</t>
        </is>
      </c>
      <c r="I1" s="8" t="inlineStr">
        <is>
          <t>GrossNotional</t>
        </is>
      </c>
      <c r="J1" s="8" t="inlineStr">
        <is>
          <t>Fees</t>
        </is>
      </c>
      <c r="K1" s="8" t="inlineStr">
        <is>
          <t>Venue</t>
        </is>
      </c>
      <c r="L1" s="8" t="inlineStr">
        <is>
          <t>ClearingMember</t>
        </is>
      </c>
      <c r="M1" s="8" t="inlineStr">
        <is>
          <t>Key</t>
        </is>
      </c>
    </row>
    <row r="2">
      <c r="A2" t="inlineStr">
        <is>
          <t>T100001</t>
        </is>
      </c>
      <c r="B2" t="inlineStr">
        <is>
          <t>2026-06-30</t>
        </is>
      </c>
      <c r="C2" t="inlineStr">
        <is>
          <t>09:19:04</t>
        </is>
      </c>
      <c r="D2" t="inlineStr">
        <is>
          <t>HINDUNILVR</t>
        </is>
      </c>
      <c r="E2" t="inlineStr">
        <is>
          <t>Equity</t>
        </is>
      </c>
      <c r="F2" t="inlineStr">
        <is>
          <t>SELL</t>
        </is>
      </c>
      <c r="G2" t="n">
        <v>300</v>
      </c>
      <c r="H2" t="n">
        <v>2366.59</v>
      </c>
      <c r="I2" t="n">
        <v>709977</v>
      </c>
      <c r="J2" t="n">
        <v>248.49</v>
      </c>
      <c r="K2" t="inlineStr">
        <is>
          <t>NSE</t>
        </is>
      </c>
      <c r="L2" t="inlineStr">
        <is>
          <t>QE-CLEARING</t>
        </is>
      </c>
      <c r="M2" t="inlineStr">
        <is>
          <t>T100001</t>
        </is>
      </c>
    </row>
    <row r="3">
      <c r="A3" t="inlineStr">
        <is>
          <t>T100002</t>
        </is>
      </c>
      <c r="B3" t="inlineStr">
        <is>
          <t>2026-06-30</t>
        </is>
      </c>
      <c r="C3" t="inlineStr">
        <is>
          <t>10:54:01</t>
        </is>
      </c>
      <c r="D3" t="inlineStr">
        <is>
          <t>HDFCBANK</t>
        </is>
      </c>
      <c r="E3" t="inlineStr">
        <is>
          <t>Equity</t>
        </is>
      </c>
      <c r="F3" t="inlineStr">
        <is>
          <t>SELL</t>
        </is>
      </c>
      <c r="G3" t="n">
        <v>250</v>
      </c>
      <c r="H3" t="n">
        <v>1681.46</v>
      </c>
      <c r="I3" t="n">
        <v>420365</v>
      </c>
      <c r="J3" t="n">
        <v>147.13</v>
      </c>
      <c r="K3" t="inlineStr">
        <is>
          <t>NSE</t>
        </is>
      </c>
      <c r="L3" t="inlineStr">
        <is>
          <t>QE-CLEARING</t>
        </is>
      </c>
      <c r="M3" t="inlineStr">
        <is>
          <t>T100002</t>
        </is>
      </c>
    </row>
    <row r="4">
      <c r="A4" t="inlineStr">
        <is>
          <t>T100003</t>
        </is>
      </c>
      <c r="B4" t="inlineStr">
        <is>
          <t>2026-06-30</t>
        </is>
      </c>
      <c r="C4" t="inlineStr">
        <is>
          <t>13:12:42</t>
        </is>
      </c>
      <c r="D4" t="inlineStr">
        <is>
          <t>HINDUNILVR</t>
        </is>
      </c>
      <c r="E4" t="inlineStr">
        <is>
          <t>Equity</t>
        </is>
      </c>
      <c r="F4" t="inlineStr">
        <is>
          <t>SELL</t>
        </is>
      </c>
      <c r="G4" t="n">
        <v>50</v>
      </c>
      <c r="H4" t="n">
        <v>2356.8</v>
      </c>
      <c r="I4" t="n">
        <v>117840</v>
      </c>
      <c r="J4" t="n">
        <v>41.24</v>
      </c>
      <c r="K4" t="inlineStr">
        <is>
          <t>BSE</t>
        </is>
      </c>
      <c r="L4" t="inlineStr">
        <is>
          <t>QE-CLEARING</t>
        </is>
      </c>
      <c r="M4" t="inlineStr">
        <is>
          <t>T100003</t>
        </is>
      </c>
    </row>
    <row r="5">
      <c r="A5" t="inlineStr">
        <is>
          <t>T100004</t>
        </is>
      </c>
      <c r="B5" t="inlineStr">
        <is>
          <t>2026-06-30</t>
        </is>
      </c>
      <c r="C5" t="inlineStr">
        <is>
          <t>09:28:33</t>
        </is>
      </c>
      <c r="D5" t="inlineStr">
        <is>
          <t>MARUTI</t>
        </is>
      </c>
      <c r="E5" t="inlineStr">
        <is>
          <t>Equity</t>
        </is>
      </c>
      <c r="F5" t="inlineStr">
        <is>
          <t>BUY</t>
        </is>
      </c>
      <c r="G5" t="n">
        <v>150</v>
      </c>
      <c r="H5" t="n">
        <v>12605.02</v>
      </c>
      <c r="I5" t="n">
        <v>1890753</v>
      </c>
      <c r="J5" t="n">
        <v>661.76</v>
      </c>
      <c r="K5" t="inlineStr">
        <is>
          <t>BSE</t>
        </is>
      </c>
      <c r="L5" t="inlineStr">
        <is>
          <t>QE-CLEARING</t>
        </is>
      </c>
      <c r="M5" t="inlineStr">
        <is>
          <t>T100004</t>
        </is>
      </c>
    </row>
    <row r="6">
      <c r="A6" t="inlineStr">
        <is>
          <t>T100005</t>
        </is>
      </c>
      <c r="B6" t="inlineStr">
        <is>
          <t>2026-06-30</t>
        </is>
      </c>
      <c r="C6" t="inlineStr">
        <is>
          <t>11:18:51</t>
        </is>
      </c>
      <c r="D6" t="inlineStr">
        <is>
          <t>ITC</t>
        </is>
      </c>
      <c r="E6" t="inlineStr">
        <is>
          <t>Equity</t>
        </is>
      </c>
      <c r="F6" t="inlineStr">
        <is>
          <t>BUY</t>
        </is>
      </c>
      <c r="G6" t="n">
        <v>200</v>
      </c>
      <c r="H6" t="n">
        <v>447.27</v>
      </c>
      <c r="I6" t="n">
        <v>89454</v>
      </c>
      <c r="J6" t="n">
        <v>31.31</v>
      </c>
      <c r="K6" t="inlineStr">
        <is>
          <t>BSE</t>
        </is>
      </c>
      <c r="L6" t="inlineStr">
        <is>
          <t>QE-CLEARING</t>
        </is>
      </c>
      <c r="M6" t="inlineStr">
        <is>
          <t>T100005</t>
        </is>
      </c>
    </row>
    <row r="7">
      <c r="A7" t="inlineStr">
        <is>
          <t>T100006</t>
        </is>
      </c>
      <c r="B7" t="inlineStr">
        <is>
          <t>2026-06-30</t>
        </is>
      </c>
      <c r="C7" t="inlineStr">
        <is>
          <t>10:53:38</t>
        </is>
      </c>
      <c r="D7" t="inlineStr">
        <is>
          <t>BHARTIARTL</t>
        </is>
      </c>
      <c r="E7" t="inlineStr">
        <is>
          <t>Equity</t>
        </is>
      </c>
      <c r="F7" t="inlineStr">
        <is>
          <t>SELL</t>
        </is>
      </c>
      <c r="G7" t="n">
        <v>150</v>
      </c>
      <c r="H7" t="n">
        <v>1584.58</v>
      </c>
      <c r="I7" t="n">
        <v>237687</v>
      </c>
      <c r="J7" t="n">
        <v>83.19</v>
      </c>
      <c r="K7" t="inlineStr">
        <is>
          <t>NSE</t>
        </is>
      </c>
      <c r="L7" t="inlineStr">
        <is>
          <t>QE-CLEARING</t>
        </is>
      </c>
      <c r="M7" t="inlineStr">
        <is>
          <t>T100006</t>
        </is>
      </c>
    </row>
    <row r="8">
      <c r="A8" t="inlineStr">
        <is>
          <t>T100007</t>
        </is>
      </c>
      <c r="B8" t="inlineStr">
        <is>
          <t>2026-06-30</t>
        </is>
      </c>
      <c r="C8" t="inlineStr">
        <is>
          <t>15:55:39</t>
        </is>
      </c>
      <c r="D8" t="inlineStr">
        <is>
          <t>KOTAKBANK</t>
        </is>
      </c>
      <c r="E8" t="inlineStr">
        <is>
          <t>Equity</t>
        </is>
      </c>
      <c r="F8" t="inlineStr">
        <is>
          <t>SELL</t>
        </is>
      </c>
      <c r="G8" t="n">
        <v>200</v>
      </c>
      <c r="H8" t="n">
        <v>1787.84</v>
      </c>
      <c r="I8" t="n">
        <v>357568</v>
      </c>
      <c r="J8" t="n">
        <v>125.15</v>
      </c>
      <c r="K8" t="inlineStr">
        <is>
          <t>BSE</t>
        </is>
      </c>
      <c r="L8" t="inlineStr">
        <is>
          <t>QE-CLEARING</t>
        </is>
      </c>
      <c r="M8" t="inlineStr">
        <is>
          <t>T100007</t>
        </is>
      </c>
    </row>
    <row r="9">
      <c r="A9" t="inlineStr">
        <is>
          <t>T100008</t>
        </is>
      </c>
      <c r="B9" t="inlineStr">
        <is>
          <t>2026-06-30</t>
        </is>
      </c>
      <c r="C9" t="inlineStr">
        <is>
          <t>11:07:14</t>
        </is>
      </c>
      <c r="D9" t="inlineStr">
        <is>
          <t>RELIANCE</t>
        </is>
      </c>
      <c r="E9" t="inlineStr">
        <is>
          <t>Equity</t>
        </is>
      </c>
      <c r="F9" t="inlineStr">
        <is>
          <t>SELL</t>
        </is>
      </c>
      <c r="G9" t="n">
        <v>75</v>
      </c>
      <c r="H9" t="n">
        <v>1424.09</v>
      </c>
      <c r="I9" t="n">
        <v>106806.75</v>
      </c>
      <c r="J9" t="n">
        <v>37.38</v>
      </c>
      <c r="K9" t="inlineStr">
        <is>
          <t>NSE</t>
        </is>
      </c>
      <c r="L9" t="inlineStr">
        <is>
          <t>QE-CLEARING</t>
        </is>
      </c>
      <c r="M9" t="inlineStr">
        <is>
          <t>T100008</t>
        </is>
      </c>
    </row>
    <row r="10">
      <c r="A10" t="inlineStr">
        <is>
          <t>T100009</t>
        </is>
      </c>
      <c r="B10" t="inlineStr">
        <is>
          <t>2026-06-30</t>
        </is>
      </c>
      <c r="C10" t="inlineStr">
        <is>
          <t>10:41:48</t>
        </is>
      </c>
      <c r="D10" t="inlineStr">
        <is>
          <t>ITC</t>
        </is>
      </c>
      <c r="E10" t="inlineStr">
        <is>
          <t>Equity</t>
        </is>
      </c>
      <c r="F10" t="inlineStr">
        <is>
          <t>BUY</t>
        </is>
      </c>
      <c r="G10" t="n">
        <v>200</v>
      </c>
      <c r="H10" t="n">
        <v>446.63</v>
      </c>
      <c r="I10" t="n">
        <v>89326</v>
      </c>
      <c r="J10" t="n">
        <v>31.26</v>
      </c>
      <c r="K10" t="inlineStr">
        <is>
          <t>NSE</t>
        </is>
      </c>
      <c r="L10" t="inlineStr">
        <is>
          <t>QE-CLEARING</t>
        </is>
      </c>
      <c r="M10" t="inlineStr">
        <is>
          <t>T100009</t>
        </is>
      </c>
    </row>
    <row r="11">
      <c r="A11" t="inlineStr">
        <is>
          <t>T100010</t>
        </is>
      </c>
      <c r="B11" t="inlineStr">
        <is>
          <t>2026-06-30</t>
        </is>
      </c>
      <c r="C11" t="inlineStr">
        <is>
          <t>11:48:51</t>
        </is>
      </c>
      <c r="D11" t="inlineStr">
        <is>
          <t>SBIN</t>
        </is>
      </c>
      <c r="E11" t="inlineStr">
        <is>
          <t>Equity</t>
        </is>
      </c>
      <c r="F11" t="inlineStr">
        <is>
          <t>BUY</t>
        </is>
      </c>
      <c r="G11" t="n">
        <v>500</v>
      </c>
      <c r="H11" t="n">
        <v>815.39</v>
      </c>
      <c r="I11" t="n">
        <v>407695</v>
      </c>
      <c r="J11" t="n">
        <v>142.69</v>
      </c>
      <c r="K11" t="inlineStr">
        <is>
          <t>BSE</t>
        </is>
      </c>
      <c r="L11" t="inlineStr">
        <is>
          <t>QE-CLEARING</t>
        </is>
      </c>
      <c r="M11" t="inlineStr">
        <is>
          <t>T100010</t>
        </is>
      </c>
    </row>
    <row r="12">
      <c r="A12" t="inlineStr">
        <is>
          <t>T100011</t>
        </is>
      </c>
      <c r="B12" t="inlineStr">
        <is>
          <t>2026-06-30</t>
        </is>
      </c>
      <c r="C12" t="inlineStr">
        <is>
          <t>12:29:09</t>
        </is>
      </c>
      <c r="D12" t="inlineStr">
        <is>
          <t>RELIANCE</t>
        </is>
      </c>
      <c r="E12" t="inlineStr">
        <is>
          <t>Equity</t>
        </is>
      </c>
      <c r="F12" t="inlineStr">
        <is>
          <t>BUY</t>
        </is>
      </c>
      <c r="G12" t="n">
        <v>200</v>
      </c>
      <c r="H12" t="n">
        <v>1418.74</v>
      </c>
      <c r="I12" t="n">
        <v>283748</v>
      </c>
      <c r="J12" t="n">
        <v>99.31</v>
      </c>
      <c r="K12" t="inlineStr">
        <is>
          <t>BSE</t>
        </is>
      </c>
      <c r="L12" t="inlineStr">
        <is>
          <t>QE-CLEARING</t>
        </is>
      </c>
      <c r="M12" t="inlineStr">
        <is>
          <t>T100011</t>
        </is>
      </c>
    </row>
    <row r="13">
      <c r="A13" t="inlineStr">
        <is>
          <t>T100012</t>
        </is>
      </c>
      <c r="B13" t="inlineStr">
        <is>
          <t>2026-06-30</t>
        </is>
      </c>
      <c r="C13" t="inlineStr">
        <is>
          <t>11:44:38</t>
        </is>
      </c>
      <c r="D13" t="inlineStr">
        <is>
          <t>INFY</t>
        </is>
      </c>
      <c r="E13" t="inlineStr">
        <is>
          <t>Equity</t>
        </is>
      </c>
      <c r="F13" t="inlineStr">
        <is>
          <t>SELL</t>
        </is>
      </c>
      <c r="G13" t="n">
        <v>50</v>
      </c>
      <c r="H13" t="n">
        <v>1558.76</v>
      </c>
      <c r="I13" t="n">
        <v>77938</v>
      </c>
      <c r="J13" t="n">
        <v>27.28</v>
      </c>
      <c r="K13" t="inlineStr">
        <is>
          <t>BSE</t>
        </is>
      </c>
      <c r="L13" t="inlineStr">
        <is>
          <t>QE-CLEARING</t>
        </is>
      </c>
      <c r="M13" t="inlineStr">
        <is>
          <t>T100012</t>
        </is>
      </c>
    </row>
    <row r="14">
      <c r="A14" t="inlineStr">
        <is>
          <t>T100013</t>
        </is>
      </c>
      <c r="B14" t="inlineStr">
        <is>
          <t>2026-06-30</t>
        </is>
      </c>
      <c r="C14" t="inlineStr">
        <is>
          <t>11:07:00</t>
        </is>
      </c>
      <c r="D14" t="inlineStr">
        <is>
          <t>SUNPHARMA</t>
        </is>
      </c>
      <c r="E14" t="inlineStr">
        <is>
          <t>Equity</t>
        </is>
      </c>
      <c r="F14" t="inlineStr">
        <is>
          <t>BUY</t>
        </is>
      </c>
      <c r="G14" t="n">
        <v>500</v>
      </c>
      <c r="H14" t="n">
        <v>1726.41</v>
      </c>
      <c r="I14" t="n">
        <v>863205</v>
      </c>
      <c r="J14" t="n">
        <v>302.12</v>
      </c>
      <c r="K14" t="inlineStr">
        <is>
          <t>NSE</t>
        </is>
      </c>
      <c r="L14" t="inlineStr">
        <is>
          <t>QE-CLEARING</t>
        </is>
      </c>
      <c r="M14" t="inlineStr">
        <is>
          <t>T100013</t>
        </is>
      </c>
    </row>
    <row r="15">
      <c r="A15" t="inlineStr">
        <is>
          <t>T100014</t>
        </is>
      </c>
      <c r="B15" t="inlineStr">
        <is>
          <t>2026-06-30</t>
        </is>
      </c>
      <c r="C15" t="inlineStr">
        <is>
          <t>09:44:46</t>
        </is>
      </c>
      <c r="D15" t="inlineStr">
        <is>
          <t>TATAMOTORS</t>
        </is>
      </c>
      <c r="E15" t="inlineStr">
        <is>
          <t>Equity</t>
        </is>
      </c>
      <c r="F15" t="inlineStr">
        <is>
          <t>BUY</t>
        </is>
      </c>
      <c r="G15" t="n">
        <v>50</v>
      </c>
      <c r="H15" t="n">
        <v>982.34</v>
      </c>
      <c r="I15" t="n">
        <v>49117</v>
      </c>
      <c r="J15" t="n">
        <v>17.19</v>
      </c>
      <c r="K15" t="inlineStr">
        <is>
          <t>BSE</t>
        </is>
      </c>
      <c r="L15" t="inlineStr">
        <is>
          <t>QE-CLEARING</t>
        </is>
      </c>
      <c r="M15" t="inlineStr">
        <is>
          <t>T100014</t>
        </is>
      </c>
    </row>
    <row r="16">
      <c r="A16" t="inlineStr">
        <is>
          <t>T100015</t>
        </is>
      </c>
      <c r="B16" t="inlineStr">
        <is>
          <t>2026-06-30</t>
        </is>
      </c>
      <c r="C16" t="inlineStr">
        <is>
          <t>12:04:44</t>
        </is>
      </c>
      <c r="D16" t="inlineStr">
        <is>
          <t>KOTAKBANK</t>
        </is>
      </c>
      <c r="E16" t="inlineStr">
        <is>
          <t>Equity</t>
        </is>
      </c>
      <c r="F16" t="inlineStr">
        <is>
          <t>SELL</t>
        </is>
      </c>
      <c r="G16" t="n">
        <v>150</v>
      </c>
      <c r="H16" t="n">
        <v>1788.7</v>
      </c>
      <c r="I16" t="n">
        <v>268305</v>
      </c>
      <c r="J16" t="n">
        <v>93.91</v>
      </c>
      <c r="K16" t="inlineStr">
        <is>
          <t>BSE</t>
        </is>
      </c>
      <c r="L16" t="inlineStr">
        <is>
          <t>QE-CLEARING</t>
        </is>
      </c>
      <c r="M16" t="inlineStr">
        <is>
          <t>T100015</t>
        </is>
      </c>
    </row>
    <row r="17">
      <c r="A17" t="inlineStr">
        <is>
          <t>T100016</t>
        </is>
      </c>
      <c r="B17" t="inlineStr">
        <is>
          <t>2026-06-30</t>
        </is>
      </c>
      <c r="C17" t="inlineStr">
        <is>
          <t>10:02:17</t>
        </is>
      </c>
      <c r="D17" t="inlineStr">
        <is>
          <t>HINDUNILVR</t>
        </is>
      </c>
      <c r="E17" t="inlineStr">
        <is>
          <t>Equity</t>
        </is>
      </c>
      <c r="F17" t="inlineStr">
        <is>
          <t>BUY</t>
        </is>
      </c>
      <c r="G17" t="n">
        <v>150</v>
      </c>
      <c r="H17" t="n">
        <v>2362.07</v>
      </c>
      <c r="I17" t="n">
        <v>354310.5</v>
      </c>
      <c r="J17" t="n">
        <v>124.01</v>
      </c>
      <c r="K17" t="inlineStr">
        <is>
          <t>BSE</t>
        </is>
      </c>
      <c r="L17" t="inlineStr">
        <is>
          <t>QE-CLEARING</t>
        </is>
      </c>
      <c r="M17" t="inlineStr">
        <is>
          <t>T100016</t>
        </is>
      </c>
    </row>
    <row r="18">
      <c r="A18" t="inlineStr">
        <is>
          <t>T100017</t>
        </is>
      </c>
      <c r="B18" t="inlineStr">
        <is>
          <t>2026-06-30</t>
        </is>
      </c>
      <c r="C18" t="inlineStr">
        <is>
          <t>14:16:52</t>
        </is>
      </c>
      <c r="D18" t="inlineStr">
        <is>
          <t>TCS</t>
        </is>
      </c>
      <c r="E18" t="inlineStr">
        <is>
          <t>Equity</t>
        </is>
      </c>
      <c r="F18" t="inlineStr">
        <is>
          <t>BUY</t>
        </is>
      </c>
      <c r="G18" t="n">
        <v>300</v>
      </c>
      <c r="H18" t="n">
        <v>3894.51</v>
      </c>
      <c r="I18" t="n">
        <v>1168353</v>
      </c>
      <c r="J18" t="n">
        <v>408.92</v>
      </c>
      <c r="K18" t="inlineStr">
        <is>
          <t>BSE</t>
        </is>
      </c>
      <c r="L18" t="inlineStr">
        <is>
          <t>QE-CLEARING</t>
        </is>
      </c>
      <c r="M18" t="inlineStr">
        <is>
          <t>T100017</t>
        </is>
      </c>
    </row>
    <row r="19">
      <c r="A19" t="inlineStr">
        <is>
          <t>T100018</t>
        </is>
      </c>
      <c r="B19" t="inlineStr">
        <is>
          <t>2026-06-30</t>
        </is>
      </c>
      <c r="C19" t="inlineStr">
        <is>
          <t>10:06:57</t>
        </is>
      </c>
      <c r="D19" t="inlineStr">
        <is>
          <t>ITC</t>
        </is>
      </c>
      <c r="E19" t="inlineStr">
        <is>
          <t>Equity</t>
        </is>
      </c>
      <c r="F19" t="inlineStr">
        <is>
          <t>SELL</t>
        </is>
      </c>
      <c r="G19" t="n">
        <v>75</v>
      </c>
      <c r="H19" t="n">
        <v>447.76</v>
      </c>
      <c r="I19" t="n">
        <v>33582</v>
      </c>
      <c r="J19" t="n">
        <v>11.75</v>
      </c>
      <c r="K19" t="inlineStr">
        <is>
          <t>NSE</t>
        </is>
      </c>
      <c r="L19" t="inlineStr">
        <is>
          <t>QE-CLEARING</t>
        </is>
      </c>
      <c r="M19" t="inlineStr">
        <is>
          <t>T100018</t>
        </is>
      </c>
    </row>
    <row r="20">
      <c r="A20" t="inlineStr">
        <is>
          <t>T100019</t>
        </is>
      </c>
      <c r="B20" t="inlineStr">
        <is>
          <t>2026-06-30</t>
        </is>
      </c>
      <c r="C20" t="inlineStr">
        <is>
          <t>14:44:46</t>
        </is>
      </c>
      <c r="D20" t="inlineStr">
        <is>
          <t>TATAMOTORS</t>
        </is>
      </c>
      <c r="E20" t="inlineStr">
        <is>
          <t>Equity</t>
        </is>
      </c>
      <c r="F20" t="inlineStr">
        <is>
          <t>BUY</t>
        </is>
      </c>
      <c r="G20" t="n">
        <v>300</v>
      </c>
      <c r="H20" t="n">
        <v>985.76</v>
      </c>
      <c r="I20" t="n">
        <v>295728</v>
      </c>
      <c r="J20" t="n">
        <v>103.5</v>
      </c>
      <c r="K20" t="inlineStr">
        <is>
          <t>NSE</t>
        </is>
      </c>
      <c r="L20" t="inlineStr">
        <is>
          <t>QE-CLEARING</t>
        </is>
      </c>
      <c r="M20" t="inlineStr">
        <is>
          <t>T100019</t>
        </is>
      </c>
    </row>
    <row r="21">
      <c r="A21" t="inlineStr">
        <is>
          <t>T100020</t>
        </is>
      </c>
      <c r="B21" t="inlineStr">
        <is>
          <t>2026-06-30</t>
        </is>
      </c>
      <c r="C21" t="inlineStr">
        <is>
          <t>11:06:04</t>
        </is>
      </c>
      <c r="D21" t="inlineStr">
        <is>
          <t>HINDUNILVR</t>
        </is>
      </c>
      <c r="E21" t="inlineStr">
        <is>
          <t>Equity</t>
        </is>
      </c>
      <c r="F21" t="inlineStr">
        <is>
          <t>BUY</t>
        </is>
      </c>
      <c r="G21" t="n">
        <v>75</v>
      </c>
      <c r="H21" t="n">
        <v>2355.69</v>
      </c>
      <c r="I21" t="n">
        <v>176676.75</v>
      </c>
      <c r="J21" t="n">
        <v>61.84</v>
      </c>
      <c r="K21" t="inlineStr">
        <is>
          <t>NSE</t>
        </is>
      </c>
      <c r="L21" t="inlineStr">
        <is>
          <t>QE-CLEARING</t>
        </is>
      </c>
      <c r="M21" t="inlineStr">
        <is>
          <t>T100020</t>
        </is>
      </c>
    </row>
    <row r="22">
      <c r="A22" t="inlineStr">
        <is>
          <t>T100021</t>
        </is>
      </c>
      <c r="B22" t="inlineStr">
        <is>
          <t>2026-06-30</t>
        </is>
      </c>
      <c r="C22" t="inlineStr">
        <is>
          <t>09:19:29</t>
        </is>
      </c>
      <c r="D22" t="inlineStr">
        <is>
          <t>ICICIBANK</t>
        </is>
      </c>
      <c r="E22" t="inlineStr">
        <is>
          <t>Equity</t>
        </is>
      </c>
      <c r="F22" t="inlineStr">
        <is>
          <t>SELL</t>
        </is>
      </c>
      <c r="G22" t="n">
        <v>500</v>
      </c>
      <c r="H22" t="n">
        <v>1242.12</v>
      </c>
      <c r="I22" t="n">
        <v>621060</v>
      </c>
      <c r="J22" t="n">
        <v>217.37</v>
      </c>
      <c r="K22" t="inlineStr">
        <is>
          <t>NSE</t>
        </is>
      </c>
      <c r="L22" t="inlineStr">
        <is>
          <t>QE-CLEARING</t>
        </is>
      </c>
      <c r="M22" t="inlineStr">
        <is>
          <t>T100021</t>
        </is>
      </c>
    </row>
    <row r="23">
      <c r="A23" t="inlineStr">
        <is>
          <t>T100022</t>
        </is>
      </c>
      <c r="B23" t="inlineStr">
        <is>
          <t>2026-06-30</t>
        </is>
      </c>
      <c r="C23" t="inlineStr">
        <is>
          <t>11:08:54</t>
        </is>
      </c>
      <c r="D23" t="inlineStr">
        <is>
          <t>KOTAKBANK</t>
        </is>
      </c>
      <c r="E23" t="inlineStr">
        <is>
          <t>Equity</t>
        </is>
      </c>
      <c r="F23" t="inlineStr">
        <is>
          <t>BUY</t>
        </is>
      </c>
      <c r="G23" t="n">
        <v>500</v>
      </c>
      <c r="H23" t="n">
        <v>1789.76</v>
      </c>
      <c r="I23" t="n">
        <v>894880</v>
      </c>
      <c r="J23" t="n">
        <v>313.21</v>
      </c>
      <c r="K23" t="inlineStr">
        <is>
          <t>BSE</t>
        </is>
      </c>
      <c r="L23" t="inlineStr">
        <is>
          <t>QE-CLEARING</t>
        </is>
      </c>
      <c r="M23" t="inlineStr">
        <is>
          <t>T100022</t>
        </is>
      </c>
    </row>
    <row r="24">
      <c r="A24" t="inlineStr">
        <is>
          <t>T100023</t>
        </is>
      </c>
      <c r="B24" t="inlineStr">
        <is>
          <t>2026-06-30</t>
        </is>
      </c>
      <c r="C24" t="inlineStr">
        <is>
          <t>13:36:50</t>
        </is>
      </c>
      <c r="D24" t="inlineStr">
        <is>
          <t>LT</t>
        </is>
      </c>
      <c r="E24" t="inlineStr">
        <is>
          <t>Equity</t>
        </is>
      </c>
      <c r="F24" t="inlineStr">
        <is>
          <t>BUY</t>
        </is>
      </c>
      <c r="G24" t="n">
        <v>250</v>
      </c>
      <c r="H24" t="n">
        <v>3619.7</v>
      </c>
      <c r="I24" t="n">
        <v>904925</v>
      </c>
      <c r="J24" t="n">
        <v>316.72</v>
      </c>
      <c r="K24" t="inlineStr">
        <is>
          <t>NSE</t>
        </is>
      </c>
      <c r="L24" t="inlineStr">
        <is>
          <t>QE-CLEARING</t>
        </is>
      </c>
      <c r="M24" t="inlineStr">
        <is>
          <t>T100023</t>
        </is>
      </c>
    </row>
    <row r="25">
      <c r="A25" t="inlineStr">
        <is>
          <t>T100024</t>
        </is>
      </c>
      <c r="B25" t="inlineStr">
        <is>
          <t>2026-06-30</t>
        </is>
      </c>
      <c r="C25" t="inlineStr">
        <is>
          <t>09:49:35</t>
        </is>
      </c>
      <c r="D25" t="inlineStr">
        <is>
          <t>RELIANCE</t>
        </is>
      </c>
      <c r="E25" t="inlineStr">
        <is>
          <t>Equity</t>
        </is>
      </c>
      <c r="F25" t="inlineStr">
        <is>
          <t>SELL</t>
        </is>
      </c>
      <c r="G25" t="n">
        <v>50</v>
      </c>
      <c r="H25" t="n">
        <v>1417.53</v>
      </c>
      <c r="I25" t="n">
        <v>70876.5</v>
      </c>
      <c r="J25" t="n">
        <v>24.81</v>
      </c>
      <c r="K25" t="inlineStr">
        <is>
          <t>BSE</t>
        </is>
      </c>
      <c r="L25" t="inlineStr">
        <is>
          <t>QE-CLEARING</t>
        </is>
      </c>
      <c r="M25" t="inlineStr">
        <is>
          <t>T100024</t>
        </is>
      </c>
    </row>
    <row r="26">
      <c r="A26" t="inlineStr">
        <is>
          <t>T100025</t>
        </is>
      </c>
      <c r="B26" t="inlineStr">
        <is>
          <t>2026-06-30</t>
        </is>
      </c>
      <c r="C26" t="inlineStr">
        <is>
          <t>12:08:45</t>
        </is>
      </c>
      <c r="D26" t="inlineStr">
        <is>
          <t>HINDUNILVR</t>
        </is>
      </c>
      <c r="E26" t="inlineStr">
        <is>
          <t>Equity</t>
        </is>
      </c>
      <c r="F26" t="inlineStr">
        <is>
          <t>SELL</t>
        </is>
      </c>
      <c r="G26" t="n">
        <v>100</v>
      </c>
      <c r="H26" t="n">
        <v>2369.34</v>
      </c>
      <c r="I26" t="n">
        <v>236934</v>
      </c>
      <c r="J26" t="n">
        <v>82.93000000000001</v>
      </c>
      <c r="K26" t="inlineStr">
        <is>
          <t>BSE</t>
        </is>
      </c>
      <c r="L26" t="inlineStr">
        <is>
          <t>QE-CLEARING</t>
        </is>
      </c>
      <c r="M26" t="inlineStr">
        <is>
          <t>T100025</t>
        </is>
      </c>
    </row>
    <row r="27">
      <c r="A27" t="inlineStr">
        <is>
          <t>T100026</t>
        </is>
      </c>
      <c r="B27" t="inlineStr">
        <is>
          <t>2026-06-30</t>
        </is>
      </c>
      <c r="C27" t="inlineStr">
        <is>
          <t>09:06:13</t>
        </is>
      </c>
      <c r="D27" t="inlineStr">
        <is>
          <t>TCS</t>
        </is>
      </c>
      <c r="E27" t="inlineStr">
        <is>
          <t>Equity</t>
        </is>
      </c>
      <c r="F27" t="inlineStr">
        <is>
          <t>SELL</t>
        </is>
      </c>
      <c r="G27" t="n">
        <v>300</v>
      </c>
      <c r="H27" t="n">
        <v>3900.36</v>
      </c>
      <c r="I27" t="n">
        <v>1170108</v>
      </c>
      <c r="J27" t="n">
        <v>409.54</v>
      </c>
      <c r="K27" t="inlineStr">
        <is>
          <t>NSE</t>
        </is>
      </c>
      <c r="L27" t="inlineStr">
        <is>
          <t>QE-CLEARING</t>
        </is>
      </c>
      <c r="M27" t="inlineStr">
        <is>
          <t>T100026</t>
        </is>
      </c>
    </row>
    <row r="28">
      <c r="A28" t="inlineStr">
        <is>
          <t>T100027</t>
        </is>
      </c>
      <c r="B28" t="inlineStr">
        <is>
          <t>2026-06-30</t>
        </is>
      </c>
      <c r="C28" t="inlineStr">
        <is>
          <t>14:46:49</t>
        </is>
      </c>
      <c r="D28" t="inlineStr">
        <is>
          <t>TATAMOTORS</t>
        </is>
      </c>
      <c r="E28" t="inlineStr">
        <is>
          <t>Equity</t>
        </is>
      </c>
      <c r="F28" t="inlineStr">
        <is>
          <t>SELL</t>
        </is>
      </c>
      <c r="G28" t="n">
        <v>50</v>
      </c>
      <c r="H28" t="n">
        <v>986.0599999999999</v>
      </c>
      <c r="I28" t="n">
        <v>49303</v>
      </c>
      <c r="J28" t="n">
        <v>17.26</v>
      </c>
      <c r="K28" t="inlineStr">
        <is>
          <t>NSE</t>
        </is>
      </c>
      <c r="L28" t="inlineStr">
        <is>
          <t>QE-CLEARING</t>
        </is>
      </c>
      <c r="M28" t="inlineStr">
        <is>
          <t>T100027</t>
        </is>
      </c>
    </row>
    <row r="29">
      <c r="A29" t="inlineStr">
        <is>
          <t>T100028</t>
        </is>
      </c>
      <c r="B29" t="inlineStr">
        <is>
          <t>2026-06-30</t>
        </is>
      </c>
      <c r="C29" t="inlineStr">
        <is>
          <t>12:04:49</t>
        </is>
      </c>
      <c r="D29" t="inlineStr">
        <is>
          <t>AXISBANK</t>
        </is>
      </c>
      <c r="E29" t="inlineStr">
        <is>
          <t>Equity</t>
        </is>
      </c>
      <c r="F29" t="inlineStr">
        <is>
          <t>BUY</t>
        </is>
      </c>
      <c r="G29" t="n">
        <v>500</v>
      </c>
      <c r="H29" t="n">
        <v>1130.21</v>
      </c>
      <c r="I29" t="n">
        <v>565105</v>
      </c>
      <c r="J29" t="n">
        <v>197.79</v>
      </c>
      <c r="K29" t="inlineStr">
        <is>
          <t>NSE</t>
        </is>
      </c>
      <c r="L29" t="inlineStr">
        <is>
          <t>QE-CLEARING</t>
        </is>
      </c>
      <c r="M29" t="inlineStr">
        <is>
          <t>T100028</t>
        </is>
      </c>
    </row>
    <row r="30">
      <c r="A30" t="inlineStr">
        <is>
          <t>T100029</t>
        </is>
      </c>
      <c r="B30" t="inlineStr">
        <is>
          <t>2026-06-30</t>
        </is>
      </c>
      <c r="C30" t="inlineStr">
        <is>
          <t>12:18:14</t>
        </is>
      </c>
      <c r="D30" t="inlineStr">
        <is>
          <t>KOTAKBANK</t>
        </is>
      </c>
      <c r="E30" t="inlineStr">
        <is>
          <t>Equity</t>
        </is>
      </c>
      <c r="F30" t="inlineStr">
        <is>
          <t>BUY</t>
        </is>
      </c>
      <c r="G30" t="n">
        <v>250</v>
      </c>
      <c r="H30" t="n">
        <v>1797.58</v>
      </c>
      <c r="I30" t="n">
        <v>449395</v>
      </c>
      <c r="J30" t="n">
        <v>157.29</v>
      </c>
      <c r="K30" t="inlineStr">
        <is>
          <t>NSE</t>
        </is>
      </c>
      <c r="L30" t="inlineStr">
        <is>
          <t>QE-CLEARING</t>
        </is>
      </c>
      <c r="M30" t="inlineStr">
        <is>
          <t>T100029</t>
        </is>
      </c>
    </row>
    <row r="31">
      <c r="A31" t="inlineStr">
        <is>
          <t>T100030</t>
        </is>
      </c>
      <c r="B31" t="inlineStr">
        <is>
          <t>2026-06-30</t>
        </is>
      </c>
      <c r="C31" t="inlineStr">
        <is>
          <t>15:48:16</t>
        </is>
      </c>
      <c r="D31" t="inlineStr">
        <is>
          <t>LT</t>
        </is>
      </c>
      <c r="E31" t="inlineStr">
        <is>
          <t>Equity</t>
        </is>
      </c>
      <c r="F31" t="inlineStr">
        <is>
          <t>SELL</t>
        </is>
      </c>
      <c r="G31" t="n">
        <v>50</v>
      </c>
      <c r="H31" t="n">
        <v>3626.46</v>
      </c>
      <c r="I31" t="n">
        <v>181323</v>
      </c>
      <c r="J31" t="n">
        <v>63.46</v>
      </c>
      <c r="K31" t="inlineStr">
        <is>
          <t>NSE</t>
        </is>
      </c>
      <c r="L31" t="inlineStr">
        <is>
          <t>QE-CLEARING</t>
        </is>
      </c>
      <c r="M31" t="inlineStr">
        <is>
          <t>T100030</t>
        </is>
      </c>
    </row>
    <row r="32">
      <c r="A32" t="inlineStr">
        <is>
          <t>T100031</t>
        </is>
      </c>
      <c r="B32" t="inlineStr">
        <is>
          <t>2026-06-30</t>
        </is>
      </c>
      <c r="C32" t="inlineStr">
        <is>
          <t>09:37:41</t>
        </is>
      </c>
      <c r="D32" t="inlineStr">
        <is>
          <t>HDFCBANK</t>
        </is>
      </c>
      <c r="E32" t="inlineStr">
        <is>
          <t>Equity</t>
        </is>
      </c>
      <c r="F32" t="inlineStr">
        <is>
          <t>BUY</t>
        </is>
      </c>
      <c r="G32" t="n">
        <v>300</v>
      </c>
      <c r="H32" t="n">
        <v>1679.6</v>
      </c>
      <c r="I32" t="n">
        <v>503880</v>
      </c>
      <c r="J32" t="n">
        <v>176.36</v>
      </c>
      <c r="K32" t="inlineStr">
        <is>
          <t>NSE</t>
        </is>
      </c>
      <c r="L32" t="inlineStr">
        <is>
          <t>QE-CLEARING</t>
        </is>
      </c>
      <c r="M32" t="inlineStr">
        <is>
          <t>T100031</t>
        </is>
      </c>
    </row>
    <row r="33">
      <c r="A33" t="inlineStr">
        <is>
          <t>T100032</t>
        </is>
      </c>
      <c r="B33" t="inlineStr">
        <is>
          <t>2026-06-30</t>
        </is>
      </c>
      <c r="C33" t="inlineStr">
        <is>
          <t>14:54:58</t>
        </is>
      </c>
      <c r="D33" t="inlineStr">
        <is>
          <t>TCS</t>
        </is>
      </c>
      <c r="E33" t="inlineStr">
        <is>
          <t>Equity</t>
        </is>
      </c>
      <c r="F33" t="inlineStr">
        <is>
          <t>SELL</t>
        </is>
      </c>
      <c r="G33" t="n">
        <v>150</v>
      </c>
      <c r="H33" t="n">
        <v>3880.43</v>
      </c>
      <c r="I33" t="n">
        <v>582064.5</v>
      </c>
      <c r="J33" t="n">
        <v>203.72</v>
      </c>
      <c r="K33" t="inlineStr">
        <is>
          <t>NSE</t>
        </is>
      </c>
      <c r="L33" t="inlineStr">
        <is>
          <t>QE-CLEARING</t>
        </is>
      </c>
      <c r="M33" t="inlineStr">
        <is>
          <t>T100032</t>
        </is>
      </c>
    </row>
    <row r="34">
      <c r="A34" t="inlineStr">
        <is>
          <t>T100033</t>
        </is>
      </c>
      <c r="B34" t="inlineStr">
        <is>
          <t>2026-06-30</t>
        </is>
      </c>
      <c r="C34" t="inlineStr">
        <is>
          <t>14:00:59</t>
        </is>
      </c>
      <c r="D34" t="inlineStr">
        <is>
          <t>ITC</t>
        </is>
      </c>
      <c r="E34" t="inlineStr">
        <is>
          <t>Equity</t>
        </is>
      </c>
      <c r="F34" t="inlineStr">
        <is>
          <t>BUY</t>
        </is>
      </c>
      <c r="G34" t="n">
        <v>250</v>
      </c>
      <c r="H34" t="n">
        <v>447.57</v>
      </c>
      <c r="I34" t="n">
        <v>111892.5</v>
      </c>
      <c r="J34" t="n">
        <v>39.16</v>
      </c>
      <c r="K34" t="inlineStr">
        <is>
          <t>NSE</t>
        </is>
      </c>
      <c r="L34" t="inlineStr">
        <is>
          <t>QE-CLEARING</t>
        </is>
      </c>
      <c r="M34" t="inlineStr">
        <is>
          <t>T100033</t>
        </is>
      </c>
    </row>
    <row r="35">
      <c r="A35" t="inlineStr">
        <is>
          <t>T100034</t>
        </is>
      </c>
      <c r="B35" t="inlineStr">
        <is>
          <t>2026-06-30</t>
        </is>
      </c>
      <c r="C35" t="inlineStr">
        <is>
          <t>09:28:50</t>
        </is>
      </c>
      <c r="D35" t="inlineStr">
        <is>
          <t>ITC</t>
        </is>
      </c>
      <c r="E35" t="inlineStr">
        <is>
          <t>Equity</t>
        </is>
      </c>
      <c r="F35" t="inlineStr">
        <is>
          <t>SELL</t>
        </is>
      </c>
      <c r="G35" t="n">
        <v>50</v>
      </c>
      <c r="H35" t="n">
        <v>448.36</v>
      </c>
      <c r="I35" t="n">
        <v>22418</v>
      </c>
      <c r="J35" t="n">
        <v>7.85</v>
      </c>
      <c r="K35" t="inlineStr">
        <is>
          <t>NSE</t>
        </is>
      </c>
      <c r="L35" t="inlineStr">
        <is>
          <t>QE-CLEARING</t>
        </is>
      </c>
      <c r="M35" t="inlineStr">
        <is>
          <t>T100034</t>
        </is>
      </c>
    </row>
    <row r="36">
      <c r="A36" t="inlineStr">
        <is>
          <t>T100035</t>
        </is>
      </c>
      <c r="B36" t="inlineStr">
        <is>
          <t>2026-06-30</t>
        </is>
      </c>
      <c r="C36" t="inlineStr">
        <is>
          <t>10:13:33</t>
        </is>
      </c>
      <c r="D36" t="inlineStr">
        <is>
          <t>ITC</t>
        </is>
      </c>
      <c r="E36" t="inlineStr">
        <is>
          <t>Equity</t>
        </is>
      </c>
      <c r="F36" t="inlineStr">
        <is>
          <t>BUY</t>
        </is>
      </c>
      <c r="G36" t="n">
        <v>150</v>
      </c>
      <c r="H36" t="n">
        <v>449.26</v>
      </c>
      <c r="I36" t="n">
        <v>67389</v>
      </c>
      <c r="J36" t="n">
        <v>23.59</v>
      </c>
      <c r="K36" t="inlineStr">
        <is>
          <t>BSE</t>
        </is>
      </c>
      <c r="L36" t="inlineStr">
        <is>
          <t>QE-CLEARING</t>
        </is>
      </c>
      <c r="M36" t="inlineStr">
        <is>
          <t>T100035</t>
        </is>
      </c>
    </row>
    <row r="37">
      <c r="A37" t="inlineStr">
        <is>
          <t>T100036</t>
        </is>
      </c>
      <c r="B37" t="inlineStr">
        <is>
          <t>2026-06-30</t>
        </is>
      </c>
      <c r="C37" t="inlineStr">
        <is>
          <t>15:14:31</t>
        </is>
      </c>
      <c r="D37" t="inlineStr">
        <is>
          <t>KOTAKBANK</t>
        </is>
      </c>
      <c r="E37" t="inlineStr">
        <is>
          <t>Equity</t>
        </is>
      </c>
      <c r="F37" t="inlineStr">
        <is>
          <t>SELL</t>
        </is>
      </c>
      <c r="G37" t="n">
        <v>150</v>
      </c>
      <c r="H37" t="n">
        <v>1800.74</v>
      </c>
      <c r="I37" t="n">
        <v>270111</v>
      </c>
      <c r="J37" t="n">
        <v>94.54000000000001</v>
      </c>
      <c r="K37" t="inlineStr">
        <is>
          <t>NSE</t>
        </is>
      </c>
      <c r="L37" t="inlineStr">
        <is>
          <t>QE-CLEARING</t>
        </is>
      </c>
      <c r="M37" t="inlineStr">
        <is>
          <t>T100036</t>
        </is>
      </c>
    </row>
    <row r="38">
      <c r="A38" t="inlineStr">
        <is>
          <t>T100037</t>
        </is>
      </c>
      <c r="B38" t="inlineStr">
        <is>
          <t>2026-06-30</t>
        </is>
      </c>
      <c r="C38" t="inlineStr">
        <is>
          <t>13:06:28</t>
        </is>
      </c>
      <c r="D38" t="inlineStr">
        <is>
          <t>TATAMOTORS</t>
        </is>
      </c>
      <c r="E38" t="inlineStr">
        <is>
          <t>Equity</t>
        </is>
      </c>
      <c r="F38" t="inlineStr">
        <is>
          <t>SELL</t>
        </is>
      </c>
      <c r="G38" t="n">
        <v>500</v>
      </c>
      <c r="H38" t="n">
        <v>982.38</v>
      </c>
      <c r="I38" t="n">
        <v>491190</v>
      </c>
      <c r="J38" t="n">
        <v>171.92</v>
      </c>
      <c r="K38" t="inlineStr">
        <is>
          <t>BSE</t>
        </is>
      </c>
      <c r="L38" t="inlineStr">
        <is>
          <t>QE-CLEARING</t>
        </is>
      </c>
      <c r="M38" t="inlineStr">
        <is>
          <t>T100037</t>
        </is>
      </c>
    </row>
    <row r="39">
      <c r="A39" t="inlineStr">
        <is>
          <t>T100038</t>
        </is>
      </c>
      <c r="B39" t="inlineStr">
        <is>
          <t>2026-06-30</t>
        </is>
      </c>
      <c r="C39" t="inlineStr">
        <is>
          <t>13:51:50</t>
        </is>
      </c>
      <c r="D39" t="inlineStr">
        <is>
          <t>HDFCBANK</t>
        </is>
      </c>
      <c r="E39" t="inlineStr">
        <is>
          <t>Equity</t>
        </is>
      </c>
      <c r="F39" t="inlineStr">
        <is>
          <t>SELL</t>
        </is>
      </c>
      <c r="G39" t="n">
        <v>150</v>
      </c>
      <c r="H39" t="n">
        <v>1691.53</v>
      </c>
      <c r="I39" t="n">
        <v>253729.5</v>
      </c>
      <c r="J39" t="n">
        <v>88.81</v>
      </c>
      <c r="K39" t="inlineStr">
        <is>
          <t>NSE</t>
        </is>
      </c>
      <c r="L39" t="inlineStr">
        <is>
          <t>QE-CLEARING</t>
        </is>
      </c>
      <c r="M39" t="inlineStr">
        <is>
          <t>T100038</t>
        </is>
      </c>
    </row>
    <row r="40">
      <c r="A40" t="inlineStr">
        <is>
          <t>T100039</t>
        </is>
      </c>
      <c r="B40" t="inlineStr">
        <is>
          <t>2026-06-30</t>
        </is>
      </c>
      <c r="C40" t="inlineStr">
        <is>
          <t>11:33:07</t>
        </is>
      </c>
      <c r="D40" t="inlineStr">
        <is>
          <t>INFY</t>
        </is>
      </c>
      <c r="E40" t="inlineStr">
        <is>
          <t>Equity</t>
        </is>
      </c>
      <c r="F40" t="inlineStr">
        <is>
          <t>BUY</t>
        </is>
      </c>
      <c r="G40" t="n">
        <v>300</v>
      </c>
      <c r="H40" t="n">
        <v>1554.87</v>
      </c>
      <c r="I40" t="n">
        <v>466461</v>
      </c>
      <c r="J40" t="n">
        <v>163.26</v>
      </c>
      <c r="K40" t="inlineStr">
        <is>
          <t>NSE</t>
        </is>
      </c>
      <c r="L40" t="inlineStr">
        <is>
          <t>QE-CLEARING</t>
        </is>
      </c>
      <c r="M40" t="inlineStr">
        <is>
          <t>T100039</t>
        </is>
      </c>
    </row>
    <row r="41">
      <c r="A41" t="inlineStr">
        <is>
          <t>T100040</t>
        </is>
      </c>
      <c r="B41" t="inlineStr">
        <is>
          <t>2026-06-30</t>
        </is>
      </c>
      <c r="C41" t="inlineStr">
        <is>
          <t>15:16:11</t>
        </is>
      </c>
      <c r="D41" t="inlineStr">
        <is>
          <t>HDFCBANK</t>
        </is>
      </c>
      <c r="E41" t="inlineStr">
        <is>
          <t>Equity</t>
        </is>
      </c>
      <c r="F41" t="inlineStr">
        <is>
          <t>BUY</t>
        </is>
      </c>
      <c r="G41" t="n">
        <v>50</v>
      </c>
      <c r="H41" t="n">
        <v>1685.75</v>
      </c>
      <c r="I41" t="n">
        <v>84287.5</v>
      </c>
      <c r="J41" t="n">
        <v>29.5</v>
      </c>
      <c r="K41" t="inlineStr">
        <is>
          <t>BSE</t>
        </is>
      </c>
      <c r="L41" t="inlineStr">
        <is>
          <t>QE-CLEARING</t>
        </is>
      </c>
      <c r="M41" t="inlineStr">
        <is>
          <t>T100040</t>
        </is>
      </c>
    </row>
    <row r="42">
      <c r="A42" t="inlineStr">
        <is>
          <t>T100041</t>
        </is>
      </c>
      <c r="B42" t="inlineStr">
        <is>
          <t>2026-06-30</t>
        </is>
      </c>
      <c r="C42" t="inlineStr">
        <is>
          <t>15:02:37</t>
        </is>
      </c>
      <c r="D42" t="inlineStr">
        <is>
          <t>INFY</t>
        </is>
      </c>
      <c r="E42" t="inlineStr">
        <is>
          <t>Equity</t>
        </is>
      </c>
      <c r="F42" t="inlineStr">
        <is>
          <t>BUY</t>
        </is>
      </c>
      <c r="G42" t="n">
        <v>300</v>
      </c>
      <c r="H42" t="n">
        <v>1556.02</v>
      </c>
      <c r="I42" t="n">
        <v>466806</v>
      </c>
      <c r="J42" t="n">
        <v>163.38</v>
      </c>
      <c r="K42" t="inlineStr">
        <is>
          <t>BSE</t>
        </is>
      </c>
      <c r="L42" t="inlineStr">
        <is>
          <t>QE-CLEARING</t>
        </is>
      </c>
      <c r="M42" t="inlineStr">
        <is>
          <t>T100041</t>
        </is>
      </c>
    </row>
    <row r="43">
      <c r="A43" t="inlineStr">
        <is>
          <t>T100042</t>
        </is>
      </c>
      <c r="B43" t="inlineStr">
        <is>
          <t>2026-06-30</t>
        </is>
      </c>
      <c r="C43" t="inlineStr">
        <is>
          <t>10:24:28</t>
        </is>
      </c>
      <c r="D43" t="inlineStr">
        <is>
          <t>ITC</t>
        </is>
      </c>
      <c r="E43" t="inlineStr">
        <is>
          <t>Equity</t>
        </is>
      </c>
      <c r="F43" t="inlineStr">
        <is>
          <t>SELL</t>
        </is>
      </c>
      <c r="G43" t="n">
        <v>200</v>
      </c>
      <c r="H43" t="n">
        <v>447.93</v>
      </c>
      <c r="I43" t="n">
        <v>89586</v>
      </c>
      <c r="J43" t="n">
        <v>31.36</v>
      </c>
      <c r="K43" t="inlineStr">
        <is>
          <t>NSE</t>
        </is>
      </c>
      <c r="L43" t="inlineStr">
        <is>
          <t>QE-CLEARING</t>
        </is>
      </c>
      <c r="M43" t="inlineStr">
        <is>
          <t>T100042</t>
        </is>
      </c>
    </row>
    <row r="44">
      <c r="A44" t="inlineStr">
        <is>
          <t>T100043</t>
        </is>
      </c>
      <c r="B44" t="inlineStr">
        <is>
          <t>2026-06-30</t>
        </is>
      </c>
      <c r="C44" t="inlineStr">
        <is>
          <t>15:27:52</t>
        </is>
      </c>
      <c r="D44" t="inlineStr">
        <is>
          <t>BAJFINANCE</t>
        </is>
      </c>
      <c r="E44" t="inlineStr">
        <is>
          <t>Equity</t>
        </is>
      </c>
      <c r="F44" t="inlineStr">
        <is>
          <t>SELL</t>
        </is>
      </c>
      <c r="G44" t="n">
        <v>100</v>
      </c>
      <c r="H44" t="n">
        <v>7177.18</v>
      </c>
      <c r="I44" t="n">
        <v>717718</v>
      </c>
      <c r="J44" t="n">
        <v>251.2</v>
      </c>
      <c r="K44" t="inlineStr">
        <is>
          <t>NSE</t>
        </is>
      </c>
      <c r="L44" t="inlineStr">
        <is>
          <t>QE-CLEARING</t>
        </is>
      </c>
      <c r="M44" t="inlineStr">
        <is>
          <t>T100043</t>
        </is>
      </c>
    </row>
    <row r="45">
      <c r="A45" t="inlineStr">
        <is>
          <t>T100044</t>
        </is>
      </c>
      <c r="B45" t="inlineStr">
        <is>
          <t>2026-06-30</t>
        </is>
      </c>
      <c r="C45" t="inlineStr">
        <is>
          <t>10:00:22</t>
        </is>
      </c>
      <c r="D45" t="inlineStr">
        <is>
          <t>TCS</t>
        </is>
      </c>
      <c r="E45" t="inlineStr">
        <is>
          <t>Equity</t>
        </is>
      </c>
      <c r="F45" t="inlineStr">
        <is>
          <t>BUY</t>
        </is>
      </c>
      <c r="G45" t="n">
        <v>300</v>
      </c>
      <c r="H45" t="n">
        <v>3883.27</v>
      </c>
      <c r="I45" t="n">
        <v>1164981</v>
      </c>
      <c r="J45" t="n">
        <v>407.74</v>
      </c>
      <c r="K45" t="inlineStr">
        <is>
          <t>NSE</t>
        </is>
      </c>
      <c r="L45" t="inlineStr">
        <is>
          <t>QE-CLEARING</t>
        </is>
      </c>
      <c r="M45" t="inlineStr">
        <is>
          <t>T100044</t>
        </is>
      </c>
    </row>
    <row r="46">
      <c r="A46" t="inlineStr">
        <is>
          <t>T100045</t>
        </is>
      </c>
      <c r="B46" t="inlineStr">
        <is>
          <t>2026-06-30</t>
        </is>
      </c>
      <c r="C46" t="inlineStr">
        <is>
          <t>14:55:00</t>
        </is>
      </c>
      <c r="D46" t="inlineStr">
        <is>
          <t>BAJFINANCE</t>
        </is>
      </c>
      <c r="E46" t="inlineStr">
        <is>
          <t>Equity</t>
        </is>
      </c>
      <c r="F46" t="inlineStr">
        <is>
          <t>SELL</t>
        </is>
      </c>
      <c r="G46" t="n">
        <v>250</v>
      </c>
      <c r="H46" t="n">
        <v>7159.74</v>
      </c>
      <c r="I46" t="n">
        <v>1789935</v>
      </c>
      <c r="J46" t="n">
        <v>626.48</v>
      </c>
      <c r="K46" t="inlineStr">
        <is>
          <t>NSE</t>
        </is>
      </c>
      <c r="L46" t="inlineStr">
        <is>
          <t>QE-CLEARING</t>
        </is>
      </c>
      <c r="M46" t="inlineStr">
        <is>
          <t>T100045</t>
        </is>
      </c>
    </row>
    <row r="47">
      <c r="A47" t="inlineStr">
        <is>
          <t>T100046</t>
        </is>
      </c>
      <c r="B47" t="inlineStr">
        <is>
          <t>2026-06-30</t>
        </is>
      </c>
      <c r="C47" t="inlineStr">
        <is>
          <t>13:11:22</t>
        </is>
      </c>
      <c r="D47" t="inlineStr">
        <is>
          <t>KOTAKBANK</t>
        </is>
      </c>
      <c r="E47" t="inlineStr">
        <is>
          <t>Equity</t>
        </is>
      </c>
      <c r="F47" t="inlineStr">
        <is>
          <t>SELL</t>
        </is>
      </c>
      <c r="G47" t="n">
        <v>200</v>
      </c>
      <c r="H47" t="n">
        <v>1800.89</v>
      </c>
      <c r="I47" t="n">
        <v>360178</v>
      </c>
      <c r="J47" t="n">
        <v>126.06</v>
      </c>
      <c r="K47" t="inlineStr">
        <is>
          <t>NSE</t>
        </is>
      </c>
      <c r="L47" t="inlineStr">
        <is>
          <t>QE-CLEARING</t>
        </is>
      </c>
      <c r="M47" t="inlineStr">
        <is>
          <t>T100046</t>
        </is>
      </c>
    </row>
    <row r="48">
      <c r="A48" t="inlineStr">
        <is>
          <t>T100047</t>
        </is>
      </c>
      <c r="B48" t="inlineStr">
        <is>
          <t>2026-06-30</t>
        </is>
      </c>
      <c r="C48" t="inlineStr">
        <is>
          <t>14:37:42</t>
        </is>
      </c>
      <c r="D48" t="inlineStr">
        <is>
          <t>HINDUNILVR</t>
        </is>
      </c>
      <c r="E48" t="inlineStr">
        <is>
          <t>Equity</t>
        </is>
      </c>
      <c r="F48" t="inlineStr">
        <is>
          <t>BUY</t>
        </is>
      </c>
      <c r="G48" t="n">
        <v>100</v>
      </c>
      <c r="H48" t="n">
        <v>2351.96</v>
      </c>
      <c r="I48" t="n">
        <v>235196</v>
      </c>
      <c r="J48" t="n">
        <v>82.31999999999999</v>
      </c>
      <c r="K48" t="inlineStr">
        <is>
          <t>NSE</t>
        </is>
      </c>
      <c r="L48" t="inlineStr">
        <is>
          <t>QE-CLEARING</t>
        </is>
      </c>
      <c r="M48" t="inlineStr">
        <is>
          <t>T100047</t>
        </is>
      </c>
    </row>
    <row r="49">
      <c r="A49" t="inlineStr">
        <is>
          <t>T100048</t>
        </is>
      </c>
      <c r="B49" t="inlineStr">
        <is>
          <t>2026-06-30</t>
        </is>
      </c>
      <c r="C49" t="inlineStr">
        <is>
          <t>11:31:39</t>
        </is>
      </c>
      <c r="D49" t="inlineStr">
        <is>
          <t>AXISBANK</t>
        </is>
      </c>
      <c r="E49" t="inlineStr">
        <is>
          <t>Equity</t>
        </is>
      </c>
      <c r="F49" t="inlineStr">
        <is>
          <t>SELL</t>
        </is>
      </c>
      <c r="G49" t="n">
        <v>250</v>
      </c>
      <c r="H49" t="n">
        <v>1134.39</v>
      </c>
      <c r="I49" t="n">
        <v>283597.5</v>
      </c>
      <c r="J49" t="n">
        <v>99.26000000000001</v>
      </c>
      <c r="K49" t="inlineStr">
        <is>
          <t>BSE</t>
        </is>
      </c>
      <c r="L49" t="inlineStr">
        <is>
          <t>QE-CLEARING</t>
        </is>
      </c>
      <c r="M49" t="inlineStr">
        <is>
          <t>T100048</t>
        </is>
      </c>
    </row>
    <row r="50">
      <c r="A50" t="inlineStr">
        <is>
          <t>T100049</t>
        </is>
      </c>
      <c r="B50" t="inlineStr">
        <is>
          <t>2026-06-30</t>
        </is>
      </c>
      <c r="C50" t="inlineStr">
        <is>
          <t>09:25:12</t>
        </is>
      </c>
      <c r="D50" t="inlineStr">
        <is>
          <t>ITC</t>
        </is>
      </c>
      <c r="E50" t="inlineStr">
        <is>
          <t>Equity</t>
        </is>
      </c>
      <c r="F50" t="inlineStr">
        <is>
          <t>SELL</t>
        </is>
      </c>
      <c r="G50" t="n">
        <v>100</v>
      </c>
      <c r="H50" t="n">
        <v>449.48</v>
      </c>
      <c r="I50" t="n">
        <v>44948</v>
      </c>
      <c r="J50" t="n">
        <v>15.73</v>
      </c>
      <c r="K50" t="inlineStr">
        <is>
          <t>NSE</t>
        </is>
      </c>
      <c r="L50" t="inlineStr">
        <is>
          <t>QE-CLEARING</t>
        </is>
      </c>
      <c r="M50" t="inlineStr">
        <is>
          <t>T100049</t>
        </is>
      </c>
    </row>
    <row r="51">
      <c r="A51" t="inlineStr">
        <is>
          <t>T100050</t>
        </is>
      </c>
      <c r="B51" t="inlineStr">
        <is>
          <t>2026-06-30</t>
        </is>
      </c>
      <c r="C51" t="inlineStr">
        <is>
          <t>14:33:37</t>
        </is>
      </c>
      <c r="D51" t="inlineStr">
        <is>
          <t>ITC</t>
        </is>
      </c>
      <c r="E51" t="inlineStr">
        <is>
          <t>Equity</t>
        </is>
      </c>
      <c r="F51" t="inlineStr">
        <is>
          <t>BUY</t>
        </is>
      </c>
      <c r="G51" t="n">
        <v>200</v>
      </c>
      <c r="H51" t="n">
        <v>447.65</v>
      </c>
      <c r="I51" t="n">
        <v>89530</v>
      </c>
      <c r="J51" t="n">
        <v>31.34</v>
      </c>
      <c r="K51" t="inlineStr">
        <is>
          <t>NSE</t>
        </is>
      </c>
      <c r="L51" t="inlineStr">
        <is>
          <t>QE-CLEARING</t>
        </is>
      </c>
      <c r="M51" t="inlineStr">
        <is>
          <t>T100050</t>
        </is>
      </c>
    </row>
    <row r="52">
      <c r="A52" t="inlineStr">
        <is>
          <t>T100051</t>
        </is>
      </c>
      <c r="B52" t="inlineStr">
        <is>
          <t>2026-06-30</t>
        </is>
      </c>
      <c r="C52" t="inlineStr">
        <is>
          <t>15:56:02</t>
        </is>
      </c>
      <c r="D52" t="inlineStr">
        <is>
          <t>AXISBANK</t>
        </is>
      </c>
      <c r="E52" t="inlineStr">
        <is>
          <t>Equity</t>
        </is>
      </c>
      <c r="F52" t="inlineStr">
        <is>
          <t>BUY</t>
        </is>
      </c>
      <c r="G52" t="n">
        <v>300</v>
      </c>
      <c r="H52" t="n">
        <v>1126.03</v>
      </c>
      <c r="I52" t="n">
        <v>337809</v>
      </c>
      <c r="J52" t="n">
        <v>118.23</v>
      </c>
      <c r="K52" t="inlineStr">
        <is>
          <t>BSE</t>
        </is>
      </c>
      <c r="L52" t="inlineStr">
        <is>
          <t>QE-CLEARING</t>
        </is>
      </c>
      <c r="M52" t="inlineStr">
        <is>
          <t>T100051</t>
        </is>
      </c>
    </row>
    <row r="53">
      <c r="A53" t="inlineStr">
        <is>
          <t>T100052</t>
        </is>
      </c>
      <c r="B53" t="inlineStr">
        <is>
          <t>2026-06-30</t>
        </is>
      </c>
      <c r="C53" t="inlineStr">
        <is>
          <t>14:45:39</t>
        </is>
      </c>
      <c r="D53" t="inlineStr">
        <is>
          <t>INFY</t>
        </is>
      </c>
      <c r="E53" t="inlineStr">
        <is>
          <t>Equity</t>
        </is>
      </c>
      <c r="F53" t="inlineStr">
        <is>
          <t>BUY</t>
        </is>
      </c>
      <c r="G53" t="n">
        <v>300</v>
      </c>
      <c r="H53" t="n">
        <v>1554.92</v>
      </c>
      <c r="I53" t="n">
        <v>466476</v>
      </c>
      <c r="J53" t="n">
        <v>163.27</v>
      </c>
      <c r="K53" t="inlineStr">
        <is>
          <t>BSE</t>
        </is>
      </c>
      <c r="L53" t="inlineStr">
        <is>
          <t>QE-CLEARING</t>
        </is>
      </c>
      <c r="M53" t="inlineStr">
        <is>
          <t>T100052</t>
        </is>
      </c>
    </row>
    <row r="54">
      <c r="A54" t="inlineStr">
        <is>
          <t>T100053</t>
        </is>
      </c>
      <c r="B54" t="inlineStr">
        <is>
          <t>2026-06-30</t>
        </is>
      </c>
      <c r="C54" t="inlineStr">
        <is>
          <t>12:30:51</t>
        </is>
      </c>
      <c r="D54" t="inlineStr">
        <is>
          <t>HINDUNILVR</t>
        </is>
      </c>
      <c r="E54" t="inlineStr">
        <is>
          <t>Equity</t>
        </is>
      </c>
      <c r="F54" t="inlineStr">
        <is>
          <t>SELL</t>
        </is>
      </c>
      <c r="G54" t="n">
        <v>100</v>
      </c>
      <c r="H54" t="n">
        <v>2361.31</v>
      </c>
      <c r="I54" t="n">
        <v>236131</v>
      </c>
      <c r="J54" t="n">
        <v>82.65000000000001</v>
      </c>
      <c r="K54" t="inlineStr">
        <is>
          <t>NSE</t>
        </is>
      </c>
      <c r="L54" t="inlineStr">
        <is>
          <t>QE-CLEARING</t>
        </is>
      </c>
      <c r="M54" t="inlineStr">
        <is>
          <t>T100053</t>
        </is>
      </c>
    </row>
    <row r="55">
      <c r="A55" t="inlineStr">
        <is>
          <t>T100054</t>
        </is>
      </c>
      <c r="B55" t="inlineStr">
        <is>
          <t>2026-06-30</t>
        </is>
      </c>
      <c r="C55" t="inlineStr">
        <is>
          <t>10:20:27</t>
        </is>
      </c>
      <c r="D55" t="inlineStr">
        <is>
          <t>RELIANCE</t>
        </is>
      </c>
      <c r="E55" t="inlineStr">
        <is>
          <t>Equity</t>
        </is>
      </c>
      <c r="F55" t="inlineStr">
        <is>
          <t>SELL</t>
        </is>
      </c>
      <c r="G55" t="n">
        <v>150</v>
      </c>
      <c r="H55" t="n">
        <v>1416.97</v>
      </c>
      <c r="I55" t="n">
        <v>212545.5</v>
      </c>
      <c r="J55" t="n">
        <v>74.39</v>
      </c>
      <c r="K55" t="inlineStr">
        <is>
          <t>BSE</t>
        </is>
      </c>
      <c r="L55" t="inlineStr">
        <is>
          <t>QE-CLEARING</t>
        </is>
      </c>
      <c r="M55" t="inlineStr">
        <is>
          <t>T100054</t>
        </is>
      </c>
    </row>
    <row r="56">
      <c r="A56" t="inlineStr">
        <is>
          <t>T100055</t>
        </is>
      </c>
      <c r="B56" t="inlineStr">
        <is>
          <t>2026-06-30</t>
        </is>
      </c>
      <c r="C56" t="inlineStr">
        <is>
          <t>15:33:34</t>
        </is>
      </c>
      <c r="D56" t="inlineStr">
        <is>
          <t>KOTAKBANK</t>
        </is>
      </c>
      <c r="E56" t="inlineStr">
        <is>
          <t>Equity</t>
        </is>
      </c>
      <c r="F56" t="inlineStr">
        <is>
          <t>BUY</t>
        </is>
      </c>
      <c r="G56" t="n">
        <v>100</v>
      </c>
      <c r="H56" t="n">
        <v>1800.96</v>
      </c>
      <c r="I56" t="n">
        <v>180096</v>
      </c>
      <c r="J56" t="n">
        <v>63.03</v>
      </c>
      <c r="K56" t="inlineStr">
        <is>
          <t>BSE</t>
        </is>
      </c>
      <c r="L56" t="inlineStr">
        <is>
          <t>QE-CLEARING</t>
        </is>
      </c>
      <c r="M56" t="inlineStr">
        <is>
          <t>T100055</t>
        </is>
      </c>
    </row>
    <row r="57">
      <c r="A57" t="inlineStr">
        <is>
          <t>T100056</t>
        </is>
      </c>
      <c r="B57" t="inlineStr">
        <is>
          <t>2026-06-30</t>
        </is>
      </c>
      <c r="C57" t="inlineStr">
        <is>
          <t>14:36:50</t>
        </is>
      </c>
      <c r="D57" t="inlineStr">
        <is>
          <t>KOTAKBANK</t>
        </is>
      </c>
      <c r="E57" t="inlineStr">
        <is>
          <t>Equity</t>
        </is>
      </c>
      <c r="F57" t="inlineStr">
        <is>
          <t>SELL</t>
        </is>
      </c>
      <c r="G57" t="n">
        <v>75</v>
      </c>
      <c r="H57" t="n">
        <v>1800.54</v>
      </c>
      <c r="I57" t="n">
        <v>135040.5</v>
      </c>
      <c r="J57" t="n">
        <v>47.26</v>
      </c>
      <c r="K57" t="inlineStr">
        <is>
          <t>BSE</t>
        </is>
      </c>
      <c r="L57" t="inlineStr">
        <is>
          <t>QE-CLEARING</t>
        </is>
      </c>
      <c r="M57" t="inlineStr">
        <is>
          <t>T100056</t>
        </is>
      </c>
    </row>
    <row r="58">
      <c r="A58" t="inlineStr">
        <is>
          <t>T100057</t>
        </is>
      </c>
      <c r="B58" t="inlineStr">
        <is>
          <t>2026-06-30</t>
        </is>
      </c>
      <c r="C58" t="inlineStr">
        <is>
          <t>10:35:38</t>
        </is>
      </c>
      <c r="D58" t="inlineStr">
        <is>
          <t>INFY</t>
        </is>
      </c>
      <c r="E58" t="inlineStr">
        <is>
          <t>Equity</t>
        </is>
      </c>
      <c r="F58" t="inlineStr">
        <is>
          <t>BUY</t>
        </is>
      </c>
      <c r="G58" t="n">
        <v>500</v>
      </c>
      <c r="H58" t="n">
        <v>1561.36</v>
      </c>
      <c r="I58" t="n">
        <v>780680</v>
      </c>
      <c r="J58" t="n">
        <v>273.24</v>
      </c>
      <c r="K58" t="inlineStr">
        <is>
          <t>NSE</t>
        </is>
      </c>
      <c r="L58" t="inlineStr">
        <is>
          <t>QE-CLEARING</t>
        </is>
      </c>
      <c r="M58" t="inlineStr">
        <is>
          <t>T100057</t>
        </is>
      </c>
    </row>
    <row r="59">
      <c r="A59" t="inlineStr">
        <is>
          <t>T100058</t>
        </is>
      </c>
      <c r="B59" t="inlineStr">
        <is>
          <t>2026-06-30</t>
        </is>
      </c>
      <c r="C59" t="inlineStr">
        <is>
          <t>15:51:21</t>
        </is>
      </c>
      <c r="D59" t="inlineStr">
        <is>
          <t>INFY</t>
        </is>
      </c>
      <c r="E59" t="inlineStr">
        <is>
          <t>Equity</t>
        </is>
      </c>
      <c r="F59" t="inlineStr">
        <is>
          <t>SELL</t>
        </is>
      </c>
      <c r="G59" t="n">
        <v>300</v>
      </c>
      <c r="H59" t="n">
        <v>1556.38</v>
      </c>
      <c r="I59" t="n">
        <v>466914</v>
      </c>
      <c r="J59" t="n">
        <v>163.42</v>
      </c>
      <c r="K59" t="inlineStr">
        <is>
          <t>BSE</t>
        </is>
      </c>
      <c r="L59" t="inlineStr">
        <is>
          <t>QE-CLEARING</t>
        </is>
      </c>
      <c r="M59" t="inlineStr">
        <is>
          <t>T100058</t>
        </is>
      </c>
    </row>
    <row r="60">
      <c r="A60" t="inlineStr">
        <is>
          <t>T100059</t>
        </is>
      </c>
      <c r="B60" t="inlineStr">
        <is>
          <t>2026-06-30</t>
        </is>
      </c>
      <c r="C60" t="inlineStr">
        <is>
          <t>09:30:11</t>
        </is>
      </c>
      <c r="D60" t="inlineStr">
        <is>
          <t>MARUTI</t>
        </is>
      </c>
      <c r="E60" t="inlineStr">
        <is>
          <t>Equity</t>
        </is>
      </c>
      <c r="F60" t="inlineStr">
        <is>
          <t>SELL</t>
        </is>
      </c>
      <c r="G60" t="n">
        <v>300</v>
      </c>
      <c r="H60" t="n">
        <v>12646.97</v>
      </c>
      <c r="I60" t="n">
        <v>3794091</v>
      </c>
      <c r="J60" t="n">
        <v>1327.93</v>
      </c>
      <c r="K60" t="inlineStr">
        <is>
          <t>BSE</t>
        </is>
      </c>
      <c r="L60" t="inlineStr">
        <is>
          <t>QE-CLEARING</t>
        </is>
      </c>
      <c r="M60" t="inlineStr">
        <is>
          <t>T100059</t>
        </is>
      </c>
    </row>
    <row r="61">
      <c r="A61" t="inlineStr">
        <is>
          <t>T100060</t>
        </is>
      </c>
      <c r="B61" t="inlineStr">
        <is>
          <t>2026-06-30</t>
        </is>
      </c>
      <c r="C61" t="inlineStr">
        <is>
          <t>14:31:50</t>
        </is>
      </c>
      <c r="D61" t="inlineStr">
        <is>
          <t>TCS</t>
        </is>
      </c>
      <c r="E61" t="inlineStr">
        <is>
          <t>Equity</t>
        </is>
      </c>
      <c r="F61" t="inlineStr">
        <is>
          <t>SELL</t>
        </is>
      </c>
      <c r="G61" t="n">
        <v>50</v>
      </c>
      <c r="H61" t="n">
        <v>3882.75</v>
      </c>
      <c r="I61" t="n">
        <v>194137.5</v>
      </c>
      <c r="J61" t="n">
        <v>67.95</v>
      </c>
      <c r="K61" t="inlineStr">
        <is>
          <t>BSE</t>
        </is>
      </c>
      <c r="L61" t="inlineStr">
        <is>
          <t>QE-CLEARING</t>
        </is>
      </c>
      <c r="M61" t="inlineStr">
        <is>
          <t>T100060</t>
        </is>
      </c>
    </row>
    <row r="62">
      <c r="A62" t="inlineStr">
        <is>
          <t>T100061</t>
        </is>
      </c>
      <c r="B62" t="inlineStr">
        <is>
          <t>2026-06-30</t>
        </is>
      </c>
      <c r="C62" t="inlineStr">
        <is>
          <t>14:38:06</t>
        </is>
      </c>
      <c r="D62" t="inlineStr">
        <is>
          <t>HINDUNILVR</t>
        </is>
      </c>
      <c r="E62" t="inlineStr">
        <is>
          <t>Equity</t>
        </is>
      </c>
      <c r="F62" t="inlineStr">
        <is>
          <t>SELL</t>
        </is>
      </c>
      <c r="G62" t="n">
        <v>75</v>
      </c>
      <c r="H62" t="n">
        <v>2351.83</v>
      </c>
      <c r="I62" t="n">
        <v>176387.25</v>
      </c>
      <c r="J62" t="n">
        <v>61.74</v>
      </c>
      <c r="K62" t="inlineStr">
        <is>
          <t>BSE</t>
        </is>
      </c>
      <c r="L62" t="inlineStr">
        <is>
          <t>QE-CLEARING</t>
        </is>
      </c>
      <c r="M62" t="inlineStr">
        <is>
          <t>T100061</t>
        </is>
      </c>
    </row>
    <row r="63">
      <c r="A63" t="inlineStr">
        <is>
          <t>T100062</t>
        </is>
      </c>
      <c r="B63" t="inlineStr">
        <is>
          <t>2026-06-30</t>
        </is>
      </c>
      <c r="C63" t="inlineStr">
        <is>
          <t>15:27:12</t>
        </is>
      </c>
      <c r="D63" t="inlineStr">
        <is>
          <t>INFY</t>
        </is>
      </c>
      <c r="E63" t="inlineStr">
        <is>
          <t>Equity</t>
        </is>
      </c>
      <c r="F63" t="inlineStr">
        <is>
          <t>SELL</t>
        </is>
      </c>
      <c r="G63" t="n">
        <v>150</v>
      </c>
      <c r="H63" t="n">
        <v>1559.69</v>
      </c>
      <c r="I63" t="n">
        <v>233953.5</v>
      </c>
      <c r="J63" t="n">
        <v>81.88</v>
      </c>
      <c r="K63" t="inlineStr">
        <is>
          <t>NSE</t>
        </is>
      </c>
      <c r="L63" t="inlineStr">
        <is>
          <t>QE-CLEARING</t>
        </is>
      </c>
      <c r="M63" t="inlineStr">
        <is>
          <t>T100062</t>
        </is>
      </c>
    </row>
    <row r="64">
      <c r="A64" t="inlineStr">
        <is>
          <t>T100063</t>
        </is>
      </c>
      <c r="B64" t="inlineStr">
        <is>
          <t>2026-06-30</t>
        </is>
      </c>
      <c r="C64" t="inlineStr">
        <is>
          <t>12:22:56</t>
        </is>
      </c>
      <c r="D64" t="inlineStr">
        <is>
          <t>MARUTI</t>
        </is>
      </c>
      <c r="E64" t="inlineStr">
        <is>
          <t>Equity</t>
        </is>
      </c>
      <c r="F64" t="inlineStr">
        <is>
          <t>SELL</t>
        </is>
      </c>
      <c r="G64" t="n">
        <v>150</v>
      </c>
      <c r="H64" t="n">
        <v>12698.81</v>
      </c>
      <c r="I64" t="n">
        <v>1904821.5</v>
      </c>
      <c r="J64" t="n">
        <v>666.6900000000001</v>
      </c>
      <c r="K64" t="inlineStr">
        <is>
          <t>NSE</t>
        </is>
      </c>
      <c r="L64" t="inlineStr">
        <is>
          <t>QE-CLEARING</t>
        </is>
      </c>
      <c r="M64" t="inlineStr">
        <is>
          <t>T100063</t>
        </is>
      </c>
    </row>
    <row r="65">
      <c r="A65" t="inlineStr">
        <is>
          <t>T100064</t>
        </is>
      </c>
      <c r="B65" t="inlineStr">
        <is>
          <t>2026-06-30</t>
        </is>
      </c>
      <c r="C65" t="inlineStr">
        <is>
          <t>12:56:52</t>
        </is>
      </c>
      <c r="D65" t="inlineStr">
        <is>
          <t>ITC</t>
        </is>
      </c>
      <c r="E65" t="inlineStr">
        <is>
          <t>Equity</t>
        </is>
      </c>
      <c r="F65" t="inlineStr">
        <is>
          <t>SELL</t>
        </is>
      </c>
      <c r="G65" t="n">
        <v>100</v>
      </c>
      <c r="H65" t="n">
        <v>447.06</v>
      </c>
      <c r="I65" t="n">
        <v>44706</v>
      </c>
      <c r="J65" t="n">
        <v>15.65</v>
      </c>
      <c r="K65" t="inlineStr">
        <is>
          <t>BSE</t>
        </is>
      </c>
      <c r="L65" t="inlineStr">
        <is>
          <t>QE-CLEARING</t>
        </is>
      </c>
      <c r="M65" t="inlineStr">
        <is>
          <t>T100064</t>
        </is>
      </c>
    </row>
    <row r="66">
      <c r="A66" t="inlineStr">
        <is>
          <t>T100065</t>
        </is>
      </c>
      <c r="B66" t="inlineStr">
        <is>
          <t>2026-06-30</t>
        </is>
      </c>
      <c r="C66" t="inlineStr">
        <is>
          <t>14:23:48</t>
        </is>
      </c>
      <c r="D66" t="inlineStr">
        <is>
          <t>TATAMOTORS</t>
        </is>
      </c>
      <c r="E66" t="inlineStr">
        <is>
          <t>Equity</t>
        </is>
      </c>
      <c r="F66" t="inlineStr">
        <is>
          <t>BUY</t>
        </is>
      </c>
      <c r="G66" t="n">
        <v>50</v>
      </c>
      <c r="H66" t="n">
        <v>981.87</v>
      </c>
      <c r="I66" t="n">
        <v>49093.5</v>
      </c>
      <c r="J66" t="n">
        <v>17.18</v>
      </c>
      <c r="K66" t="inlineStr">
        <is>
          <t>NSE</t>
        </is>
      </c>
      <c r="L66" t="inlineStr">
        <is>
          <t>QE-CLEARING</t>
        </is>
      </c>
      <c r="M66" t="inlineStr">
        <is>
          <t>T100065</t>
        </is>
      </c>
    </row>
    <row r="67">
      <c r="A67" t="inlineStr">
        <is>
          <t>T100066</t>
        </is>
      </c>
      <c r="B67" t="inlineStr">
        <is>
          <t>2026-06-30</t>
        </is>
      </c>
      <c r="C67" t="inlineStr">
        <is>
          <t>11:41:40</t>
        </is>
      </c>
      <c r="D67" t="inlineStr">
        <is>
          <t>TCS</t>
        </is>
      </c>
      <c r="E67" t="inlineStr">
        <is>
          <t>Equity</t>
        </is>
      </c>
      <c r="F67" t="inlineStr">
        <is>
          <t>BUY</t>
        </is>
      </c>
      <c r="G67" t="n">
        <v>150</v>
      </c>
      <c r="H67" t="n">
        <v>3875.44</v>
      </c>
      <c r="I67" t="n">
        <v>581316</v>
      </c>
      <c r="J67" t="n">
        <v>203.46</v>
      </c>
      <c r="K67" t="inlineStr">
        <is>
          <t>NSE</t>
        </is>
      </c>
      <c r="L67" t="inlineStr">
        <is>
          <t>QE-CLEARING</t>
        </is>
      </c>
      <c r="M67" t="inlineStr">
        <is>
          <t>T100066</t>
        </is>
      </c>
    </row>
    <row r="68">
      <c r="A68" t="inlineStr">
        <is>
          <t>T100067</t>
        </is>
      </c>
      <c r="B68" t="inlineStr">
        <is>
          <t>2026-06-30</t>
        </is>
      </c>
      <c r="C68" t="inlineStr">
        <is>
          <t>14:43:34</t>
        </is>
      </c>
      <c r="D68" t="inlineStr">
        <is>
          <t>SBIN</t>
        </is>
      </c>
      <c r="E68" t="inlineStr">
        <is>
          <t>Equity</t>
        </is>
      </c>
      <c r="F68" t="inlineStr">
        <is>
          <t>SELL</t>
        </is>
      </c>
      <c r="G68" t="n">
        <v>100</v>
      </c>
      <c r="H68" t="n">
        <v>816.12</v>
      </c>
      <c r="I68" t="n">
        <v>81612</v>
      </c>
      <c r="J68" t="n">
        <v>28.56</v>
      </c>
      <c r="K68" t="inlineStr">
        <is>
          <t>BSE</t>
        </is>
      </c>
      <c r="L68" t="inlineStr">
        <is>
          <t>QE-CLEARING</t>
        </is>
      </c>
      <c r="M68" t="inlineStr">
        <is>
          <t>T100067</t>
        </is>
      </c>
    </row>
    <row r="69">
      <c r="A69" t="inlineStr">
        <is>
          <t>T100068</t>
        </is>
      </c>
      <c r="B69" t="inlineStr">
        <is>
          <t>2026-06-30</t>
        </is>
      </c>
      <c r="C69" t="inlineStr">
        <is>
          <t>14:59:35</t>
        </is>
      </c>
      <c r="D69" t="inlineStr">
        <is>
          <t>TATAMOTORS</t>
        </is>
      </c>
      <c r="E69" t="inlineStr">
        <is>
          <t>Equity</t>
        </is>
      </c>
      <c r="F69" t="inlineStr">
        <is>
          <t>BUY</t>
        </is>
      </c>
      <c r="G69" t="n">
        <v>75</v>
      </c>
      <c r="H69" t="n">
        <v>982.04</v>
      </c>
      <c r="I69" t="n">
        <v>73653</v>
      </c>
      <c r="J69" t="n">
        <v>25.78</v>
      </c>
      <c r="K69" t="inlineStr">
        <is>
          <t>NSE</t>
        </is>
      </c>
      <c r="L69" t="inlineStr">
        <is>
          <t>QE-CLEARING</t>
        </is>
      </c>
      <c r="M69" t="inlineStr">
        <is>
          <t>T100068</t>
        </is>
      </c>
    </row>
    <row r="70">
      <c r="A70" t="inlineStr">
        <is>
          <t>T100069</t>
        </is>
      </c>
      <c r="B70" t="inlineStr">
        <is>
          <t>2026-06-30</t>
        </is>
      </c>
      <c r="C70" t="inlineStr">
        <is>
          <t>10:36:09</t>
        </is>
      </c>
      <c r="D70" t="inlineStr">
        <is>
          <t>RELIANCE</t>
        </is>
      </c>
      <c r="E70" t="inlineStr">
        <is>
          <t>Equity</t>
        </is>
      </c>
      <c r="F70" t="inlineStr">
        <is>
          <t>BUY</t>
        </is>
      </c>
      <c r="G70" t="n">
        <v>200</v>
      </c>
      <c r="H70" t="n">
        <v>1415.15</v>
      </c>
      <c r="I70" t="n">
        <v>283030</v>
      </c>
      <c r="J70" t="n">
        <v>99.06</v>
      </c>
      <c r="K70" t="inlineStr">
        <is>
          <t>NSE</t>
        </is>
      </c>
      <c r="L70" t="inlineStr">
        <is>
          <t>QE-CLEARING</t>
        </is>
      </c>
      <c r="M70" t="inlineStr">
        <is>
          <t>T100069</t>
        </is>
      </c>
    </row>
    <row r="71">
      <c r="A71" t="inlineStr">
        <is>
          <t>T100070</t>
        </is>
      </c>
      <c r="B71" t="inlineStr">
        <is>
          <t>2026-06-30</t>
        </is>
      </c>
      <c r="C71" t="inlineStr">
        <is>
          <t>15:55:53</t>
        </is>
      </c>
      <c r="D71" t="inlineStr">
        <is>
          <t>SUNPHARMA</t>
        </is>
      </c>
      <c r="E71" t="inlineStr">
        <is>
          <t>Equity</t>
        </is>
      </c>
      <c r="F71" t="inlineStr">
        <is>
          <t>SELL</t>
        </is>
      </c>
      <c r="G71" t="n">
        <v>150</v>
      </c>
      <c r="H71" t="n">
        <v>1716.61</v>
      </c>
      <c r="I71" t="n">
        <v>257491.5</v>
      </c>
      <c r="J71" t="n">
        <v>90.12</v>
      </c>
      <c r="K71" t="inlineStr">
        <is>
          <t>BSE</t>
        </is>
      </c>
      <c r="L71" t="inlineStr">
        <is>
          <t>QE-CLEARING</t>
        </is>
      </c>
      <c r="M71" t="inlineStr">
        <is>
          <t>T100070</t>
        </is>
      </c>
    </row>
    <row r="72">
      <c r="A72" t="inlineStr">
        <is>
          <t>T100071</t>
        </is>
      </c>
      <c r="B72" t="inlineStr">
        <is>
          <t>2026-06-30</t>
        </is>
      </c>
      <c r="C72" t="inlineStr">
        <is>
          <t>10:52:23</t>
        </is>
      </c>
      <c r="D72" t="inlineStr">
        <is>
          <t>LT</t>
        </is>
      </c>
      <c r="E72" t="inlineStr">
        <is>
          <t>Equity</t>
        </is>
      </c>
      <c r="F72" t="inlineStr">
        <is>
          <t>BUY</t>
        </is>
      </c>
      <c r="G72" t="n">
        <v>500</v>
      </c>
      <c r="H72" t="n">
        <v>3631.74</v>
      </c>
      <c r="I72" t="n">
        <v>1815870</v>
      </c>
      <c r="J72" t="n">
        <v>635.55</v>
      </c>
      <c r="K72" t="inlineStr">
        <is>
          <t>BSE</t>
        </is>
      </c>
      <c r="L72" t="inlineStr">
        <is>
          <t>QE-CLEARING</t>
        </is>
      </c>
      <c r="M72" t="inlineStr">
        <is>
          <t>T100071</t>
        </is>
      </c>
    </row>
    <row r="73">
      <c r="A73" t="inlineStr">
        <is>
          <t>T100072</t>
        </is>
      </c>
      <c r="B73" t="inlineStr">
        <is>
          <t>2026-06-30</t>
        </is>
      </c>
      <c r="C73" t="inlineStr">
        <is>
          <t>13:27:09</t>
        </is>
      </c>
      <c r="D73" t="inlineStr">
        <is>
          <t>ICICIBANK</t>
        </is>
      </c>
      <c r="E73" t="inlineStr">
        <is>
          <t>Equity</t>
        </is>
      </c>
      <c r="F73" t="inlineStr">
        <is>
          <t>BUY</t>
        </is>
      </c>
      <c r="G73" t="n">
        <v>150</v>
      </c>
      <c r="H73" t="n">
        <v>1241.78</v>
      </c>
      <c r="I73" t="n">
        <v>186267</v>
      </c>
      <c r="J73" t="n">
        <v>65.19</v>
      </c>
      <c r="K73" t="inlineStr">
        <is>
          <t>NSE</t>
        </is>
      </c>
      <c r="L73" t="inlineStr">
        <is>
          <t>QE-CLEARING</t>
        </is>
      </c>
      <c r="M73" t="inlineStr">
        <is>
          <t>T100072</t>
        </is>
      </c>
    </row>
    <row r="74">
      <c r="A74" t="inlineStr">
        <is>
          <t>T100073</t>
        </is>
      </c>
      <c r="B74" t="inlineStr">
        <is>
          <t>2026-06-30</t>
        </is>
      </c>
      <c r="C74" t="inlineStr">
        <is>
          <t>09:42:20</t>
        </is>
      </c>
      <c r="D74" t="inlineStr">
        <is>
          <t>TATAMOTORS</t>
        </is>
      </c>
      <c r="E74" t="inlineStr">
        <is>
          <t>Equity</t>
        </is>
      </c>
      <c r="F74" t="inlineStr">
        <is>
          <t>SELL</t>
        </is>
      </c>
      <c r="G74" t="n">
        <v>500</v>
      </c>
      <c r="H74" t="n">
        <v>987.8</v>
      </c>
      <c r="I74" t="n">
        <v>493900</v>
      </c>
      <c r="J74" t="n">
        <v>172.87</v>
      </c>
      <c r="K74" t="inlineStr">
        <is>
          <t>BSE</t>
        </is>
      </c>
      <c r="L74" t="inlineStr">
        <is>
          <t>QE-CLEARING</t>
        </is>
      </c>
      <c r="M74" t="inlineStr">
        <is>
          <t>T100073</t>
        </is>
      </c>
    </row>
    <row r="75">
      <c r="A75" t="inlineStr">
        <is>
          <t>T100074</t>
        </is>
      </c>
      <c r="B75" t="inlineStr">
        <is>
          <t>2026-06-30</t>
        </is>
      </c>
      <c r="C75" t="inlineStr">
        <is>
          <t>15:45:17</t>
        </is>
      </c>
      <c r="D75" t="inlineStr">
        <is>
          <t>KOTAKBANK</t>
        </is>
      </c>
      <c r="E75" t="inlineStr">
        <is>
          <t>Equity</t>
        </is>
      </c>
      <c r="F75" t="inlineStr">
        <is>
          <t>BUY</t>
        </is>
      </c>
      <c r="G75" t="n">
        <v>500</v>
      </c>
      <c r="H75" t="n">
        <v>1790.51</v>
      </c>
      <c r="I75" t="n">
        <v>895255</v>
      </c>
      <c r="J75" t="n">
        <v>313.34</v>
      </c>
      <c r="K75" t="inlineStr">
        <is>
          <t>BSE</t>
        </is>
      </c>
      <c r="L75" t="inlineStr">
        <is>
          <t>QE-CLEARING</t>
        </is>
      </c>
      <c r="M75" t="inlineStr">
        <is>
          <t>T100074</t>
        </is>
      </c>
    </row>
    <row r="76">
      <c r="A76" t="inlineStr">
        <is>
          <t>T100075</t>
        </is>
      </c>
      <c r="B76" t="inlineStr">
        <is>
          <t>2026-06-30</t>
        </is>
      </c>
      <c r="C76" t="inlineStr">
        <is>
          <t>15:50:51</t>
        </is>
      </c>
      <c r="D76" t="inlineStr">
        <is>
          <t>LT</t>
        </is>
      </c>
      <c r="E76" t="inlineStr">
        <is>
          <t>Equity</t>
        </is>
      </c>
      <c r="F76" t="inlineStr">
        <is>
          <t>SELL</t>
        </is>
      </c>
      <c r="G76" t="n">
        <v>500</v>
      </c>
      <c r="H76" t="n">
        <v>3615.63</v>
      </c>
      <c r="I76" t="n">
        <v>1807815</v>
      </c>
      <c r="J76" t="n">
        <v>632.74</v>
      </c>
      <c r="K76" t="inlineStr">
        <is>
          <t>NSE</t>
        </is>
      </c>
      <c r="L76" t="inlineStr">
        <is>
          <t>QE-CLEARING</t>
        </is>
      </c>
      <c r="M76" t="inlineStr">
        <is>
          <t>T100075</t>
        </is>
      </c>
    </row>
    <row r="77">
      <c r="A77" t="inlineStr">
        <is>
          <t>T100076</t>
        </is>
      </c>
      <c r="B77" t="inlineStr">
        <is>
          <t>2026-06-30</t>
        </is>
      </c>
      <c r="C77" t="inlineStr">
        <is>
          <t>13:03:47</t>
        </is>
      </c>
      <c r="D77" t="inlineStr">
        <is>
          <t>BHARTIARTL</t>
        </is>
      </c>
      <c r="E77" t="inlineStr">
        <is>
          <t>Equity</t>
        </is>
      </c>
      <c r="F77" t="inlineStr">
        <is>
          <t>BUY</t>
        </is>
      </c>
      <c r="G77" t="n">
        <v>50</v>
      </c>
      <c r="H77" t="n">
        <v>1579.65</v>
      </c>
      <c r="I77" t="n">
        <v>78982.5</v>
      </c>
      <c r="J77" t="n">
        <v>27.64</v>
      </c>
      <c r="K77" t="inlineStr">
        <is>
          <t>NSE</t>
        </is>
      </c>
      <c r="L77" t="inlineStr">
        <is>
          <t>QE-CLEARING</t>
        </is>
      </c>
      <c r="M77" t="inlineStr">
        <is>
          <t>T100076</t>
        </is>
      </c>
    </row>
    <row r="78">
      <c r="A78" t="inlineStr">
        <is>
          <t>T100077</t>
        </is>
      </c>
      <c r="B78" t="inlineStr">
        <is>
          <t>2026-06-30</t>
        </is>
      </c>
      <c r="C78" t="inlineStr">
        <is>
          <t>15:42:10</t>
        </is>
      </c>
      <c r="D78" t="inlineStr">
        <is>
          <t>TCS</t>
        </is>
      </c>
      <c r="E78" t="inlineStr">
        <is>
          <t>Equity</t>
        </is>
      </c>
      <c r="F78" t="inlineStr">
        <is>
          <t>BUY</t>
        </is>
      </c>
      <c r="G78" t="n">
        <v>500</v>
      </c>
      <c r="H78" t="n">
        <v>3876.83</v>
      </c>
      <c r="I78" t="n">
        <v>1938415</v>
      </c>
      <c r="J78" t="n">
        <v>678.45</v>
      </c>
      <c r="K78" t="inlineStr">
        <is>
          <t>BSE</t>
        </is>
      </c>
      <c r="L78" t="inlineStr">
        <is>
          <t>QE-CLEARING</t>
        </is>
      </c>
      <c r="M78" t="inlineStr">
        <is>
          <t>T100077</t>
        </is>
      </c>
    </row>
    <row r="79">
      <c r="A79" t="inlineStr">
        <is>
          <t>T100078</t>
        </is>
      </c>
      <c r="B79" t="inlineStr">
        <is>
          <t>2026-06-30</t>
        </is>
      </c>
      <c r="C79" t="inlineStr">
        <is>
          <t>14:12:35</t>
        </is>
      </c>
      <c r="D79" t="inlineStr">
        <is>
          <t>ITC</t>
        </is>
      </c>
      <c r="E79" t="inlineStr">
        <is>
          <t>Equity</t>
        </is>
      </c>
      <c r="F79" t="inlineStr">
        <is>
          <t>BUY</t>
        </is>
      </c>
      <c r="G79" t="n">
        <v>300</v>
      </c>
      <c r="H79" t="n">
        <v>448.97</v>
      </c>
      <c r="I79" t="n">
        <v>134691</v>
      </c>
      <c r="J79" t="n">
        <v>47.14</v>
      </c>
      <c r="K79" t="inlineStr">
        <is>
          <t>NSE</t>
        </is>
      </c>
      <c r="L79" t="inlineStr">
        <is>
          <t>QE-CLEARING</t>
        </is>
      </c>
      <c r="M79" t="inlineStr">
        <is>
          <t>T100078</t>
        </is>
      </c>
    </row>
    <row r="80">
      <c r="A80" t="inlineStr">
        <is>
          <t>T100079</t>
        </is>
      </c>
      <c r="B80" t="inlineStr">
        <is>
          <t>2026-06-30</t>
        </is>
      </c>
      <c r="C80" t="inlineStr">
        <is>
          <t>09:24:03</t>
        </is>
      </c>
      <c r="D80" t="inlineStr">
        <is>
          <t>ITC</t>
        </is>
      </c>
      <c r="E80" t="inlineStr">
        <is>
          <t>Equity</t>
        </is>
      </c>
      <c r="F80" t="inlineStr">
        <is>
          <t>SELL</t>
        </is>
      </c>
      <c r="G80" t="n">
        <v>150</v>
      </c>
      <c r="H80" t="n">
        <v>446.7</v>
      </c>
      <c r="I80" t="n">
        <v>67005</v>
      </c>
      <c r="J80" t="n">
        <v>23.45</v>
      </c>
      <c r="K80" t="inlineStr">
        <is>
          <t>BSE</t>
        </is>
      </c>
      <c r="L80" t="inlineStr">
        <is>
          <t>QE-CLEARING</t>
        </is>
      </c>
      <c r="M80" t="inlineStr">
        <is>
          <t>T100079</t>
        </is>
      </c>
    </row>
    <row r="81">
      <c r="A81" t="inlineStr">
        <is>
          <t>T100080</t>
        </is>
      </c>
      <c r="B81" t="inlineStr">
        <is>
          <t>2026-06-30</t>
        </is>
      </c>
      <c r="C81" t="inlineStr">
        <is>
          <t>15:37:46</t>
        </is>
      </c>
      <c r="D81" t="inlineStr">
        <is>
          <t>ICICIBANK</t>
        </is>
      </c>
      <c r="E81" t="inlineStr">
        <is>
          <t>Equity</t>
        </is>
      </c>
      <c r="F81" t="inlineStr">
        <is>
          <t>BUY</t>
        </is>
      </c>
      <c r="G81" t="n">
        <v>100</v>
      </c>
      <c r="H81" t="n">
        <v>1237.52</v>
      </c>
      <c r="I81" t="n">
        <v>123752</v>
      </c>
      <c r="J81" t="n">
        <v>43.31</v>
      </c>
      <c r="K81" t="inlineStr">
        <is>
          <t>BSE</t>
        </is>
      </c>
      <c r="L81" t="inlineStr">
        <is>
          <t>QE-CLEARING</t>
        </is>
      </c>
      <c r="M81" t="inlineStr">
        <is>
          <t>T100080</t>
        </is>
      </c>
    </row>
    <row r="82">
      <c r="A82" t="inlineStr">
        <is>
          <t>T100081</t>
        </is>
      </c>
      <c r="B82" t="inlineStr">
        <is>
          <t>2026-06-30</t>
        </is>
      </c>
      <c r="C82" t="inlineStr">
        <is>
          <t>09:54:38</t>
        </is>
      </c>
      <c r="D82" t="inlineStr">
        <is>
          <t>ITC</t>
        </is>
      </c>
      <c r="E82" t="inlineStr">
        <is>
          <t>Equity</t>
        </is>
      </c>
      <c r="F82" t="inlineStr">
        <is>
          <t>BUY</t>
        </is>
      </c>
      <c r="G82" t="n">
        <v>150</v>
      </c>
      <c r="H82" t="n">
        <v>449.3</v>
      </c>
      <c r="I82" t="n">
        <v>67395</v>
      </c>
      <c r="J82" t="n">
        <v>23.59</v>
      </c>
      <c r="K82" t="inlineStr">
        <is>
          <t>BSE</t>
        </is>
      </c>
      <c r="L82" t="inlineStr">
        <is>
          <t>QE-CLEARING</t>
        </is>
      </c>
      <c r="M82" t="inlineStr">
        <is>
          <t>T100081</t>
        </is>
      </c>
    </row>
    <row r="83">
      <c r="A83" t="inlineStr">
        <is>
          <t>T100082</t>
        </is>
      </c>
      <c r="B83" t="inlineStr">
        <is>
          <t>2026-06-30</t>
        </is>
      </c>
      <c r="C83" t="inlineStr">
        <is>
          <t>14:21:57</t>
        </is>
      </c>
      <c r="D83" t="inlineStr">
        <is>
          <t>TCS</t>
        </is>
      </c>
      <c r="E83" t="inlineStr">
        <is>
          <t>Equity</t>
        </is>
      </c>
      <c r="F83" t="inlineStr">
        <is>
          <t>BUY</t>
        </is>
      </c>
      <c r="G83" t="n">
        <v>200</v>
      </c>
      <c r="H83" t="n">
        <v>3889.32</v>
      </c>
      <c r="I83" t="n">
        <v>777864</v>
      </c>
      <c r="J83" t="n">
        <v>272.25</v>
      </c>
      <c r="K83" t="inlineStr">
        <is>
          <t>BSE</t>
        </is>
      </c>
      <c r="L83" t="inlineStr">
        <is>
          <t>QE-CLEARING</t>
        </is>
      </c>
      <c r="M83" t="inlineStr">
        <is>
          <t>T100082</t>
        </is>
      </c>
    </row>
    <row r="84">
      <c r="A84" t="inlineStr">
        <is>
          <t>T100083</t>
        </is>
      </c>
      <c r="B84" t="inlineStr">
        <is>
          <t>2026-06-30</t>
        </is>
      </c>
      <c r="C84" t="inlineStr">
        <is>
          <t>11:22:46</t>
        </is>
      </c>
      <c r="D84" t="inlineStr">
        <is>
          <t>LT</t>
        </is>
      </c>
      <c r="E84" t="inlineStr">
        <is>
          <t>Equity</t>
        </is>
      </c>
      <c r="F84" t="inlineStr">
        <is>
          <t>SELL</t>
        </is>
      </c>
      <c r="G84" t="n">
        <v>200</v>
      </c>
      <c r="H84" t="n">
        <v>3632.5</v>
      </c>
      <c r="I84" t="n">
        <v>726500</v>
      </c>
      <c r="J84" t="n">
        <v>254.28</v>
      </c>
      <c r="K84" t="inlineStr">
        <is>
          <t>NSE</t>
        </is>
      </c>
      <c r="L84" t="inlineStr">
        <is>
          <t>QE-CLEARING</t>
        </is>
      </c>
      <c r="M84" t="inlineStr">
        <is>
          <t>T100083</t>
        </is>
      </c>
    </row>
    <row r="85">
      <c r="A85" t="inlineStr">
        <is>
          <t>T100084</t>
        </is>
      </c>
      <c r="B85" t="inlineStr">
        <is>
          <t>2026-06-30</t>
        </is>
      </c>
      <c r="C85" t="inlineStr">
        <is>
          <t>09:11:38</t>
        </is>
      </c>
      <c r="D85" t="inlineStr">
        <is>
          <t>TATAMOTORS</t>
        </is>
      </c>
      <c r="E85" t="inlineStr">
        <is>
          <t>Equity</t>
        </is>
      </c>
      <c r="F85" t="inlineStr">
        <is>
          <t>BUY</t>
        </is>
      </c>
      <c r="G85" t="n">
        <v>300</v>
      </c>
      <c r="H85" t="n">
        <v>981.35</v>
      </c>
      <c r="I85" t="n">
        <v>294405</v>
      </c>
      <c r="J85" t="n">
        <v>103.04</v>
      </c>
      <c r="K85" t="inlineStr">
        <is>
          <t>NSE</t>
        </is>
      </c>
      <c r="L85" t="inlineStr">
        <is>
          <t>QE-CLEARING</t>
        </is>
      </c>
      <c r="M85" t="inlineStr">
        <is>
          <t>T100084</t>
        </is>
      </c>
    </row>
    <row r="86">
      <c r="A86" t="inlineStr">
        <is>
          <t>T100085</t>
        </is>
      </c>
      <c r="B86" t="inlineStr">
        <is>
          <t>2026-06-30</t>
        </is>
      </c>
      <c r="C86" t="inlineStr">
        <is>
          <t>10:20:28</t>
        </is>
      </c>
      <c r="D86" t="inlineStr">
        <is>
          <t>AXISBANK</t>
        </is>
      </c>
      <c r="E86" t="inlineStr">
        <is>
          <t>Equity</t>
        </is>
      </c>
      <c r="F86" t="inlineStr">
        <is>
          <t>BUY</t>
        </is>
      </c>
      <c r="G86" t="n">
        <v>500</v>
      </c>
      <c r="H86" t="n">
        <v>1133.42</v>
      </c>
      <c r="I86" t="n">
        <v>566710</v>
      </c>
      <c r="J86" t="n">
        <v>198.35</v>
      </c>
      <c r="K86" t="inlineStr">
        <is>
          <t>NSE</t>
        </is>
      </c>
      <c r="L86" t="inlineStr">
        <is>
          <t>QE-CLEARING</t>
        </is>
      </c>
      <c r="M86" t="inlineStr">
        <is>
          <t>T100085</t>
        </is>
      </c>
    </row>
    <row r="87">
      <c r="A87" t="inlineStr">
        <is>
          <t>T100086</t>
        </is>
      </c>
      <c r="B87" t="inlineStr">
        <is>
          <t>2026-06-30</t>
        </is>
      </c>
      <c r="C87" t="inlineStr">
        <is>
          <t>15:12:32</t>
        </is>
      </c>
      <c r="D87" t="inlineStr">
        <is>
          <t>SUNPHARMA</t>
        </is>
      </c>
      <c r="E87" t="inlineStr">
        <is>
          <t>Equity</t>
        </is>
      </c>
      <c r="F87" t="inlineStr">
        <is>
          <t>SELL</t>
        </is>
      </c>
      <c r="G87" t="n">
        <v>75</v>
      </c>
      <c r="H87" t="n">
        <v>1721.93</v>
      </c>
      <c r="I87" t="n">
        <v>129144.75</v>
      </c>
      <c r="J87" t="n">
        <v>45.2</v>
      </c>
      <c r="K87" t="inlineStr">
        <is>
          <t>BSE</t>
        </is>
      </c>
      <c r="L87" t="inlineStr">
        <is>
          <t>QE-CLEARING</t>
        </is>
      </c>
      <c r="M87" t="inlineStr">
        <is>
          <t>T100086</t>
        </is>
      </c>
    </row>
    <row r="88">
      <c r="A88" t="inlineStr">
        <is>
          <t>T100087</t>
        </is>
      </c>
      <c r="B88" t="inlineStr">
        <is>
          <t>2026-06-30</t>
        </is>
      </c>
      <c r="C88" t="inlineStr">
        <is>
          <t>12:13:17</t>
        </is>
      </c>
      <c r="D88" t="inlineStr">
        <is>
          <t>AXISBANK</t>
        </is>
      </c>
      <c r="E88" t="inlineStr">
        <is>
          <t>Equity</t>
        </is>
      </c>
      <c r="F88" t="inlineStr">
        <is>
          <t>BUY</t>
        </is>
      </c>
      <c r="G88" t="n">
        <v>50</v>
      </c>
      <c r="H88" t="n">
        <v>1130.85</v>
      </c>
      <c r="I88" t="n">
        <v>56542.5</v>
      </c>
      <c r="J88" t="n">
        <v>19.79</v>
      </c>
      <c r="K88" t="inlineStr">
        <is>
          <t>BSE</t>
        </is>
      </c>
      <c r="L88" t="inlineStr">
        <is>
          <t>QE-CLEARING</t>
        </is>
      </c>
      <c r="M88" t="inlineStr">
        <is>
          <t>T100087</t>
        </is>
      </c>
    </row>
    <row r="89">
      <c r="A89" t="inlineStr">
        <is>
          <t>T100088</t>
        </is>
      </c>
      <c r="B89" t="inlineStr">
        <is>
          <t>2026-06-30</t>
        </is>
      </c>
      <c r="C89" t="inlineStr">
        <is>
          <t>09:23:24</t>
        </is>
      </c>
      <c r="D89" t="inlineStr">
        <is>
          <t>RELIANCE</t>
        </is>
      </c>
      <c r="E89" t="inlineStr">
        <is>
          <t>Equity</t>
        </is>
      </c>
      <c r="F89" t="inlineStr">
        <is>
          <t>SELL</t>
        </is>
      </c>
      <c r="G89" t="n">
        <v>100</v>
      </c>
      <c r="H89" t="n">
        <v>1424.44</v>
      </c>
      <c r="I89" t="n">
        <v>142444</v>
      </c>
      <c r="J89" t="n">
        <v>49.86</v>
      </c>
      <c r="K89" t="inlineStr">
        <is>
          <t>NSE</t>
        </is>
      </c>
      <c r="L89" t="inlineStr">
        <is>
          <t>QE-CLEARING</t>
        </is>
      </c>
      <c r="M89" t="inlineStr">
        <is>
          <t>T100088</t>
        </is>
      </c>
    </row>
    <row r="90">
      <c r="A90" t="inlineStr">
        <is>
          <t>T100089</t>
        </is>
      </c>
      <c r="B90" t="inlineStr">
        <is>
          <t>2026-06-30</t>
        </is>
      </c>
      <c r="C90" t="inlineStr">
        <is>
          <t>13:46:44</t>
        </is>
      </c>
      <c r="D90" t="inlineStr">
        <is>
          <t>BHARTIARTL</t>
        </is>
      </c>
      <c r="E90" t="inlineStr">
        <is>
          <t>Equity</t>
        </is>
      </c>
      <c r="F90" t="inlineStr">
        <is>
          <t>BUY</t>
        </is>
      </c>
      <c r="G90" t="n">
        <v>500</v>
      </c>
      <c r="H90" t="n">
        <v>1584.84</v>
      </c>
      <c r="I90" t="n">
        <v>792420</v>
      </c>
      <c r="J90" t="n">
        <v>277.35</v>
      </c>
      <c r="K90" t="inlineStr">
        <is>
          <t>NSE</t>
        </is>
      </c>
      <c r="L90" t="inlineStr">
        <is>
          <t>QE-CLEARING</t>
        </is>
      </c>
      <c r="M90" t="inlineStr">
        <is>
          <t>T100089</t>
        </is>
      </c>
    </row>
    <row r="91">
      <c r="A91" t="inlineStr">
        <is>
          <t>T100090</t>
        </is>
      </c>
      <c r="B91" t="inlineStr">
        <is>
          <t>2026-06-30</t>
        </is>
      </c>
      <c r="C91" t="inlineStr">
        <is>
          <t>12:32:03</t>
        </is>
      </c>
      <c r="D91" t="inlineStr">
        <is>
          <t>BAJFINANCE</t>
        </is>
      </c>
      <c r="E91" t="inlineStr">
        <is>
          <t>Equity</t>
        </is>
      </c>
      <c r="F91" t="inlineStr">
        <is>
          <t>SELL</t>
        </is>
      </c>
      <c r="G91" t="n">
        <v>50</v>
      </c>
      <c r="H91" t="n">
        <v>7193.27</v>
      </c>
      <c r="I91" t="n">
        <v>359663.5</v>
      </c>
      <c r="J91" t="n">
        <v>125.88</v>
      </c>
      <c r="K91" t="inlineStr">
        <is>
          <t>NSE</t>
        </is>
      </c>
      <c r="L91" t="inlineStr">
        <is>
          <t>QE-CLEARING</t>
        </is>
      </c>
      <c r="M91" t="inlineStr">
        <is>
          <t>T100090</t>
        </is>
      </c>
    </row>
    <row r="92">
      <c r="A92" t="inlineStr">
        <is>
          <t>T100091</t>
        </is>
      </c>
      <c r="B92" t="inlineStr">
        <is>
          <t>2026-06-30</t>
        </is>
      </c>
      <c r="C92" t="inlineStr">
        <is>
          <t>11:08:13</t>
        </is>
      </c>
      <c r="D92" t="inlineStr">
        <is>
          <t>ITC</t>
        </is>
      </c>
      <c r="E92" t="inlineStr">
        <is>
          <t>Equity</t>
        </is>
      </c>
      <c r="F92" t="inlineStr">
        <is>
          <t>SELL</t>
        </is>
      </c>
      <c r="G92" t="n">
        <v>500</v>
      </c>
      <c r="H92" t="n">
        <v>448.47</v>
      </c>
      <c r="I92" t="n">
        <v>224235</v>
      </c>
      <c r="J92" t="n">
        <v>78.48</v>
      </c>
      <c r="K92" t="inlineStr">
        <is>
          <t>BSE</t>
        </is>
      </c>
      <c r="L92" t="inlineStr">
        <is>
          <t>QE-CLEARING</t>
        </is>
      </c>
      <c r="M92" t="inlineStr">
        <is>
          <t>T100091</t>
        </is>
      </c>
    </row>
    <row r="93">
      <c r="A93" t="inlineStr">
        <is>
          <t>T100092</t>
        </is>
      </c>
      <c r="B93" t="inlineStr">
        <is>
          <t>2026-06-30</t>
        </is>
      </c>
      <c r="C93" t="inlineStr">
        <is>
          <t>09:01:13</t>
        </is>
      </c>
      <c r="D93" t="inlineStr">
        <is>
          <t>BAJFINANCE</t>
        </is>
      </c>
      <c r="E93" t="inlineStr">
        <is>
          <t>Equity</t>
        </is>
      </c>
      <c r="F93" t="inlineStr">
        <is>
          <t>SELL</t>
        </is>
      </c>
      <c r="G93" t="n">
        <v>500</v>
      </c>
      <c r="H93" t="n">
        <v>7174.35</v>
      </c>
      <c r="I93" t="n">
        <v>3587175</v>
      </c>
      <c r="J93" t="n">
        <v>1255.51</v>
      </c>
      <c r="K93" t="inlineStr">
        <is>
          <t>NSE</t>
        </is>
      </c>
      <c r="L93" t="inlineStr">
        <is>
          <t>QE-CLEARING</t>
        </is>
      </c>
      <c r="M93" t="inlineStr">
        <is>
          <t>T100092</t>
        </is>
      </c>
    </row>
    <row r="94">
      <c r="A94" t="inlineStr">
        <is>
          <t>T100093</t>
        </is>
      </c>
      <c r="B94" t="inlineStr">
        <is>
          <t>2026-06-30</t>
        </is>
      </c>
      <c r="C94" t="inlineStr">
        <is>
          <t>12:15:33</t>
        </is>
      </c>
      <c r="D94" t="inlineStr">
        <is>
          <t>TCS</t>
        </is>
      </c>
      <c r="E94" t="inlineStr">
        <is>
          <t>Equity</t>
        </is>
      </c>
      <c r="F94" t="inlineStr">
        <is>
          <t>SELL</t>
        </is>
      </c>
      <c r="G94" t="n">
        <v>150</v>
      </c>
      <c r="H94" t="n">
        <v>3894.15</v>
      </c>
      <c r="I94" t="n">
        <v>584122.5</v>
      </c>
      <c r="J94" t="n">
        <v>204.44</v>
      </c>
      <c r="K94" t="inlineStr">
        <is>
          <t>NSE</t>
        </is>
      </c>
      <c r="L94" t="inlineStr">
        <is>
          <t>QE-CLEARING</t>
        </is>
      </c>
      <c r="M94" t="inlineStr">
        <is>
          <t>T100093</t>
        </is>
      </c>
    </row>
    <row r="95">
      <c r="A95" t="inlineStr">
        <is>
          <t>T100094</t>
        </is>
      </c>
      <c r="B95" t="inlineStr">
        <is>
          <t>2026-06-30</t>
        </is>
      </c>
      <c r="C95" t="inlineStr">
        <is>
          <t>13:02:11</t>
        </is>
      </c>
      <c r="D95" t="inlineStr">
        <is>
          <t>ITC</t>
        </is>
      </c>
      <c r="E95" t="inlineStr">
        <is>
          <t>Equity</t>
        </is>
      </c>
      <c r="F95" t="inlineStr">
        <is>
          <t>BUY</t>
        </is>
      </c>
      <c r="G95" t="n">
        <v>500</v>
      </c>
      <c r="H95" t="n">
        <v>446.45</v>
      </c>
      <c r="I95" t="n">
        <v>223225</v>
      </c>
      <c r="J95" t="n">
        <v>78.13</v>
      </c>
      <c r="K95" t="inlineStr">
        <is>
          <t>NSE</t>
        </is>
      </c>
      <c r="L95" t="inlineStr">
        <is>
          <t>QE-CLEARING</t>
        </is>
      </c>
      <c r="M95" t="inlineStr">
        <is>
          <t>T100094</t>
        </is>
      </c>
    </row>
    <row r="96">
      <c r="A96" t="inlineStr">
        <is>
          <t>T100095</t>
        </is>
      </c>
      <c r="B96" t="inlineStr">
        <is>
          <t>2026-06-30</t>
        </is>
      </c>
      <c r="C96" t="inlineStr">
        <is>
          <t>10:40:10</t>
        </is>
      </c>
      <c r="D96" t="inlineStr">
        <is>
          <t>SUNPHARMA</t>
        </is>
      </c>
      <c r="E96" t="inlineStr">
        <is>
          <t>Equity</t>
        </is>
      </c>
      <c r="F96" t="inlineStr">
        <is>
          <t>SELL</t>
        </is>
      </c>
      <c r="G96" t="n">
        <v>300</v>
      </c>
      <c r="H96" t="n">
        <v>1724.49</v>
      </c>
      <c r="I96" t="n">
        <v>517347</v>
      </c>
      <c r="J96" t="n">
        <v>181.07</v>
      </c>
      <c r="K96" t="inlineStr">
        <is>
          <t>BSE</t>
        </is>
      </c>
      <c r="L96" t="inlineStr">
        <is>
          <t>QE-CLEARING</t>
        </is>
      </c>
      <c r="M96" t="inlineStr">
        <is>
          <t>T100095</t>
        </is>
      </c>
    </row>
    <row r="97">
      <c r="A97" t="inlineStr">
        <is>
          <t>T100096</t>
        </is>
      </c>
      <c r="B97" t="inlineStr">
        <is>
          <t>2026-06-30</t>
        </is>
      </c>
      <c r="C97" t="inlineStr">
        <is>
          <t>09:39:58</t>
        </is>
      </c>
      <c r="D97" t="inlineStr">
        <is>
          <t>MARUTI</t>
        </is>
      </c>
      <c r="E97" t="inlineStr">
        <is>
          <t>Equity</t>
        </is>
      </c>
      <c r="F97" t="inlineStr">
        <is>
          <t>SELL</t>
        </is>
      </c>
      <c r="G97" t="n">
        <v>250</v>
      </c>
      <c r="H97" t="n">
        <v>12637.34</v>
      </c>
      <c r="I97" t="n">
        <v>3159335</v>
      </c>
      <c r="J97" t="n">
        <v>1105.77</v>
      </c>
      <c r="K97" t="inlineStr">
        <is>
          <t>NSE</t>
        </is>
      </c>
      <c r="L97" t="inlineStr">
        <is>
          <t>QE-CLEARING</t>
        </is>
      </c>
      <c r="M97" t="inlineStr">
        <is>
          <t>T100096</t>
        </is>
      </c>
    </row>
    <row r="98">
      <c r="A98" t="inlineStr">
        <is>
          <t>T100097</t>
        </is>
      </c>
      <c r="B98" t="inlineStr">
        <is>
          <t>2026-06-30</t>
        </is>
      </c>
      <c r="C98" t="inlineStr">
        <is>
          <t>14:42:43</t>
        </is>
      </c>
      <c r="D98" t="inlineStr">
        <is>
          <t>BHARTIARTL</t>
        </is>
      </c>
      <c r="E98" t="inlineStr">
        <is>
          <t>Equity</t>
        </is>
      </c>
      <c r="F98" t="inlineStr">
        <is>
          <t>SELL</t>
        </is>
      </c>
      <c r="G98" t="n">
        <v>250</v>
      </c>
      <c r="H98" t="n">
        <v>1585.04</v>
      </c>
      <c r="I98" t="n">
        <v>396260</v>
      </c>
      <c r="J98" t="n">
        <v>138.69</v>
      </c>
      <c r="K98" t="inlineStr">
        <is>
          <t>NSE</t>
        </is>
      </c>
      <c r="L98" t="inlineStr">
        <is>
          <t>QE-CLEARING</t>
        </is>
      </c>
      <c r="M98" t="inlineStr">
        <is>
          <t>T100097</t>
        </is>
      </c>
    </row>
    <row r="99">
      <c r="A99" t="inlineStr">
        <is>
          <t>T100098</t>
        </is>
      </c>
      <c r="B99" t="inlineStr">
        <is>
          <t>2026-06-30</t>
        </is>
      </c>
      <c r="C99" t="inlineStr">
        <is>
          <t>09:17:37</t>
        </is>
      </c>
      <c r="D99" t="inlineStr">
        <is>
          <t>BAJFINANCE</t>
        </is>
      </c>
      <c r="E99" t="inlineStr">
        <is>
          <t>Equity</t>
        </is>
      </c>
      <c r="F99" t="inlineStr">
        <is>
          <t>BUY</t>
        </is>
      </c>
      <c r="G99" t="n">
        <v>250</v>
      </c>
      <c r="H99" t="n">
        <v>7181.9</v>
      </c>
      <c r="I99" t="n">
        <v>1795475</v>
      </c>
      <c r="J99" t="n">
        <v>628.42</v>
      </c>
      <c r="K99" t="inlineStr">
        <is>
          <t>BSE</t>
        </is>
      </c>
      <c r="L99" t="inlineStr">
        <is>
          <t>QE-CLEARING</t>
        </is>
      </c>
      <c r="M99" t="inlineStr">
        <is>
          <t>T100098</t>
        </is>
      </c>
    </row>
    <row r="100">
      <c r="A100" t="inlineStr">
        <is>
          <t>T100099</t>
        </is>
      </c>
      <c r="B100" t="inlineStr">
        <is>
          <t>2026-06-30</t>
        </is>
      </c>
      <c r="C100" t="inlineStr">
        <is>
          <t>15:32:01</t>
        </is>
      </c>
      <c r="D100" t="inlineStr">
        <is>
          <t>ICICIBANK</t>
        </is>
      </c>
      <c r="E100" t="inlineStr">
        <is>
          <t>Equity</t>
        </is>
      </c>
      <c r="F100" t="inlineStr">
        <is>
          <t>BUY</t>
        </is>
      </c>
      <c r="G100" t="n">
        <v>150</v>
      </c>
      <c r="H100" t="n">
        <v>1242.72</v>
      </c>
      <c r="I100" t="n">
        <v>186408</v>
      </c>
      <c r="J100" t="n">
        <v>65.23999999999999</v>
      </c>
      <c r="K100" t="inlineStr">
        <is>
          <t>BSE</t>
        </is>
      </c>
      <c r="L100" t="inlineStr">
        <is>
          <t>QE-CLEARING</t>
        </is>
      </c>
      <c r="M100" t="inlineStr">
        <is>
          <t>T100099</t>
        </is>
      </c>
    </row>
    <row r="101">
      <c r="A101" t="inlineStr">
        <is>
          <t>T100100</t>
        </is>
      </c>
      <c r="B101" t="inlineStr">
        <is>
          <t>2026-06-30</t>
        </is>
      </c>
      <c r="C101" t="inlineStr">
        <is>
          <t>15:27:55</t>
        </is>
      </c>
      <c r="D101" t="inlineStr">
        <is>
          <t>MARUTI</t>
        </is>
      </c>
      <c r="E101" t="inlineStr">
        <is>
          <t>Equity</t>
        </is>
      </c>
      <c r="F101" t="inlineStr">
        <is>
          <t>BUY</t>
        </is>
      </c>
      <c r="G101" t="n">
        <v>200</v>
      </c>
      <c r="H101" t="n">
        <v>12697.13</v>
      </c>
      <c r="I101" t="n">
        <v>2539426</v>
      </c>
      <c r="J101" t="n">
        <v>888.8</v>
      </c>
      <c r="K101" t="inlineStr">
        <is>
          <t>NSE</t>
        </is>
      </c>
      <c r="L101" t="inlineStr">
        <is>
          <t>QE-CLEARING</t>
        </is>
      </c>
      <c r="M101" t="inlineStr">
        <is>
          <t>T100100</t>
        </is>
      </c>
    </row>
    <row r="102">
      <c r="A102" t="inlineStr">
        <is>
          <t>T100101</t>
        </is>
      </c>
      <c r="B102" t="inlineStr">
        <is>
          <t>2026-06-30</t>
        </is>
      </c>
      <c r="C102" t="inlineStr">
        <is>
          <t>13:21:48</t>
        </is>
      </c>
      <c r="D102" t="inlineStr">
        <is>
          <t>TCS</t>
        </is>
      </c>
      <c r="E102" t="inlineStr">
        <is>
          <t>Equity</t>
        </is>
      </c>
      <c r="F102" t="inlineStr">
        <is>
          <t>BUY</t>
        </is>
      </c>
      <c r="G102" t="n">
        <v>500</v>
      </c>
      <c r="H102" t="n">
        <v>3896.81</v>
      </c>
      <c r="I102" t="n">
        <v>1948405</v>
      </c>
      <c r="J102" t="n">
        <v>681.9400000000001</v>
      </c>
      <c r="K102" t="inlineStr">
        <is>
          <t>BSE</t>
        </is>
      </c>
      <c r="L102" t="inlineStr">
        <is>
          <t>QE-CLEARING</t>
        </is>
      </c>
      <c r="M102" t="inlineStr">
        <is>
          <t>T100101</t>
        </is>
      </c>
    </row>
    <row r="103">
      <c r="A103" t="inlineStr">
        <is>
          <t>T100102</t>
        </is>
      </c>
      <c r="B103" t="inlineStr">
        <is>
          <t>2026-06-30</t>
        </is>
      </c>
      <c r="C103" t="inlineStr">
        <is>
          <t>14:42:01</t>
        </is>
      </c>
      <c r="D103" t="inlineStr">
        <is>
          <t>AXISBANK</t>
        </is>
      </c>
      <c r="E103" t="inlineStr">
        <is>
          <t>Equity</t>
        </is>
      </c>
      <c r="F103" t="inlineStr">
        <is>
          <t>BUY</t>
        </is>
      </c>
      <c r="G103" t="n">
        <v>300</v>
      </c>
      <c r="H103" t="n">
        <v>1125.72</v>
      </c>
      <c r="I103" t="n">
        <v>337716</v>
      </c>
      <c r="J103" t="n">
        <v>118.2</v>
      </c>
      <c r="K103" t="inlineStr">
        <is>
          <t>NSE</t>
        </is>
      </c>
      <c r="L103" t="inlineStr">
        <is>
          <t>QE-CLEARING</t>
        </is>
      </c>
      <c r="M103" t="inlineStr">
        <is>
          <t>T100102</t>
        </is>
      </c>
    </row>
    <row r="104">
      <c r="A104" t="inlineStr">
        <is>
          <t>T100103</t>
        </is>
      </c>
      <c r="B104" t="inlineStr">
        <is>
          <t>2026-06-30</t>
        </is>
      </c>
      <c r="C104" t="inlineStr">
        <is>
          <t>10:18:58</t>
        </is>
      </c>
      <c r="D104" t="inlineStr">
        <is>
          <t>SBIN</t>
        </is>
      </c>
      <c r="E104" t="inlineStr">
        <is>
          <t>Equity</t>
        </is>
      </c>
      <c r="F104" t="inlineStr">
        <is>
          <t>BUY</t>
        </is>
      </c>
      <c r="G104" t="n">
        <v>150</v>
      </c>
      <c r="H104" t="n">
        <v>811.78</v>
      </c>
      <c r="I104" t="n">
        <v>121767</v>
      </c>
      <c r="J104" t="n">
        <v>42.62</v>
      </c>
      <c r="K104" t="inlineStr">
        <is>
          <t>NSE</t>
        </is>
      </c>
      <c r="L104" t="inlineStr">
        <is>
          <t>QE-CLEARING</t>
        </is>
      </c>
      <c r="M104" t="inlineStr">
        <is>
          <t>T100103</t>
        </is>
      </c>
    </row>
    <row r="105">
      <c r="A105" t="inlineStr">
        <is>
          <t>T100104</t>
        </is>
      </c>
      <c r="B105" t="inlineStr">
        <is>
          <t>2026-06-30</t>
        </is>
      </c>
      <c r="C105" t="inlineStr">
        <is>
          <t>12:38:44</t>
        </is>
      </c>
      <c r="D105" t="inlineStr">
        <is>
          <t>INFY</t>
        </is>
      </c>
      <c r="E105" t="inlineStr">
        <is>
          <t>Equity</t>
        </is>
      </c>
      <c r="F105" t="inlineStr">
        <is>
          <t>SELL</t>
        </is>
      </c>
      <c r="G105" t="n">
        <v>75</v>
      </c>
      <c r="H105" t="n">
        <v>1556.42</v>
      </c>
      <c r="I105" t="n">
        <v>116731.5</v>
      </c>
      <c r="J105" t="n">
        <v>40.86</v>
      </c>
      <c r="K105" t="inlineStr">
        <is>
          <t>BSE</t>
        </is>
      </c>
      <c r="L105" t="inlineStr">
        <is>
          <t>QE-CLEARING</t>
        </is>
      </c>
      <c r="M105" t="inlineStr">
        <is>
          <t>T100104</t>
        </is>
      </c>
    </row>
    <row r="106">
      <c r="A106" t="inlineStr">
        <is>
          <t>T100105</t>
        </is>
      </c>
      <c r="B106" t="inlineStr">
        <is>
          <t>2026-06-30</t>
        </is>
      </c>
      <c r="C106" t="inlineStr">
        <is>
          <t>11:22:54</t>
        </is>
      </c>
      <c r="D106" t="inlineStr">
        <is>
          <t>BHARTIARTL</t>
        </is>
      </c>
      <c r="E106" t="inlineStr">
        <is>
          <t>Equity</t>
        </is>
      </c>
      <c r="F106" t="inlineStr">
        <is>
          <t>BUY</t>
        </is>
      </c>
      <c r="G106" t="n">
        <v>150</v>
      </c>
      <c r="H106" t="n">
        <v>1585.93</v>
      </c>
      <c r="I106" t="n">
        <v>237889.5</v>
      </c>
      <c r="J106" t="n">
        <v>83.26000000000001</v>
      </c>
      <c r="K106" t="inlineStr">
        <is>
          <t>BSE</t>
        </is>
      </c>
      <c r="L106" t="inlineStr">
        <is>
          <t>QE-CLEARING</t>
        </is>
      </c>
      <c r="M106" t="inlineStr">
        <is>
          <t>T100105</t>
        </is>
      </c>
    </row>
    <row r="107">
      <c r="A107" t="inlineStr">
        <is>
          <t>T100106</t>
        </is>
      </c>
      <c r="B107" t="inlineStr">
        <is>
          <t>2026-06-30</t>
        </is>
      </c>
      <c r="C107" t="inlineStr">
        <is>
          <t>12:20:29</t>
        </is>
      </c>
      <c r="D107" t="inlineStr">
        <is>
          <t>AXISBANK</t>
        </is>
      </c>
      <c r="E107" t="inlineStr">
        <is>
          <t>Equity</t>
        </is>
      </c>
      <c r="F107" t="inlineStr">
        <is>
          <t>SELL</t>
        </is>
      </c>
      <c r="G107" t="n">
        <v>200</v>
      </c>
      <c r="H107" t="n">
        <v>1128.11</v>
      </c>
      <c r="I107" t="n">
        <v>225622</v>
      </c>
      <c r="J107" t="n">
        <v>78.97</v>
      </c>
      <c r="K107" t="inlineStr">
        <is>
          <t>NSE</t>
        </is>
      </c>
      <c r="L107" t="inlineStr">
        <is>
          <t>QE-CLEARING</t>
        </is>
      </c>
      <c r="M107" t="inlineStr">
        <is>
          <t>T100106</t>
        </is>
      </c>
    </row>
    <row r="108">
      <c r="A108" t="inlineStr">
        <is>
          <t>T100107</t>
        </is>
      </c>
      <c r="B108" t="inlineStr">
        <is>
          <t>2026-06-30</t>
        </is>
      </c>
      <c r="C108" t="inlineStr">
        <is>
          <t>10:48:20</t>
        </is>
      </c>
      <c r="D108" t="inlineStr">
        <is>
          <t>MARUTI</t>
        </is>
      </c>
      <c r="E108" t="inlineStr">
        <is>
          <t>Equity</t>
        </is>
      </c>
      <c r="F108" t="inlineStr">
        <is>
          <t>BUY</t>
        </is>
      </c>
      <c r="G108" t="n">
        <v>500</v>
      </c>
      <c r="H108" t="n">
        <v>12606.04</v>
      </c>
      <c r="I108" t="n">
        <v>6303020</v>
      </c>
      <c r="J108" t="n">
        <v>2206.06</v>
      </c>
      <c r="K108" t="inlineStr">
        <is>
          <t>NSE</t>
        </is>
      </c>
      <c r="L108" t="inlineStr">
        <is>
          <t>QE-CLEARING</t>
        </is>
      </c>
      <c r="M108" t="inlineStr">
        <is>
          <t>T100107</t>
        </is>
      </c>
    </row>
    <row r="109">
      <c r="A109" t="inlineStr">
        <is>
          <t>T100108</t>
        </is>
      </c>
      <c r="B109" t="inlineStr">
        <is>
          <t>2026-06-30</t>
        </is>
      </c>
      <c r="C109" t="inlineStr">
        <is>
          <t>11:08:09</t>
        </is>
      </c>
      <c r="D109" t="inlineStr">
        <is>
          <t>INFY</t>
        </is>
      </c>
      <c r="E109" t="inlineStr">
        <is>
          <t>Equity</t>
        </is>
      </c>
      <c r="F109" t="inlineStr">
        <is>
          <t>SELL</t>
        </is>
      </c>
      <c r="G109" t="n">
        <v>200</v>
      </c>
      <c r="H109" t="n">
        <v>1555.84</v>
      </c>
      <c r="I109" t="n">
        <v>311168</v>
      </c>
      <c r="J109" t="n">
        <v>108.91</v>
      </c>
      <c r="K109" t="inlineStr">
        <is>
          <t>NSE</t>
        </is>
      </c>
      <c r="L109" t="inlineStr">
        <is>
          <t>QE-CLEARING</t>
        </is>
      </c>
      <c r="M109" t="inlineStr">
        <is>
          <t>T100108</t>
        </is>
      </c>
    </row>
    <row r="110">
      <c r="A110" t="inlineStr">
        <is>
          <t>T100109</t>
        </is>
      </c>
      <c r="B110" t="inlineStr">
        <is>
          <t>2026-06-30</t>
        </is>
      </c>
      <c r="C110" t="inlineStr">
        <is>
          <t>10:32:10</t>
        </is>
      </c>
      <c r="D110" t="inlineStr">
        <is>
          <t>BAJFINANCE</t>
        </is>
      </c>
      <c r="E110" t="inlineStr">
        <is>
          <t>Equity</t>
        </is>
      </c>
      <c r="F110" t="inlineStr">
        <is>
          <t>BUY</t>
        </is>
      </c>
      <c r="G110" t="n">
        <v>500</v>
      </c>
      <c r="H110" t="n">
        <v>7191.67</v>
      </c>
      <c r="I110" t="n">
        <v>3595835</v>
      </c>
      <c r="J110" t="n">
        <v>1258.54</v>
      </c>
      <c r="K110" t="inlineStr">
        <is>
          <t>NSE</t>
        </is>
      </c>
      <c r="L110" t="inlineStr">
        <is>
          <t>QE-CLEARING</t>
        </is>
      </c>
      <c r="M110" t="inlineStr">
        <is>
          <t>T100109</t>
        </is>
      </c>
    </row>
    <row r="111">
      <c r="A111" t="inlineStr">
        <is>
          <t>T100110</t>
        </is>
      </c>
      <c r="B111" t="inlineStr">
        <is>
          <t>2026-06-30</t>
        </is>
      </c>
      <c r="C111" t="inlineStr">
        <is>
          <t>10:02:08</t>
        </is>
      </c>
      <c r="D111" t="inlineStr">
        <is>
          <t>BAJFINANCE</t>
        </is>
      </c>
      <c r="E111" t="inlineStr">
        <is>
          <t>Equity</t>
        </is>
      </c>
      <c r="F111" t="inlineStr">
        <is>
          <t>BUY</t>
        </is>
      </c>
      <c r="G111" t="n">
        <v>75</v>
      </c>
      <c r="H111" t="n">
        <v>7188.31</v>
      </c>
      <c r="I111" t="n">
        <v>539123.25</v>
      </c>
      <c r="J111" t="n">
        <v>188.69</v>
      </c>
      <c r="K111" t="inlineStr">
        <is>
          <t>NSE</t>
        </is>
      </c>
      <c r="L111" t="inlineStr">
        <is>
          <t>QE-CLEARING</t>
        </is>
      </c>
      <c r="M111" t="inlineStr">
        <is>
          <t>T100110</t>
        </is>
      </c>
    </row>
    <row r="112">
      <c r="A112" t="inlineStr">
        <is>
          <t>T100111</t>
        </is>
      </c>
      <c r="B112" t="inlineStr">
        <is>
          <t>2026-06-30</t>
        </is>
      </c>
      <c r="C112" t="inlineStr">
        <is>
          <t>15:16:51</t>
        </is>
      </c>
      <c r="D112" t="inlineStr">
        <is>
          <t>HINDUNILVR</t>
        </is>
      </c>
      <c r="E112" t="inlineStr">
        <is>
          <t>Equity</t>
        </is>
      </c>
      <c r="F112" t="inlineStr">
        <is>
          <t>BUY</t>
        </is>
      </c>
      <c r="G112" t="n">
        <v>75</v>
      </c>
      <c r="H112" t="n">
        <v>2359.67</v>
      </c>
      <c r="I112" t="n">
        <v>176975.25</v>
      </c>
      <c r="J112" t="n">
        <v>61.94</v>
      </c>
      <c r="K112" t="inlineStr">
        <is>
          <t>BSE</t>
        </is>
      </c>
      <c r="L112" t="inlineStr">
        <is>
          <t>QE-CLEARING</t>
        </is>
      </c>
      <c r="M112" t="inlineStr">
        <is>
          <t>T100111</t>
        </is>
      </c>
    </row>
    <row r="113">
      <c r="A113" t="inlineStr">
        <is>
          <t>T100112</t>
        </is>
      </c>
      <c r="B113" t="inlineStr">
        <is>
          <t>2026-06-30</t>
        </is>
      </c>
      <c r="C113" t="inlineStr">
        <is>
          <t>09:15:48</t>
        </is>
      </c>
      <c r="D113" t="inlineStr">
        <is>
          <t>ICICIBANK</t>
        </is>
      </c>
      <c r="E113" t="inlineStr">
        <is>
          <t>Equity</t>
        </is>
      </c>
      <c r="F113" t="inlineStr">
        <is>
          <t>BUY</t>
        </is>
      </c>
      <c r="G113" t="n">
        <v>250</v>
      </c>
      <c r="H113" t="n">
        <v>1237.55</v>
      </c>
      <c r="I113" t="n">
        <v>309387.5</v>
      </c>
      <c r="J113" t="n">
        <v>108.29</v>
      </c>
      <c r="K113" t="inlineStr">
        <is>
          <t>NSE</t>
        </is>
      </c>
      <c r="L113" t="inlineStr">
        <is>
          <t>QE-CLEARING</t>
        </is>
      </c>
      <c r="M113" t="inlineStr">
        <is>
          <t>T100112</t>
        </is>
      </c>
    </row>
    <row r="114">
      <c r="A114" t="inlineStr">
        <is>
          <t>T100113</t>
        </is>
      </c>
      <c r="B114" t="inlineStr">
        <is>
          <t>2026-06-30</t>
        </is>
      </c>
      <c r="C114" t="inlineStr">
        <is>
          <t>13:40:08</t>
        </is>
      </c>
      <c r="D114" t="inlineStr">
        <is>
          <t>HDFCBANK</t>
        </is>
      </c>
      <c r="E114" t="inlineStr">
        <is>
          <t>Equity</t>
        </is>
      </c>
      <c r="F114" t="inlineStr">
        <is>
          <t>SELL</t>
        </is>
      </c>
      <c r="G114" t="n">
        <v>300</v>
      </c>
      <c r="H114" t="n">
        <v>1691.64</v>
      </c>
      <c r="I114" t="n">
        <v>507492</v>
      </c>
      <c r="J114" t="n">
        <v>177.62</v>
      </c>
      <c r="K114" t="inlineStr">
        <is>
          <t>NSE</t>
        </is>
      </c>
      <c r="L114" t="inlineStr">
        <is>
          <t>QE-CLEARING</t>
        </is>
      </c>
      <c r="M114" t="inlineStr">
        <is>
          <t>T100113</t>
        </is>
      </c>
    </row>
    <row r="115">
      <c r="A115" t="inlineStr">
        <is>
          <t>T100114</t>
        </is>
      </c>
      <c r="B115" t="inlineStr">
        <is>
          <t>2026-06-30</t>
        </is>
      </c>
      <c r="C115" t="inlineStr">
        <is>
          <t>15:55:27</t>
        </is>
      </c>
      <c r="D115" t="inlineStr">
        <is>
          <t>KOTAKBANK</t>
        </is>
      </c>
      <c r="E115" t="inlineStr">
        <is>
          <t>Equity</t>
        </is>
      </c>
      <c r="F115" t="inlineStr">
        <is>
          <t>SELL</t>
        </is>
      </c>
      <c r="G115" t="n">
        <v>200</v>
      </c>
      <c r="H115" t="n">
        <v>1797.65</v>
      </c>
      <c r="I115" t="n">
        <v>359530</v>
      </c>
      <c r="J115" t="n">
        <v>125.84</v>
      </c>
      <c r="K115" t="inlineStr">
        <is>
          <t>NSE</t>
        </is>
      </c>
      <c r="L115" t="inlineStr">
        <is>
          <t>QE-CLEARING</t>
        </is>
      </c>
      <c r="M115" t="inlineStr">
        <is>
          <t>T100114</t>
        </is>
      </c>
    </row>
    <row r="116">
      <c r="A116" t="inlineStr">
        <is>
          <t>T100115</t>
        </is>
      </c>
      <c r="B116" t="inlineStr">
        <is>
          <t>2026-06-30</t>
        </is>
      </c>
      <c r="C116" t="inlineStr">
        <is>
          <t>12:08:52</t>
        </is>
      </c>
      <c r="D116" t="inlineStr">
        <is>
          <t>ITC</t>
        </is>
      </c>
      <c r="E116" t="inlineStr">
        <is>
          <t>Equity</t>
        </is>
      </c>
      <c r="F116" t="inlineStr">
        <is>
          <t>BUY</t>
        </is>
      </c>
      <c r="G116" t="n">
        <v>75</v>
      </c>
      <c r="H116" t="n">
        <v>447.89</v>
      </c>
      <c r="I116" t="n">
        <v>33591.75</v>
      </c>
      <c r="J116" t="n">
        <v>11.76</v>
      </c>
      <c r="K116" t="inlineStr">
        <is>
          <t>NSE</t>
        </is>
      </c>
      <c r="L116" t="inlineStr">
        <is>
          <t>QE-CLEARING</t>
        </is>
      </c>
      <c r="M116" t="inlineStr">
        <is>
          <t>T100115</t>
        </is>
      </c>
    </row>
    <row r="117">
      <c r="A117" t="inlineStr">
        <is>
          <t>T100116</t>
        </is>
      </c>
      <c r="B117" t="inlineStr">
        <is>
          <t>2026-06-30</t>
        </is>
      </c>
      <c r="C117" t="inlineStr">
        <is>
          <t>15:07:39</t>
        </is>
      </c>
      <c r="D117" t="inlineStr">
        <is>
          <t>AXISBANK</t>
        </is>
      </c>
      <c r="E117" t="inlineStr">
        <is>
          <t>Equity</t>
        </is>
      </c>
      <c r="F117" t="inlineStr">
        <is>
          <t>BUY</t>
        </is>
      </c>
      <c r="G117" t="n">
        <v>500</v>
      </c>
      <c r="H117" t="n">
        <v>1133.87</v>
      </c>
      <c r="I117" t="n">
        <v>566935</v>
      </c>
      <c r="J117" t="n">
        <v>198.43</v>
      </c>
      <c r="K117" t="inlineStr">
        <is>
          <t>BSE</t>
        </is>
      </c>
      <c r="L117" t="inlineStr">
        <is>
          <t>QE-CLEARING</t>
        </is>
      </c>
      <c r="M117" t="inlineStr">
        <is>
          <t>T100116</t>
        </is>
      </c>
    </row>
    <row r="118">
      <c r="A118" t="inlineStr">
        <is>
          <t>T100117</t>
        </is>
      </c>
      <c r="B118" t="inlineStr">
        <is>
          <t>2026-06-30</t>
        </is>
      </c>
      <c r="C118" t="inlineStr">
        <is>
          <t>13:05:19</t>
        </is>
      </c>
      <c r="D118" t="inlineStr">
        <is>
          <t>AXISBANK</t>
        </is>
      </c>
      <c r="E118" t="inlineStr">
        <is>
          <t>Equity</t>
        </is>
      </c>
      <c r="F118" t="inlineStr">
        <is>
          <t>BUY</t>
        </is>
      </c>
      <c r="G118" t="n">
        <v>500</v>
      </c>
      <c r="H118" t="n">
        <v>1133.12</v>
      </c>
      <c r="I118" t="n">
        <v>566560</v>
      </c>
      <c r="J118" t="n">
        <v>198.3</v>
      </c>
      <c r="K118" t="inlineStr">
        <is>
          <t>NSE</t>
        </is>
      </c>
      <c r="L118" t="inlineStr">
        <is>
          <t>QE-CLEARING</t>
        </is>
      </c>
      <c r="M118" t="inlineStr">
        <is>
          <t>T100117</t>
        </is>
      </c>
    </row>
    <row r="119">
      <c r="A119" t="inlineStr">
        <is>
          <t>T100118</t>
        </is>
      </c>
      <c r="B119" t="inlineStr">
        <is>
          <t>2026-06-30</t>
        </is>
      </c>
      <c r="C119" t="inlineStr">
        <is>
          <t>11:18:51</t>
        </is>
      </c>
      <c r="D119" t="inlineStr">
        <is>
          <t>BAJFINANCE</t>
        </is>
      </c>
      <c r="E119" t="inlineStr">
        <is>
          <t>Equity</t>
        </is>
      </c>
      <c r="F119" t="inlineStr">
        <is>
          <t>BUY</t>
        </is>
      </c>
      <c r="G119" t="n">
        <v>200</v>
      </c>
      <c r="H119" t="n">
        <v>7177.83</v>
      </c>
      <c r="I119" t="n">
        <v>1435566</v>
      </c>
      <c r="J119" t="n">
        <v>502.45</v>
      </c>
      <c r="K119" t="inlineStr">
        <is>
          <t>NSE</t>
        </is>
      </c>
      <c r="L119" t="inlineStr">
        <is>
          <t>QE-CLEARING</t>
        </is>
      </c>
      <c r="M119" t="inlineStr">
        <is>
          <t>T100118</t>
        </is>
      </c>
    </row>
    <row r="120">
      <c r="A120" t="inlineStr">
        <is>
          <t>T100119</t>
        </is>
      </c>
      <c r="B120" t="inlineStr">
        <is>
          <t>2026-06-30</t>
        </is>
      </c>
      <c r="C120" t="inlineStr">
        <is>
          <t>12:25:20</t>
        </is>
      </c>
      <c r="D120" t="inlineStr">
        <is>
          <t>SUNPHARMA</t>
        </is>
      </c>
      <c r="E120" t="inlineStr">
        <is>
          <t>Equity</t>
        </is>
      </c>
      <c r="F120" t="inlineStr">
        <is>
          <t>SELL</t>
        </is>
      </c>
      <c r="G120" t="n">
        <v>150</v>
      </c>
      <c r="H120" t="n">
        <v>1723.44</v>
      </c>
      <c r="I120" t="n">
        <v>258516</v>
      </c>
      <c r="J120" t="n">
        <v>90.48</v>
      </c>
      <c r="K120" t="inlineStr">
        <is>
          <t>NSE</t>
        </is>
      </c>
      <c r="L120" t="inlineStr">
        <is>
          <t>QE-CLEARING</t>
        </is>
      </c>
      <c r="M120" t="inlineStr">
        <is>
          <t>T100119</t>
        </is>
      </c>
    </row>
    <row r="121">
      <c r="A121" t="inlineStr">
        <is>
          <t>T100120</t>
        </is>
      </c>
      <c r="B121" t="inlineStr">
        <is>
          <t>2026-06-30</t>
        </is>
      </c>
      <c r="C121" t="inlineStr">
        <is>
          <t>13:55:41</t>
        </is>
      </c>
      <c r="D121" t="inlineStr">
        <is>
          <t>HINDUNILVR</t>
        </is>
      </c>
      <c r="E121" t="inlineStr">
        <is>
          <t>Equity</t>
        </is>
      </c>
      <c r="F121" t="inlineStr">
        <is>
          <t>SELL</t>
        </is>
      </c>
      <c r="G121" t="n">
        <v>50</v>
      </c>
      <c r="H121" t="n">
        <v>2359.63</v>
      </c>
      <c r="I121" t="n">
        <v>117981.5</v>
      </c>
      <c r="J121" t="n">
        <v>41.29</v>
      </c>
      <c r="K121" t="inlineStr">
        <is>
          <t>BSE</t>
        </is>
      </c>
      <c r="L121" t="inlineStr">
        <is>
          <t>QE-CLEARING</t>
        </is>
      </c>
      <c r="M121" t="inlineStr">
        <is>
          <t>T100120</t>
        </is>
      </c>
    </row>
    <row r="122">
      <c r="A122" t="inlineStr">
        <is>
          <t>T100121</t>
        </is>
      </c>
      <c r="B122" t="inlineStr">
        <is>
          <t>2026-06-30</t>
        </is>
      </c>
      <c r="C122" t="inlineStr">
        <is>
          <t>12:37:58</t>
        </is>
      </c>
      <c r="D122" t="inlineStr">
        <is>
          <t>ITC</t>
        </is>
      </c>
      <c r="E122" t="inlineStr">
        <is>
          <t>Equity</t>
        </is>
      </c>
      <c r="F122" t="inlineStr">
        <is>
          <t>SELL</t>
        </is>
      </c>
      <c r="G122" t="n">
        <v>200</v>
      </c>
      <c r="H122" t="n">
        <v>447.52</v>
      </c>
      <c r="I122" t="n">
        <v>89504</v>
      </c>
      <c r="J122" t="n">
        <v>31.33</v>
      </c>
      <c r="K122" t="inlineStr">
        <is>
          <t>BSE</t>
        </is>
      </c>
      <c r="L122" t="inlineStr">
        <is>
          <t>QE-CLEARING</t>
        </is>
      </c>
      <c r="M122" t="inlineStr">
        <is>
          <t>T100121</t>
        </is>
      </c>
    </row>
    <row r="123">
      <c r="A123" t="inlineStr">
        <is>
          <t>T100122</t>
        </is>
      </c>
      <c r="B123" t="inlineStr">
        <is>
          <t>2026-06-30</t>
        </is>
      </c>
      <c r="C123" t="inlineStr">
        <is>
          <t>10:32:56</t>
        </is>
      </c>
      <c r="D123" t="inlineStr">
        <is>
          <t>BHARTIARTL</t>
        </is>
      </c>
      <c r="E123" t="inlineStr">
        <is>
          <t>Equity</t>
        </is>
      </c>
      <c r="F123" t="inlineStr">
        <is>
          <t>SELL</t>
        </is>
      </c>
      <c r="G123" t="n">
        <v>500</v>
      </c>
      <c r="H123" t="n">
        <v>1579.44</v>
      </c>
      <c r="I123" t="n">
        <v>789720</v>
      </c>
      <c r="J123" t="n">
        <v>276.4</v>
      </c>
      <c r="K123" t="inlineStr">
        <is>
          <t>BSE</t>
        </is>
      </c>
      <c r="L123" t="inlineStr">
        <is>
          <t>QE-CLEARING</t>
        </is>
      </c>
      <c r="M123" t="inlineStr">
        <is>
          <t>T100122</t>
        </is>
      </c>
    </row>
    <row r="124">
      <c r="A124" t="inlineStr">
        <is>
          <t>T100123</t>
        </is>
      </c>
      <c r="B124" t="inlineStr">
        <is>
          <t>2026-06-30</t>
        </is>
      </c>
      <c r="C124" t="inlineStr">
        <is>
          <t>14:54:32</t>
        </is>
      </c>
      <c r="D124" t="inlineStr">
        <is>
          <t>ITC</t>
        </is>
      </c>
      <c r="E124" t="inlineStr">
        <is>
          <t>Equity</t>
        </is>
      </c>
      <c r="F124" t="inlineStr">
        <is>
          <t>SELL</t>
        </is>
      </c>
      <c r="G124" t="n">
        <v>75</v>
      </c>
      <c r="H124" t="n">
        <v>448.38</v>
      </c>
      <c r="I124" t="n">
        <v>33628.5</v>
      </c>
      <c r="J124" t="n">
        <v>11.77</v>
      </c>
      <c r="K124" t="inlineStr">
        <is>
          <t>NSE</t>
        </is>
      </c>
      <c r="L124" t="inlineStr">
        <is>
          <t>QE-CLEARING</t>
        </is>
      </c>
      <c r="M124" t="inlineStr">
        <is>
          <t>T100123</t>
        </is>
      </c>
    </row>
    <row r="125">
      <c r="A125" t="inlineStr">
        <is>
          <t>T100124</t>
        </is>
      </c>
      <c r="B125" t="inlineStr">
        <is>
          <t>2026-06-30</t>
        </is>
      </c>
      <c r="C125" t="inlineStr">
        <is>
          <t>15:28:14</t>
        </is>
      </c>
      <c r="D125" t="inlineStr">
        <is>
          <t>ICICIBANK</t>
        </is>
      </c>
      <c r="E125" t="inlineStr">
        <is>
          <t>Equity</t>
        </is>
      </c>
      <c r="F125" t="inlineStr">
        <is>
          <t>BUY</t>
        </is>
      </c>
      <c r="G125" t="n">
        <v>50</v>
      </c>
      <c r="H125" t="n">
        <v>1244.55</v>
      </c>
      <c r="I125" t="n">
        <v>62227.5</v>
      </c>
      <c r="J125" t="n">
        <v>21.78</v>
      </c>
      <c r="K125" t="inlineStr">
        <is>
          <t>BSE</t>
        </is>
      </c>
      <c r="L125" t="inlineStr">
        <is>
          <t>QE-CLEARING</t>
        </is>
      </c>
      <c r="M125" t="inlineStr">
        <is>
          <t>T100124</t>
        </is>
      </c>
    </row>
    <row r="126">
      <c r="A126" t="inlineStr">
        <is>
          <t>T100125</t>
        </is>
      </c>
      <c r="B126" t="inlineStr">
        <is>
          <t>2026-06-30</t>
        </is>
      </c>
      <c r="C126" t="inlineStr">
        <is>
          <t>14:13:31</t>
        </is>
      </c>
      <c r="D126" t="inlineStr">
        <is>
          <t>ICICIBANK</t>
        </is>
      </c>
      <c r="E126" t="inlineStr">
        <is>
          <t>Equity</t>
        </is>
      </c>
      <c r="F126" t="inlineStr">
        <is>
          <t>BUY</t>
        </is>
      </c>
      <c r="G126" t="n">
        <v>100</v>
      </c>
      <c r="H126" t="n">
        <v>1239.62</v>
      </c>
      <c r="I126" t="n">
        <v>123962</v>
      </c>
      <c r="J126" t="n">
        <v>43.39</v>
      </c>
      <c r="K126" t="inlineStr">
        <is>
          <t>NSE</t>
        </is>
      </c>
      <c r="L126" t="inlineStr">
        <is>
          <t>QE-CLEARING</t>
        </is>
      </c>
      <c r="M126" t="inlineStr">
        <is>
          <t>T100125</t>
        </is>
      </c>
    </row>
    <row r="127">
      <c r="A127" t="inlineStr">
        <is>
          <t>T100126</t>
        </is>
      </c>
      <c r="B127" t="inlineStr">
        <is>
          <t>2026-06-30</t>
        </is>
      </c>
      <c r="C127" t="inlineStr">
        <is>
          <t>13:23:59</t>
        </is>
      </c>
      <c r="D127" t="inlineStr">
        <is>
          <t>ITC</t>
        </is>
      </c>
      <c r="E127" t="inlineStr">
        <is>
          <t>Equity</t>
        </is>
      </c>
      <c r="F127" t="inlineStr">
        <is>
          <t>BUY</t>
        </is>
      </c>
      <c r="G127" t="n">
        <v>200</v>
      </c>
      <c r="H127" t="n">
        <v>447.91</v>
      </c>
      <c r="I127" t="n">
        <v>89582</v>
      </c>
      <c r="J127" t="n">
        <v>31.35</v>
      </c>
      <c r="K127" t="inlineStr">
        <is>
          <t>BSE</t>
        </is>
      </c>
      <c r="L127" t="inlineStr">
        <is>
          <t>QE-CLEARING</t>
        </is>
      </c>
      <c r="M127" t="inlineStr">
        <is>
          <t>T100126</t>
        </is>
      </c>
    </row>
    <row r="128">
      <c r="A128" t="inlineStr">
        <is>
          <t>T100127</t>
        </is>
      </c>
      <c r="B128" t="inlineStr">
        <is>
          <t>2026-06-30</t>
        </is>
      </c>
      <c r="C128" t="inlineStr">
        <is>
          <t>11:57:03</t>
        </is>
      </c>
      <c r="D128" t="inlineStr">
        <is>
          <t>AXISBANK</t>
        </is>
      </c>
      <c r="E128" t="inlineStr">
        <is>
          <t>Equity</t>
        </is>
      </c>
      <c r="F128" t="inlineStr">
        <is>
          <t>SELL</t>
        </is>
      </c>
      <c r="G128" t="n">
        <v>250</v>
      </c>
      <c r="H128" t="n">
        <v>1127.68</v>
      </c>
      <c r="I128" t="n">
        <v>281920</v>
      </c>
      <c r="J128" t="n">
        <v>98.67</v>
      </c>
      <c r="K128" t="inlineStr">
        <is>
          <t>BSE</t>
        </is>
      </c>
      <c r="L128" t="inlineStr">
        <is>
          <t>QE-CLEARING</t>
        </is>
      </c>
      <c r="M128" t="inlineStr">
        <is>
          <t>T100127</t>
        </is>
      </c>
    </row>
    <row r="129">
      <c r="A129" t="inlineStr">
        <is>
          <t>T100128</t>
        </is>
      </c>
      <c r="B129" t="inlineStr">
        <is>
          <t>2026-06-30</t>
        </is>
      </c>
      <c r="C129" t="inlineStr">
        <is>
          <t>14:31:56</t>
        </is>
      </c>
      <c r="D129" t="inlineStr">
        <is>
          <t>TATAMOTORS</t>
        </is>
      </c>
      <c r="E129" t="inlineStr">
        <is>
          <t>Equity</t>
        </is>
      </c>
      <c r="F129" t="inlineStr">
        <is>
          <t>SELL</t>
        </is>
      </c>
      <c r="G129" t="n">
        <v>300</v>
      </c>
      <c r="H129" t="n">
        <v>984.8200000000001</v>
      </c>
      <c r="I129" t="n">
        <v>295446</v>
      </c>
      <c r="J129" t="n">
        <v>103.41</v>
      </c>
      <c r="K129" t="inlineStr">
        <is>
          <t>NSE</t>
        </is>
      </c>
      <c r="L129" t="inlineStr">
        <is>
          <t>QE-CLEARING</t>
        </is>
      </c>
      <c r="M129" t="inlineStr">
        <is>
          <t>T100128</t>
        </is>
      </c>
    </row>
    <row r="130">
      <c r="A130" t="inlineStr">
        <is>
          <t>T100129</t>
        </is>
      </c>
      <c r="B130" t="inlineStr">
        <is>
          <t>2026-06-30</t>
        </is>
      </c>
      <c r="C130" t="inlineStr">
        <is>
          <t>13:24:53</t>
        </is>
      </c>
      <c r="D130" t="inlineStr">
        <is>
          <t>AXISBANK</t>
        </is>
      </c>
      <c r="E130" t="inlineStr">
        <is>
          <t>Equity</t>
        </is>
      </c>
      <c r="F130" t="inlineStr">
        <is>
          <t>BUY</t>
        </is>
      </c>
      <c r="G130" t="n">
        <v>250</v>
      </c>
      <c r="H130" t="n">
        <v>1132.75</v>
      </c>
      <c r="I130" t="n">
        <v>283187.5</v>
      </c>
      <c r="J130" t="n">
        <v>99.12</v>
      </c>
      <c r="K130" t="inlineStr">
        <is>
          <t>NSE</t>
        </is>
      </c>
      <c r="L130" t="inlineStr">
        <is>
          <t>QE-CLEARING</t>
        </is>
      </c>
      <c r="M130" t="inlineStr">
        <is>
          <t>T100129</t>
        </is>
      </c>
    </row>
    <row r="131">
      <c r="A131" t="inlineStr">
        <is>
          <t>T100130</t>
        </is>
      </c>
      <c r="B131" t="inlineStr">
        <is>
          <t>2026-06-30</t>
        </is>
      </c>
      <c r="C131" t="inlineStr">
        <is>
          <t>11:56:26</t>
        </is>
      </c>
      <c r="D131" t="inlineStr">
        <is>
          <t>KOTAKBANK</t>
        </is>
      </c>
      <c r="E131" t="inlineStr">
        <is>
          <t>Equity</t>
        </is>
      </c>
      <c r="F131" t="inlineStr">
        <is>
          <t>BUY</t>
        </is>
      </c>
      <c r="G131" t="n">
        <v>300</v>
      </c>
      <c r="H131" t="n">
        <v>1790.25</v>
      </c>
      <c r="I131" t="n">
        <v>537075</v>
      </c>
      <c r="J131" t="n">
        <v>187.98</v>
      </c>
      <c r="K131" t="inlineStr">
        <is>
          <t>BSE</t>
        </is>
      </c>
      <c r="L131" t="inlineStr">
        <is>
          <t>QE-CLEARING</t>
        </is>
      </c>
      <c r="M131" t="inlineStr">
        <is>
          <t>T100130</t>
        </is>
      </c>
    </row>
    <row r="132">
      <c r="A132" t="inlineStr">
        <is>
          <t>T100131</t>
        </is>
      </c>
      <c r="B132" t="inlineStr">
        <is>
          <t>2026-06-30</t>
        </is>
      </c>
      <c r="C132" t="inlineStr">
        <is>
          <t>12:26:59</t>
        </is>
      </c>
      <c r="D132" t="inlineStr">
        <is>
          <t>TATAMOTORS</t>
        </is>
      </c>
      <c r="E132" t="inlineStr">
        <is>
          <t>Equity</t>
        </is>
      </c>
      <c r="F132" t="inlineStr">
        <is>
          <t>BUY</t>
        </is>
      </c>
      <c r="G132" t="n">
        <v>50</v>
      </c>
      <c r="H132" t="n">
        <v>988.38</v>
      </c>
      <c r="I132" t="n">
        <v>49419</v>
      </c>
      <c r="J132" t="n">
        <v>17.3</v>
      </c>
      <c r="K132" t="inlineStr">
        <is>
          <t>BSE</t>
        </is>
      </c>
      <c r="L132" t="inlineStr">
        <is>
          <t>QE-CLEARING</t>
        </is>
      </c>
      <c r="M132" t="inlineStr">
        <is>
          <t>T100131</t>
        </is>
      </c>
    </row>
    <row r="133">
      <c r="A133" t="inlineStr">
        <is>
          <t>T100132</t>
        </is>
      </c>
      <c r="B133" t="inlineStr">
        <is>
          <t>2026-06-30</t>
        </is>
      </c>
      <c r="C133" t="inlineStr">
        <is>
          <t>10:38:54</t>
        </is>
      </c>
      <c r="D133" t="inlineStr">
        <is>
          <t>SUNPHARMA</t>
        </is>
      </c>
      <c r="E133" t="inlineStr">
        <is>
          <t>Equity</t>
        </is>
      </c>
      <c r="F133" t="inlineStr">
        <is>
          <t>BUY</t>
        </is>
      </c>
      <c r="G133" t="n">
        <v>100</v>
      </c>
      <c r="H133" t="n">
        <v>1722.43</v>
      </c>
      <c r="I133" t="n">
        <v>172243</v>
      </c>
      <c r="J133" t="n">
        <v>60.29</v>
      </c>
      <c r="K133" t="inlineStr">
        <is>
          <t>BSE</t>
        </is>
      </c>
      <c r="L133" t="inlineStr">
        <is>
          <t>QE-CLEARING</t>
        </is>
      </c>
      <c r="M133" t="inlineStr">
        <is>
          <t>T100132</t>
        </is>
      </c>
    </row>
    <row r="134">
      <c r="A134" t="inlineStr">
        <is>
          <t>T100133</t>
        </is>
      </c>
      <c r="B134" t="inlineStr">
        <is>
          <t>2026-06-30</t>
        </is>
      </c>
      <c r="C134" t="inlineStr">
        <is>
          <t>15:43:10</t>
        </is>
      </c>
      <c r="D134" t="inlineStr">
        <is>
          <t>ICICIBANK</t>
        </is>
      </c>
      <c r="E134" t="inlineStr">
        <is>
          <t>Equity</t>
        </is>
      </c>
      <c r="F134" t="inlineStr">
        <is>
          <t>BUY</t>
        </is>
      </c>
      <c r="G134" t="n">
        <v>300</v>
      </c>
      <c r="H134" t="n">
        <v>1237.36</v>
      </c>
      <c r="I134" t="n">
        <v>371208</v>
      </c>
      <c r="J134" t="n">
        <v>129.92</v>
      </c>
      <c r="K134" t="inlineStr">
        <is>
          <t>NSE</t>
        </is>
      </c>
      <c r="L134" t="inlineStr">
        <is>
          <t>QE-CLEARING</t>
        </is>
      </c>
      <c r="M134" t="inlineStr">
        <is>
          <t>T100133</t>
        </is>
      </c>
    </row>
    <row r="135">
      <c r="A135" t="inlineStr">
        <is>
          <t>T100134</t>
        </is>
      </c>
      <c r="B135" t="inlineStr">
        <is>
          <t>2026-06-30</t>
        </is>
      </c>
      <c r="C135" t="inlineStr">
        <is>
          <t>14:18:24</t>
        </is>
      </c>
      <c r="D135" t="inlineStr">
        <is>
          <t>ITC</t>
        </is>
      </c>
      <c r="E135" t="inlineStr">
        <is>
          <t>Equity</t>
        </is>
      </c>
      <c r="F135" t="inlineStr">
        <is>
          <t>BUY</t>
        </is>
      </c>
      <c r="G135" t="n">
        <v>200</v>
      </c>
      <c r="H135" t="n">
        <v>448.32</v>
      </c>
      <c r="I135" t="n">
        <v>89664</v>
      </c>
      <c r="J135" t="n">
        <v>31.38</v>
      </c>
      <c r="K135" t="inlineStr">
        <is>
          <t>BSE</t>
        </is>
      </c>
      <c r="L135" t="inlineStr">
        <is>
          <t>QE-CLEARING</t>
        </is>
      </c>
      <c r="M135" t="inlineStr">
        <is>
          <t>T100134</t>
        </is>
      </c>
    </row>
    <row r="136">
      <c r="A136" t="inlineStr">
        <is>
          <t>T100135</t>
        </is>
      </c>
      <c r="B136" t="inlineStr">
        <is>
          <t>2026-06-30</t>
        </is>
      </c>
      <c r="C136" t="inlineStr">
        <is>
          <t>11:31:00</t>
        </is>
      </c>
      <c r="D136" t="inlineStr">
        <is>
          <t>SBIN</t>
        </is>
      </c>
      <c r="E136" t="inlineStr">
        <is>
          <t>Equity</t>
        </is>
      </c>
      <c r="F136" t="inlineStr">
        <is>
          <t>SELL</t>
        </is>
      </c>
      <c r="G136" t="n">
        <v>200</v>
      </c>
      <c r="H136" t="n">
        <v>817.66</v>
      </c>
      <c r="I136" t="n">
        <v>163532</v>
      </c>
      <c r="J136" t="n">
        <v>57.24</v>
      </c>
      <c r="K136" t="inlineStr">
        <is>
          <t>NSE</t>
        </is>
      </c>
      <c r="L136" t="inlineStr">
        <is>
          <t>QE-CLEARING</t>
        </is>
      </c>
      <c r="M136" t="inlineStr">
        <is>
          <t>T100135</t>
        </is>
      </c>
    </row>
    <row r="137">
      <c r="A137" t="inlineStr">
        <is>
          <t>T100136</t>
        </is>
      </c>
      <c r="B137" t="inlineStr">
        <is>
          <t>2026-06-30</t>
        </is>
      </c>
      <c r="C137" t="inlineStr">
        <is>
          <t>15:11:04</t>
        </is>
      </c>
      <c r="D137" t="inlineStr">
        <is>
          <t>SUNPHARMA</t>
        </is>
      </c>
      <c r="E137" t="inlineStr">
        <is>
          <t>Equity</t>
        </is>
      </c>
      <c r="F137" t="inlineStr">
        <is>
          <t>SELL</t>
        </is>
      </c>
      <c r="G137" t="n">
        <v>75</v>
      </c>
      <c r="H137" t="n">
        <v>1724.91</v>
      </c>
      <c r="I137" t="n">
        <v>129368.25</v>
      </c>
      <c r="J137" t="n">
        <v>45.28</v>
      </c>
      <c r="K137" t="inlineStr">
        <is>
          <t>NSE</t>
        </is>
      </c>
      <c r="L137" t="inlineStr">
        <is>
          <t>QE-CLEARING</t>
        </is>
      </c>
      <c r="M137" t="inlineStr">
        <is>
          <t>T100136</t>
        </is>
      </c>
    </row>
    <row r="138">
      <c r="A138" t="inlineStr">
        <is>
          <t>T100137</t>
        </is>
      </c>
      <c r="B138" t="inlineStr">
        <is>
          <t>2026-06-30</t>
        </is>
      </c>
      <c r="C138" t="inlineStr">
        <is>
          <t>13:35:24</t>
        </is>
      </c>
      <c r="D138" t="inlineStr">
        <is>
          <t>ICICIBANK</t>
        </is>
      </c>
      <c r="E138" t="inlineStr">
        <is>
          <t>Equity</t>
        </is>
      </c>
      <c r="F138" t="inlineStr">
        <is>
          <t>BUY</t>
        </is>
      </c>
      <c r="G138" t="n">
        <v>250</v>
      </c>
      <c r="H138" t="n">
        <v>1235.71</v>
      </c>
      <c r="I138" t="n">
        <v>308927.5</v>
      </c>
      <c r="J138" t="n">
        <v>108.12</v>
      </c>
      <c r="K138" t="inlineStr">
        <is>
          <t>BSE</t>
        </is>
      </c>
      <c r="L138" t="inlineStr">
        <is>
          <t>QE-CLEARING</t>
        </is>
      </c>
      <c r="M138" t="inlineStr">
        <is>
          <t>T100137</t>
        </is>
      </c>
    </row>
    <row r="139">
      <c r="A139" t="inlineStr">
        <is>
          <t>T100138</t>
        </is>
      </c>
      <c r="B139" t="inlineStr">
        <is>
          <t>2026-06-30</t>
        </is>
      </c>
      <c r="C139" t="inlineStr">
        <is>
          <t>15:30:20</t>
        </is>
      </c>
      <c r="D139" t="inlineStr">
        <is>
          <t>LT</t>
        </is>
      </c>
      <c r="E139" t="inlineStr">
        <is>
          <t>Equity</t>
        </is>
      </c>
      <c r="F139" t="inlineStr">
        <is>
          <t>SELL</t>
        </is>
      </c>
      <c r="G139" t="n">
        <v>250</v>
      </c>
      <c r="H139" t="n">
        <v>3610.45</v>
      </c>
      <c r="I139" t="n">
        <v>902612.5</v>
      </c>
      <c r="J139" t="n">
        <v>315.91</v>
      </c>
      <c r="K139" t="inlineStr">
        <is>
          <t>BSE</t>
        </is>
      </c>
      <c r="L139" t="inlineStr">
        <is>
          <t>QE-CLEARING</t>
        </is>
      </c>
      <c r="M139" t="inlineStr">
        <is>
          <t>T100138</t>
        </is>
      </c>
    </row>
    <row r="140">
      <c r="A140" t="inlineStr">
        <is>
          <t>T100139</t>
        </is>
      </c>
      <c r="B140" t="inlineStr">
        <is>
          <t>2026-06-30</t>
        </is>
      </c>
      <c r="C140" t="inlineStr">
        <is>
          <t>15:05:34</t>
        </is>
      </c>
      <c r="D140" t="inlineStr">
        <is>
          <t>SBIN</t>
        </is>
      </c>
      <c r="E140" t="inlineStr">
        <is>
          <t>Equity</t>
        </is>
      </c>
      <c r="F140" t="inlineStr">
        <is>
          <t>SELL</t>
        </is>
      </c>
      <c r="G140" t="n">
        <v>250</v>
      </c>
      <c r="H140" t="n">
        <v>814.83</v>
      </c>
      <c r="I140" t="n">
        <v>203707.5</v>
      </c>
      <c r="J140" t="n">
        <v>71.3</v>
      </c>
      <c r="K140" t="inlineStr">
        <is>
          <t>NSE</t>
        </is>
      </c>
      <c r="L140" t="inlineStr">
        <is>
          <t>QE-CLEARING</t>
        </is>
      </c>
      <c r="M140" t="inlineStr">
        <is>
          <t>T100139</t>
        </is>
      </c>
    </row>
    <row r="141">
      <c r="A141" t="inlineStr">
        <is>
          <t>T100140</t>
        </is>
      </c>
      <c r="B141" t="inlineStr">
        <is>
          <t>2026-06-30</t>
        </is>
      </c>
      <c r="C141" t="inlineStr">
        <is>
          <t>10:48:29</t>
        </is>
      </c>
      <c r="D141" t="inlineStr">
        <is>
          <t>SBIN</t>
        </is>
      </c>
      <c r="E141" t="inlineStr">
        <is>
          <t>Equity</t>
        </is>
      </c>
      <c r="F141" t="inlineStr">
        <is>
          <t>BUY</t>
        </is>
      </c>
      <c r="G141" t="n">
        <v>250</v>
      </c>
      <c r="H141" t="n">
        <v>814.83</v>
      </c>
      <c r="I141" t="n">
        <v>203707.5</v>
      </c>
      <c r="J141" t="n">
        <v>71.3</v>
      </c>
      <c r="K141" t="inlineStr">
        <is>
          <t>NSE</t>
        </is>
      </c>
      <c r="L141" t="inlineStr">
        <is>
          <t>QE-CLEARING</t>
        </is>
      </c>
      <c r="M141" t="inlineStr">
        <is>
          <t>T100140</t>
        </is>
      </c>
    </row>
    <row r="142">
      <c r="A142" t="inlineStr">
        <is>
          <t>T100141</t>
        </is>
      </c>
      <c r="B142" t="inlineStr">
        <is>
          <t>2026-06-30</t>
        </is>
      </c>
      <c r="C142" t="inlineStr">
        <is>
          <t>12:36:49</t>
        </is>
      </c>
      <c r="D142" t="inlineStr">
        <is>
          <t>SBIN</t>
        </is>
      </c>
      <c r="E142" t="inlineStr">
        <is>
          <t>Equity</t>
        </is>
      </c>
      <c r="F142" t="inlineStr">
        <is>
          <t>SELL</t>
        </is>
      </c>
      <c r="G142" t="n">
        <v>150</v>
      </c>
      <c r="H142" t="n">
        <v>814.03</v>
      </c>
      <c r="I142" t="n">
        <v>122104.5</v>
      </c>
      <c r="J142" t="n">
        <v>42.74</v>
      </c>
      <c r="K142" t="inlineStr">
        <is>
          <t>NSE</t>
        </is>
      </c>
      <c r="L142" t="inlineStr">
        <is>
          <t>QE-CLEARING</t>
        </is>
      </c>
      <c r="M142" t="inlineStr">
        <is>
          <t>T100141</t>
        </is>
      </c>
    </row>
    <row r="143">
      <c r="A143" t="inlineStr">
        <is>
          <t>T100142</t>
        </is>
      </c>
      <c r="B143" t="inlineStr">
        <is>
          <t>2026-06-30</t>
        </is>
      </c>
      <c r="C143" t="inlineStr">
        <is>
          <t>10:28:16</t>
        </is>
      </c>
      <c r="D143" t="inlineStr">
        <is>
          <t>MARUTI</t>
        </is>
      </c>
      <c r="E143" t="inlineStr">
        <is>
          <t>Equity</t>
        </is>
      </c>
      <c r="F143" t="inlineStr">
        <is>
          <t>BUY</t>
        </is>
      </c>
      <c r="G143" t="n">
        <v>50</v>
      </c>
      <c r="H143" t="n">
        <v>12668.43</v>
      </c>
      <c r="I143" t="n">
        <v>633421.5</v>
      </c>
      <c r="J143" t="n">
        <v>221.7</v>
      </c>
      <c r="K143" t="inlineStr">
        <is>
          <t>NSE</t>
        </is>
      </c>
      <c r="L143" t="inlineStr">
        <is>
          <t>QE-CLEARING</t>
        </is>
      </c>
      <c r="M143" t="inlineStr">
        <is>
          <t>T100142</t>
        </is>
      </c>
    </row>
    <row r="144">
      <c r="A144" t="inlineStr">
        <is>
          <t>T100143</t>
        </is>
      </c>
      <c r="B144" t="inlineStr">
        <is>
          <t>2026-06-30</t>
        </is>
      </c>
      <c r="C144" t="inlineStr">
        <is>
          <t>15:24:28</t>
        </is>
      </c>
      <c r="D144" t="inlineStr">
        <is>
          <t>ITC</t>
        </is>
      </c>
      <c r="E144" t="inlineStr">
        <is>
          <t>Equity</t>
        </is>
      </c>
      <c r="F144" t="inlineStr">
        <is>
          <t>BUY</t>
        </is>
      </c>
      <c r="G144" t="n">
        <v>250</v>
      </c>
      <c r="H144" t="n">
        <v>446.36</v>
      </c>
      <c r="I144" t="n">
        <v>111590</v>
      </c>
      <c r="J144" t="n">
        <v>39.06</v>
      </c>
      <c r="K144" t="inlineStr">
        <is>
          <t>BSE</t>
        </is>
      </c>
      <c r="L144" t="inlineStr">
        <is>
          <t>QE-CLEARING</t>
        </is>
      </c>
      <c r="M144" t="inlineStr">
        <is>
          <t>T100143</t>
        </is>
      </c>
    </row>
    <row r="145">
      <c r="A145" t="inlineStr">
        <is>
          <t>T100144</t>
        </is>
      </c>
      <c r="B145" t="inlineStr">
        <is>
          <t>2026-06-30</t>
        </is>
      </c>
      <c r="C145" t="inlineStr">
        <is>
          <t>09:47:18</t>
        </is>
      </c>
      <c r="D145" t="inlineStr">
        <is>
          <t>ITC</t>
        </is>
      </c>
      <c r="E145" t="inlineStr">
        <is>
          <t>Equity</t>
        </is>
      </c>
      <c r="F145" t="inlineStr">
        <is>
          <t>BUY</t>
        </is>
      </c>
      <c r="G145" t="n">
        <v>150</v>
      </c>
      <c r="H145" t="n">
        <v>446.5</v>
      </c>
      <c r="I145" t="n">
        <v>66975</v>
      </c>
      <c r="J145" t="n">
        <v>23.44</v>
      </c>
      <c r="K145" t="inlineStr">
        <is>
          <t>BSE</t>
        </is>
      </c>
      <c r="L145" t="inlineStr">
        <is>
          <t>QE-CLEARING</t>
        </is>
      </c>
      <c r="M145" t="inlineStr">
        <is>
          <t>T100144</t>
        </is>
      </c>
    </row>
    <row r="146">
      <c r="A146" t="inlineStr">
        <is>
          <t>T100145</t>
        </is>
      </c>
      <c r="B146" t="inlineStr">
        <is>
          <t>2026-06-30</t>
        </is>
      </c>
      <c r="C146" t="inlineStr">
        <is>
          <t>09:08:13</t>
        </is>
      </c>
      <c r="D146" t="inlineStr">
        <is>
          <t>SBIN</t>
        </is>
      </c>
      <c r="E146" t="inlineStr">
        <is>
          <t>Equity</t>
        </is>
      </c>
      <c r="F146" t="inlineStr">
        <is>
          <t>BUY</t>
        </is>
      </c>
      <c r="G146" t="n">
        <v>100</v>
      </c>
      <c r="H146" t="n">
        <v>816.2</v>
      </c>
      <c r="I146" t="n">
        <v>81620</v>
      </c>
      <c r="J146" t="n">
        <v>28.57</v>
      </c>
      <c r="K146" t="inlineStr">
        <is>
          <t>NSE</t>
        </is>
      </c>
      <c r="L146" t="inlineStr">
        <is>
          <t>QE-CLEARING</t>
        </is>
      </c>
      <c r="M146" t="inlineStr">
        <is>
          <t>T100145</t>
        </is>
      </c>
    </row>
    <row r="147">
      <c r="A147" t="inlineStr">
        <is>
          <t>T100146</t>
        </is>
      </c>
      <c r="B147" t="inlineStr">
        <is>
          <t>2026-06-30</t>
        </is>
      </c>
      <c r="C147" t="inlineStr">
        <is>
          <t>09:43:53</t>
        </is>
      </c>
      <c r="D147" t="inlineStr">
        <is>
          <t>TCS</t>
        </is>
      </c>
      <c r="E147" t="inlineStr">
        <is>
          <t>Equity</t>
        </is>
      </c>
      <c r="F147" t="inlineStr">
        <is>
          <t>BUY</t>
        </is>
      </c>
      <c r="G147" t="n">
        <v>200</v>
      </c>
      <c r="H147" t="n">
        <v>3883.68</v>
      </c>
      <c r="I147" t="n">
        <v>776736</v>
      </c>
      <c r="J147" t="n">
        <v>271.86</v>
      </c>
      <c r="K147" t="inlineStr">
        <is>
          <t>BSE</t>
        </is>
      </c>
      <c r="L147" t="inlineStr">
        <is>
          <t>QE-CLEARING</t>
        </is>
      </c>
      <c r="M147" t="inlineStr">
        <is>
          <t>T100146</t>
        </is>
      </c>
    </row>
    <row r="148">
      <c r="A148" t="inlineStr">
        <is>
          <t>T100147</t>
        </is>
      </c>
      <c r="B148" t="inlineStr">
        <is>
          <t>2026-06-30</t>
        </is>
      </c>
      <c r="C148" t="inlineStr">
        <is>
          <t>13:29:58</t>
        </is>
      </c>
      <c r="D148" t="inlineStr">
        <is>
          <t>LT</t>
        </is>
      </c>
      <c r="E148" t="inlineStr">
        <is>
          <t>Equity</t>
        </is>
      </c>
      <c r="F148" t="inlineStr">
        <is>
          <t>BUY</t>
        </is>
      </c>
      <c r="G148" t="n">
        <v>300</v>
      </c>
      <c r="H148" t="n">
        <v>3608.71</v>
      </c>
      <c r="I148" t="n">
        <v>1082613</v>
      </c>
      <c r="J148" t="n">
        <v>378.91</v>
      </c>
      <c r="K148" t="inlineStr">
        <is>
          <t>BSE</t>
        </is>
      </c>
      <c r="L148" t="inlineStr">
        <is>
          <t>QE-CLEARING</t>
        </is>
      </c>
      <c r="M148" t="inlineStr">
        <is>
          <t>T100147</t>
        </is>
      </c>
    </row>
    <row r="149">
      <c r="A149" t="inlineStr">
        <is>
          <t>T100148</t>
        </is>
      </c>
      <c r="B149" t="inlineStr">
        <is>
          <t>2026-06-30</t>
        </is>
      </c>
      <c r="C149" t="inlineStr">
        <is>
          <t>14:39:26</t>
        </is>
      </c>
      <c r="D149" t="inlineStr">
        <is>
          <t>TATAMOTORS</t>
        </is>
      </c>
      <c r="E149" t="inlineStr">
        <is>
          <t>Equity</t>
        </is>
      </c>
      <c r="F149" t="inlineStr">
        <is>
          <t>BUY</t>
        </is>
      </c>
      <c r="G149" t="n">
        <v>200</v>
      </c>
      <c r="H149" t="n">
        <v>987.62</v>
      </c>
      <c r="I149" t="n">
        <v>197524</v>
      </c>
      <c r="J149" t="n">
        <v>69.13</v>
      </c>
      <c r="K149" t="inlineStr">
        <is>
          <t>NSE</t>
        </is>
      </c>
      <c r="L149" t="inlineStr">
        <is>
          <t>QE-CLEARING</t>
        </is>
      </c>
      <c r="M149" t="inlineStr">
        <is>
          <t>T100148</t>
        </is>
      </c>
    </row>
    <row r="150">
      <c r="A150" t="inlineStr">
        <is>
          <t>T100149</t>
        </is>
      </c>
      <c r="B150" t="inlineStr">
        <is>
          <t>2026-06-30</t>
        </is>
      </c>
      <c r="C150" t="inlineStr">
        <is>
          <t>11:24:16</t>
        </is>
      </c>
      <c r="D150" t="inlineStr">
        <is>
          <t>BAJFINANCE</t>
        </is>
      </c>
      <c r="E150" t="inlineStr">
        <is>
          <t>Equity</t>
        </is>
      </c>
      <c r="F150" t="inlineStr">
        <is>
          <t>SELL</t>
        </is>
      </c>
      <c r="G150" t="n">
        <v>200</v>
      </c>
      <c r="H150" t="n">
        <v>7186.46</v>
      </c>
      <c r="I150" t="n">
        <v>1437292</v>
      </c>
      <c r="J150" t="n">
        <v>503.05</v>
      </c>
      <c r="K150" t="inlineStr">
        <is>
          <t>NSE</t>
        </is>
      </c>
      <c r="L150" t="inlineStr">
        <is>
          <t>QE-CLEARING</t>
        </is>
      </c>
      <c r="M150" t="inlineStr">
        <is>
          <t>T100149</t>
        </is>
      </c>
    </row>
    <row r="151">
      <c r="A151" t="inlineStr">
        <is>
          <t>T100150</t>
        </is>
      </c>
      <c r="B151" t="inlineStr">
        <is>
          <t>2026-06-30</t>
        </is>
      </c>
      <c r="C151" t="inlineStr">
        <is>
          <t>09:28:21</t>
        </is>
      </c>
      <c r="D151" t="inlineStr">
        <is>
          <t>RELIANCE</t>
        </is>
      </c>
      <c r="E151" t="inlineStr">
        <is>
          <t>Equity</t>
        </is>
      </c>
      <c r="F151" t="inlineStr">
        <is>
          <t>BUY</t>
        </is>
      </c>
      <c r="G151" t="n">
        <v>300</v>
      </c>
      <c r="H151" t="n">
        <v>1420.61</v>
      </c>
      <c r="I151" t="n">
        <v>426183</v>
      </c>
      <c r="J151" t="n">
        <v>149.16</v>
      </c>
      <c r="K151" t="inlineStr">
        <is>
          <t>NSE</t>
        </is>
      </c>
      <c r="L151" t="inlineStr">
        <is>
          <t>QE-CLEARING</t>
        </is>
      </c>
      <c r="M151" t="inlineStr">
        <is>
          <t>T100150</t>
        </is>
      </c>
    </row>
    <row r="152">
      <c r="A152" t="inlineStr">
        <is>
          <t>T100151</t>
        </is>
      </c>
      <c r="B152" t="inlineStr">
        <is>
          <t>2026-06-30</t>
        </is>
      </c>
      <c r="C152" t="inlineStr">
        <is>
          <t>14:44:41</t>
        </is>
      </c>
      <c r="D152" t="inlineStr">
        <is>
          <t>ITC</t>
        </is>
      </c>
      <c r="E152" t="inlineStr">
        <is>
          <t>Equity</t>
        </is>
      </c>
      <c r="F152" t="inlineStr">
        <is>
          <t>BUY</t>
        </is>
      </c>
      <c r="G152" t="n">
        <v>100</v>
      </c>
      <c r="H152" t="n">
        <v>447.99</v>
      </c>
      <c r="I152" t="n">
        <v>44799</v>
      </c>
      <c r="J152" t="n">
        <v>15.68</v>
      </c>
      <c r="K152" t="inlineStr">
        <is>
          <t>NSE</t>
        </is>
      </c>
      <c r="L152" t="inlineStr">
        <is>
          <t>QE-CLEARING</t>
        </is>
      </c>
      <c r="M152" t="inlineStr">
        <is>
          <t>T100151</t>
        </is>
      </c>
    </row>
    <row r="153">
      <c r="A153" t="inlineStr">
        <is>
          <t>T100152</t>
        </is>
      </c>
      <c r="B153" t="inlineStr">
        <is>
          <t>2026-06-30</t>
        </is>
      </c>
      <c r="C153" t="inlineStr">
        <is>
          <t>13:25:16</t>
        </is>
      </c>
      <c r="D153" t="inlineStr">
        <is>
          <t>ICICIBANK</t>
        </is>
      </c>
      <c r="E153" t="inlineStr">
        <is>
          <t>Equity</t>
        </is>
      </c>
      <c r="F153" t="inlineStr">
        <is>
          <t>SELL</t>
        </is>
      </c>
      <c r="G153" t="n">
        <v>300</v>
      </c>
      <c r="H153" t="n">
        <v>1244.71</v>
      </c>
      <c r="I153" t="n">
        <v>373413</v>
      </c>
      <c r="J153" t="n">
        <v>130.69</v>
      </c>
      <c r="K153" t="inlineStr">
        <is>
          <t>BSE</t>
        </is>
      </c>
      <c r="L153" t="inlineStr">
        <is>
          <t>QE-CLEARING</t>
        </is>
      </c>
      <c r="M153" t="inlineStr">
        <is>
          <t>T100152</t>
        </is>
      </c>
    </row>
    <row r="154">
      <c r="A154" t="inlineStr">
        <is>
          <t>T100153</t>
        </is>
      </c>
      <c r="B154" t="inlineStr">
        <is>
          <t>2026-06-30</t>
        </is>
      </c>
      <c r="C154" t="inlineStr">
        <is>
          <t>09:19:52</t>
        </is>
      </c>
      <c r="D154" t="inlineStr">
        <is>
          <t>BHARTIARTL</t>
        </is>
      </c>
      <c r="E154" t="inlineStr">
        <is>
          <t>Equity</t>
        </is>
      </c>
      <c r="F154" t="inlineStr">
        <is>
          <t>SELL</t>
        </is>
      </c>
      <c r="G154" t="n">
        <v>200</v>
      </c>
      <c r="H154" t="n">
        <v>1579.4</v>
      </c>
      <c r="I154" t="n">
        <v>315880</v>
      </c>
      <c r="J154" t="n">
        <v>110.56</v>
      </c>
      <c r="K154" t="inlineStr">
        <is>
          <t>NSE</t>
        </is>
      </c>
      <c r="L154" t="inlineStr">
        <is>
          <t>QE-CLEARING</t>
        </is>
      </c>
      <c r="M154" t="inlineStr">
        <is>
          <t>T100153</t>
        </is>
      </c>
    </row>
    <row r="155">
      <c r="A155" t="inlineStr">
        <is>
          <t>T100154</t>
        </is>
      </c>
      <c r="B155" t="inlineStr">
        <is>
          <t>2026-06-30</t>
        </is>
      </c>
      <c r="C155" t="inlineStr">
        <is>
          <t>13:01:39</t>
        </is>
      </c>
      <c r="D155" t="inlineStr">
        <is>
          <t>ICICIBANK</t>
        </is>
      </c>
      <c r="E155" t="inlineStr">
        <is>
          <t>Equity</t>
        </is>
      </c>
      <c r="F155" t="inlineStr">
        <is>
          <t>SELL</t>
        </is>
      </c>
      <c r="G155" t="n">
        <v>50</v>
      </c>
      <c r="H155" t="n">
        <v>1244.78</v>
      </c>
      <c r="I155" t="n">
        <v>62239</v>
      </c>
      <c r="J155" t="n">
        <v>21.78</v>
      </c>
      <c r="K155" t="inlineStr">
        <is>
          <t>NSE</t>
        </is>
      </c>
      <c r="L155" t="inlineStr">
        <is>
          <t>QE-CLEARING</t>
        </is>
      </c>
      <c r="M155" t="inlineStr">
        <is>
          <t>T100154</t>
        </is>
      </c>
    </row>
    <row r="156">
      <c r="A156" t="inlineStr">
        <is>
          <t>T100155</t>
        </is>
      </c>
      <c r="B156" t="inlineStr">
        <is>
          <t>2026-06-30</t>
        </is>
      </c>
      <c r="C156" t="inlineStr">
        <is>
          <t>15:40:06</t>
        </is>
      </c>
      <c r="D156" t="inlineStr">
        <is>
          <t>RELIANCE</t>
        </is>
      </c>
      <c r="E156" t="inlineStr">
        <is>
          <t>Equity</t>
        </is>
      </c>
      <c r="F156" t="inlineStr">
        <is>
          <t>BUY</t>
        </is>
      </c>
      <c r="G156" t="n">
        <v>500</v>
      </c>
      <c r="H156" t="n">
        <v>1415.98</v>
      </c>
      <c r="I156" t="n">
        <v>707990</v>
      </c>
      <c r="J156" t="n">
        <v>247.8</v>
      </c>
      <c r="K156" t="inlineStr">
        <is>
          <t>BSE</t>
        </is>
      </c>
      <c r="L156" t="inlineStr">
        <is>
          <t>QE-CLEARING</t>
        </is>
      </c>
      <c r="M156" t="inlineStr">
        <is>
          <t>T100155</t>
        </is>
      </c>
    </row>
    <row r="157">
      <c r="A157" t="inlineStr">
        <is>
          <t>T100156</t>
        </is>
      </c>
      <c r="B157" t="inlineStr">
        <is>
          <t>2026-06-30</t>
        </is>
      </c>
      <c r="C157" t="inlineStr">
        <is>
          <t>09:34:44</t>
        </is>
      </c>
      <c r="D157" t="inlineStr">
        <is>
          <t>RELIANCE</t>
        </is>
      </c>
      <c r="E157" t="inlineStr">
        <is>
          <t>Equity</t>
        </is>
      </c>
      <c r="F157" t="inlineStr">
        <is>
          <t>SELL</t>
        </is>
      </c>
      <c r="G157" t="n">
        <v>100</v>
      </c>
      <c r="H157" t="n">
        <v>1417.97</v>
      </c>
      <c r="I157" t="n">
        <v>141797</v>
      </c>
      <c r="J157" t="n">
        <v>49.63</v>
      </c>
      <c r="K157" t="inlineStr">
        <is>
          <t>BSE</t>
        </is>
      </c>
      <c r="L157" t="inlineStr">
        <is>
          <t>QE-CLEARING</t>
        </is>
      </c>
      <c r="M157" t="inlineStr">
        <is>
          <t>T100156</t>
        </is>
      </c>
    </row>
    <row r="158">
      <c r="A158" t="inlineStr">
        <is>
          <t>T100157</t>
        </is>
      </c>
      <c r="B158" t="inlineStr">
        <is>
          <t>2026-06-30</t>
        </is>
      </c>
      <c r="C158" t="inlineStr">
        <is>
          <t>12:08:26</t>
        </is>
      </c>
      <c r="D158" t="inlineStr">
        <is>
          <t>RELIANCE</t>
        </is>
      </c>
      <c r="E158" t="inlineStr">
        <is>
          <t>Equity</t>
        </is>
      </c>
      <c r="F158" t="inlineStr">
        <is>
          <t>BUY</t>
        </is>
      </c>
      <c r="G158" t="n">
        <v>100</v>
      </c>
      <c r="H158" t="n">
        <v>1424.35</v>
      </c>
      <c r="I158" t="n">
        <v>142435</v>
      </c>
      <c r="J158" t="n">
        <v>49.85</v>
      </c>
      <c r="K158" t="inlineStr">
        <is>
          <t>NSE</t>
        </is>
      </c>
      <c r="L158" t="inlineStr">
        <is>
          <t>QE-CLEARING</t>
        </is>
      </c>
      <c r="M158" t="inlineStr">
        <is>
          <t>T100157</t>
        </is>
      </c>
    </row>
    <row r="159">
      <c r="A159" t="inlineStr">
        <is>
          <t>T100158</t>
        </is>
      </c>
      <c r="B159" t="inlineStr">
        <is>
          <t>2026-06-30</t>
        </is>
      </c>
      <c r="C159" t="inlineStr">
        <is>
          <t>13:07:08</t>
        </is>
      </c>
      <c r="D159" t="inlineStr">
        <is>
          <t>AXISBANK</t>
        </is>
      </c>
      <c r="E159" t="inlineStr">
        <is>
          <t>Equity</t>
        </is>
      </c>
      <c r="F159" t="inlineStr">
        <is>
          <t>BUY</t>
        </is>
      </c>
      <c r="G159" t="n">
        <v>200</v>
      </c>
      <c r="H159" t="n">
        <v>1132.81</v>
      </c>
      <c r="I159" t="n">
        <v>226562</v>
      </c>
      <c r="J159" t="n">
        <v>79.3</v>
      </c>
      <c r="K159" t="inlineStr">
        <is>
          <t>BSE</t>
        </is>
      </c>
      <c r="L159" t="inlineStr">
        <is>
          <t>QE-CLEARING</t>
        </is>
      </c>
      <c r="M159" t="inlineStr">
        <is>
          <t>T100158</t>
        </is>
      </c>
    </row>
    <row r="160">
      <c r="A160" t="inlineStr">
        <is>
          <t>T100159</t>
        </is>
      </c>
      <c r="B160" t="inlineStr">
        <is>
          <t>2026-06-30</t>
        </is>
      </c>
      <c r="C160" t="inlineStr">
        <is>
          <t>15:18:06</t>
        </is>
      </c>
      <c r="D160" t="inlineStr">
        <is>
          <t>LT</t>
        </is>
      </c>
      <c r="E160" t="inlineStr">
        <is>
          <t>Equity</t>
        </is>
      </c>
      <c r="F160" t="inlineStr">
        <is>
          <t>BUY</t>
        </is>
      </c>
      <c r="G160" t="n">
        <v>300</v>
      </c>
      <c r="H160" t="n">
        <v>3614.24</v>
      </c>
      <c r="I160" t="n">
        <v>1084272</v>
      </c>
      <c r="J160" t="n">
        <v>379.5</v>
      </c>
      <c r="K160" t="inlineStr">
        <is>
          <t>NSE</t>
        </is>
      </c>
      <c r="L160" t="inlineStr">
        <is>
          <t>QE-CLEARING</t>
        </is>
      </c>
      <c r="M160" t="inlineStr">
        <is>
          <t>T100159</t>
        </is>
      </c>
    </row>
    <row r="161">
      <c r="A161" t="inlineStr">
        <is>
          <t>T100160</t>
        </is>
      </c>
      <c r="B161" t="inlineStr">
        <is>
          <t>2026-06-30</t>
        </is>
      </c>
      <c r="C161" t="inlineStr">
        <is>
          <t>14:36:50</t>
        </is>
      </c>
      <c r="D161" t="inlineStr">
        <is>
          <t>ICICIBANK</t>
        </is>
      </c>
      <c r="E161" t="inlineStr">
        <is>
          <t>Equity</t>
        </is>
      </c>
      <c r="F161" t="inlineStr">
        <is>
          <t>BUY</t>
        </is>
      </c>
      <c r="G161" t="n">
        <v>100</v>
      </c>
      <c r="H161" t="n">
        <v>1236.93</v>
      </c>
      <c r="I161" t="n">
        <v>123693</v>
      </c>
      <c r="J161" t="n">
        <v>43.29</v>
      </c>
      <c r="K161" t="inlineStr">
        <is>
          <t>BSE</t>
        </is>
      </c>
      <c r="L161" t="inlineStr">
        <is>
          <t>QE-CLEARING</t>
        </is>
      </c>
      <c r="M161" t="inlineStr">
        <is>
          <t>T100160</t>
        </is>
      </c>
    </row>
    <row r="162">
      <c r="A162" t="inlineStr">
        <is>
          <t>T100161</t>
        </is>
      </c>
      <c r="B162" t="inlineStr">
        <is>
          <t>2026-06-30</t>
        </is>
      </c>
      <c r="C162" t="inlineStr">
        <is>
          <t>15:22:31</t>
        </is>
      </c>
      <c r="D162" t="inlineStr">
        <is>
          <t>BAJFINANCE</t>
        </is>
      </c>
      <c r="E162" t="inlineStr">
        <is>
          <t>Equity</t>
        </is>
      </c>
      <c r="F162" t="inlineStr">
        <is>
          <t>BUY</t>
        </is>
      </c>
      <c r="G162" t="n">
        <v>500</v>
      </c>
      <c r="H162" t="n">
        <v>7187.4</v>
      </c>
      <c r="I162" t="n">
        <v>3593700</v>
      </c>
      <c r="J162" t="n">
        <v>1257.8</v>
      </c>
      <c r="K162" t="inlineStr">
        <is>
          <t>NSE</t>
        </is>
      </c>
      <c r="L162" t="inlineStr">
        <is>
          <t>QE-CLEARING</t>
        </is>
      </c>
      <c r="M162" t="inlineStr">
        <is>
          <t>T100161</t>
        </is>
      </c>
    </row>
    <row r="163">
      <c r="A163" t="inlineStr">
        <is>
          <t>T100162</t>
        </is>
      </c>
      <c r="B163" t="inlineStr">
        <is>
          <t>2026-06-30</t>
        </is>
      </c>
      <c r="C163" t="inlineStr">
        <is>
          <t>10:22:30</t>
        </is>
      </c>
      <c r="D163" t="inlineStr">
        <is>
          <t>BHARTIARTL</t>
        </is>
      </c>
      <c r="E163" t="inlineStr">
        <is>
          <t>Equity</t>
        </is>
      </c>
      <c r="F163" t="inlineStr">
        <is>
          <t>SELL</t>
        </is>
      </c>
      <c r="G163" t="n">
        <v>200</v>
      </c>
      <c r="H163" t="n">
        <v>1583.66</v>
      </c>
      <c r="I163" t="n">
        <v>316732</v>
      </c>
      <c r="J163" t="n">
        <v>110.86</v>
      </c>
      <c r="K163" t="inlineStr">
        <is>
          <t>NSE</t>
        </is>
      </c>
      <c r="L163" t="inlineStr">
        <is>
          <t>QE-CLEARING</t>
        </is>
      </c>
      <c r="M163" t="inlineStr">
        <is>
          <t>T100162</t>
        </is>
      </c>
    </row>
    <row r="164">
      <c r="A164" t="inlineStr">
        <is>
          <t>T100163</t>
        </is>
      </c>
      <c r="B164" t="inlineStr">
        <is>
          <t>2026-06-30</t>
        </is>
      </c>
      <c r="C164" t="inlineStr">
        <is>
          <t>15:06:19</t>
        </is>
      </c>
      <c r="D164" t="inlineStr">
        <is>
          <t>TCS</t>
        </is>
      </c>
      <c r="E164" t="inlineStr">
        <is>
          <t>Equity</t>
        </is>
      </c>
      <c r="F164" t="inlineStr">
        <is>
          <t>SELL</t>
        </is>
      </c>
      <c r="G164" t="n">
        <v>150</v>
      </c>
      <c r="H164" t="n">
        <v>3879.26</v>
      </c>
      <c r="I164" t="n">
        <v>581889</v>
      </c>
      <c r="J164" t="n">
        <v>203.66</v>
      </c>
      <c r="K164" t="inlineStr">
        <is>
          <t>BSE</t>
        </is>
      </c>
      <c r="L164" t="inlineStr">
        <is>
          <t>QE-CLEARING</t>
        </is>
      </c>
      <c r="M164" t="inlineStr">
        <is>
          <t>T100163</t>
        </is>
      </c>
    </row>
    <row r="165">
      <c r="A165" t="inlineStr">
        <is>
          <t>T100164</t>
        </is>
      </c>
      <c r="B165" t="inlineStr">
        <is>
          <t>2026-06-30</t>
        </is>
      </c>
      <c r="C165" t="inlineStr">
        <is>
          <t>10:55:24</t>
        </is>
      </c>
      <c r="D165" t="inlineStr">
        <is>
          <t>TATAMOTORS</t>
        </is>
      </c>
      <c r="E165" t="inlineStr">
        <is>
          <t>Equity</t>
        </is>
      </c>
      <c r="F165" t="inlineStr">
        <is>
          <t>BUY</t>
        </is>
      </c>
      <c r="G165" t="n">
        <v>50</v>
      </c>
      <c r="H165" t="n">
        <v>983.38</v>
      </c>
      <c r="I165" t="n">
        <v>49169</v>
      </c>
      <c r="J165" t="n">
        <v>17.21</v>
      </c>
      <c r="K165" t="inlineStr">
        <is>
          <t>BSE</t>
        </is>
      </c>
      <c r="L165" t="inlineStr">
        <is>
          <t>QE-CLEARING</t>
        </is>
      </c>
      <c r="M165" t="inlineStr">
        <is>
          <t>T100164</t>
        </is>
      </c>
    </row>
    <row r="166">
      <c r="A166" t="inlineStr">
        <is>
          <t>T100165</t>
        </is>
      </c>
      <c r="B166" t="inlineStr">
        <is>
          <t>2026-06-30</t>
        </is>
      </c>
      <c r="C166" t="inlineStr">
        <is>
          <t>14:19:25</t>
        </is>
      </c>
      <c r="D166" t="inlineStr">
        <is>
          <t>RELIANCE</t>
        </is>
      </c>
      <c r="E166" t="inlineStr">
        <is>
          <t>Equity</t>
        </is>
      </c>
      <c r="F166" t="inlineStr">
        <is>
          <t>SELL</t>
        </is>
      </c>
      <c r="G166" t="n">
        <v>75</v>
      </c>
      <c r="H166" t="n">
        <v>1424.71</v>
      </c>
      <c r="I166" t="n">
        <v>106853.25</v>
      </c>
      <c r="J166" t="n">
        <v>37.4</v>
      </c>
      <c r="K166" t="inlineStr">
        <is>
          <t>NSE</t>
        </is>
      </c>
      <c r="L166" t="inlineStr">
        <is>
          <t>QE-CLEARING</t>
        </is>
      </c>
      <c r="M166" t="inlineStr">
        <is>
          <t>T100165</t>
        </is>
      </c>
    </row>
    <row r="167">
      <c r="A167" t="inlineStr">
        <is>
          <t>T100166</t>
        </is>
      </c>
      <c r="B167" t="inlineStr">
        <is>
          <t>2026-06-30</t>
        </is>
      </c>
      <c r="C167" t="inlineStr">
        <is>
          <t>15:30:26</t>
        </is>
      </c>
      <c r="D167" t="inlineStr">
        <is>
          <t>RELIANCE</t>
        </is>
      </c>
      <c r="E167" t="inlineStr">
        <is>
          <t>Equity</t>
        </is>
      </c>
      <c r="F167" t="inlineStr">
        <is>
          <t>BUY</t>
        </is>
      </c>
      <c r="G167" t="n">
        <v>300</v>
      </c>
      <c r="H167" t="n">
        <v>1415.21</v>
      </c>
      <c r="I167" t="n">
        <v>424563</v>
      </c>
      <c r="J167" t="n">
        <v>148.6</v>
      </c>
      <c r="K167" t="inlineStr">
        <is>
          <t>NSE</t>
        </is>
      </c>
      <c r="L167" t="inlineStr">
        <is>
          <t>QE-CLEARING</t>
        </is>
      </c>
      <c r="M167" t="inlineStr">
        <is>
          <t>T100166</t>
        </is>
      </c>
    </row>
    <row r="168">
      <c r="A168" t="inlineStr">
        <is>
          <t>T100167</t>
        </is>
      </c>
      <c r="B168" t="inlineStr">
        <is>
          <t>2026-06-30</t>
        </is>
      </c>
      <c r="C168" t="inlineStr">
        <is>
          <t>15:17:58</t>
        </is>
      </c>
      <c r="D168" t="inlineStr">
        <is>
          <t>SBIN</t>
        </is>
      </c>
      <c r="E168" t="inlineStr">
        <is>
          <t>Equity</t>
        </is>
      </c>
      <c r="F168" t="inlineStr">
        <is>
          <t>SELL</t>
        </is>
      </c>
      <c r="G168" t="n">
        <v>300</v>
      </c>
      <c r="H168" t="n">
        <v>811.97</v>
      </c>
      <c r="I168" t="n">
        <v>243591</v>
      </c>
      <c r="J168" t="n">
        <v>85.26000000000001</v>
      </c>
      <c r="K168" t="inlineStr">
        <is>
          <t>BSE</t>
        </is>
      </c>
      <c r="L168" t="inlineStr">
        <is>
          <t>QE-CLEARING</t>
        </is>
      </c>
      <c r="M168" t="inlineStr">
        <is>
          <t>T100167</t>
        </is>
      </c>
    </row>
    <row r="169">
      <c r="A169" t="inlineStr">
        <is>
          <t>T100168</t>
        </is>
      </c>
      <c r="B169" t="inlineStr">
        <is>
          <t>2026-06-30</t>
        </is>
      </c>
      <c r="C169" t="inlineStr">
        <is>
          <t>12:13:35</t>
        </is>
      </c>
      <c r="D169" t="inlineStr">
        <is>
          <t>SBIN</t>
        </is>
      </c>
      <c r="E169" t="inlineStr">
        <is>
          <t>Equity</t>
        </is>
      </c>
      <c r="F169" t="inlineStr">
        <is>
          <t>BUY</t>
        </is>
      </c>
      <c r="G169" t="n">
        <v>500</v>
      </c>
      <c r="H169" t="n">
        <v>816.77</v>
      </c>
      <c r="I169" t="n">
        <v>408385</v>
      </c>
      <c r="J169" t="n">
        <v>142.93</v>
      </c>
      <c r="K169" t="inlineStr">
        <is>
          <t>BSE</t>
        </is>
      </c>
      <c r="L169" t="inlineStr">
        <is>
          <t>QE-CLEARING</t>
        </is>
      </c>
      <c r="M169" t="inlineStr">
        <is>
          <t>T100168</t>
        </is>
      </c>
    </row>
    <row r="170">
      <c r="A170" t="inlineStr">
        <is>
          <t>T100169</t>
        </is>
      </c>
      <c r="B170" t="inlineStr">
        <is>
          <t>2026-06-30</t>
        </is>
      </c>
      <c r="C170" t="inlineStr">
        <is>
          <t>10:16:31</t>
        </is>
      </c>
      <c r="D170" t="inlineStr">
        <is>
          <t>BAJFINANCE</t>
        </is>
      </c>
      <c r="E170" t="inlineStr">
        <is>
          <t>Equity</t>
        </is>
      </c>
      <c r="F170" t="inlineStr">
        <is>
          <t>BUY</t>
        </is>
      </c>
      <c r="G170" t="n">
        <v>75</v>
      </c>
      <c r="H170" t="n">
        <v>7188.09</v>
      </c>
      <c r="I170" t="n">
        <v>539106.75</v>
      </c>
      <c r="J170" t="n">
        <v>188.69</v>
      </c>
      <c r="K170" t="inlineStr">
        <is>
          <t>NSE</t>
        </is>
      </c>
      <c r="L170" t="inlineStr">
        <is>
          <t>QE-CLEARING</t>
        </is>
      </c>
      <c r="M170" t="inlineStr">
        <is>
          <t>T100169</t>
        </is>
      </c>
    </row>
    <row r="171">
      <c r="A171" t="inlineStr">
        <is>
          <t>T100170</t>
        </is>
      </c>
      <c r="B171" t="inlineStr">
        <is>
          <t>2026-06-30</t>
        </is>
      </c>
      <c r="C171" t="inlineStr">
        <is>
          <t>13:06:06</t>
        </is>
      </c>
      <c r="D171" t="inlineStr">
        <is>
          <t>ITC</t>
        </is>
      </c>
      <c r="E171" t="inlineStr">
        <is>
          <t>Equity</t>
        </is>
      </c>
      <c r="F171" t="inlineStr">
        <is>
          <t>SELL</t>
        </is>
      </c>
      <c r="G171" t="n">
        <v>100</v>
      </c>
      <c r="H171" t="n">
        <v>449.11</v>
      </c>
      <c r="I171" t="n">
        <v>44911</v>
      </c>
      <c r="J171" t="n">
        <v>15.72</v>
      </c>
      <c r="K171" t="inlineStr">
        <is>
          <t>BSE</t>
        </is>
      </c>
      <c r="L171" t="inlineStr">
        <is>
          <t>QE-CLEARING</t>
        </is>
      </c>
      <c r="M171" t="inlineStr">
        <is>
          <t>T100170</t>
        </is>
      </c>
    </row>
    <row r="172">
      <c r="A172" t="inlineStr">
        <is>
          <t>T100171</t>
        </is>
      </c>
      <c r="B172" t="inlineStr">
        <is>
          <t>2026-06-30</t>
        </is>
      </c>
      <c r="C172" t="inlineStr">
        <is>
          <t>09:09:29</t>
        </is>
      </c>
      <c r="D172" t="inlineStr">
        <is>
          <t>SBIN</t>
        </is>
      </c>
      <c r="E172" t="inlineStr">
        <is>
          <t>Equity</t>
        </is>
      </c>
      <c r="F172" t="inlineStr">
        <is>
          <t>SELL</t>
        </is>
      </c>
      <c r="G172" t="n">
        <v>150</v>
      </c>
      <c r="H172" t="n">
        <v>816.9299999999999</v>
      </c>
      <c r="I172" t="n">
        <v>122539.5</v>
      </c>
      <c r="J172" t="n">
        <v>42.89</v>
      </c>
      <c r="K172" t="inlineStr">
        <is>
          <t>NSE</t>
        </is>
      </c>
      <c r="L172" t="inlineStr">
        <is>
          <t>QE-CLEARING</t>
        </is>
      </c>
      <c r="M172" t="inlineStr">
        <is>
          <t>T100171</t>
        </is>
      </c>
    </row>
    <row r="173">
      <c r="A173" t="inlineStr">
        <is>
          <t>T100172</t>
        </is>
      </c>
      <c r="B173" t="inlineStr">
        <is>
          <t>2026-06-30</t>
        </is>
      </c>
      <c r="C173" t="inlineStr">
        <is>
          <t>15:16:20</t>
        </is>
      </c>
      <c r="D173" t="inlineStr">
        <is>
          <t>ITC</t>
        </is>
      </c>
      <c r="E173" t="inlineStr">
        <is>
          <t>Equity</t>
        </is>
      </c>
      <c r="F173" t="inlineStr">
        <is>
          <t>BUY</t>
        </is>
      </c>
      <c r="G173" t="n">
        <v>150</v>
      </c>
      <c r="H173" t="n">
        <v>448.08</v>
      </c>
      <c r="I173" t="n">
        <v>67212</v>
      </c>
      <c r="J173" t="n">
        <v>23.52</v>
      </c>
      <c r="K173" t="inlineStr">
        <is>
          <t>NSE</t>
        </is>
      </c>
      <c r="L173" t="inlineStr">
        <is>
          <t>QE-CLEARING</t>
        </is>
      </c>
      <c r="M173" t="inlineStr">
        <is>
          <t>T100172</t>
        </is>
      </c>
    </row>
    <row r="174">
      <c r="A174" t="inlineStr">
        <is>
          <t>T100173</t>
        </is>
      </c>
      <c r="B174" t="inlineStr">
        <is>
          <t>2026-06-30</t>
        </is>
      </c>
      <c r="C174" t="inlineStr">
        <is>
          <t>15:00:33</t>
        </is>
      </c>
      <c r="D174" t="inlineStr">
        <is>
          <t>RELIANCE</t>
        </is>
      </c>
      <c r="E174" t="inlineStr">
        <is>
          <t>Equity</t>
        </is>
      </c>
      <c r="F174" t="inlineStr">
        <is>
          <t>SELL</t>
        </is>
      </c>
      <c r="G174" t="n">
        <v>500</v>
      </c>
      <c r="H174" t="n">
        <v>1416.94</v>
      </c>
      <c r="I174" t="n">
        <v>708470</v>
      </c>
      <c r="J174" t="n">
        <v>247.96</v>
      </c>
      <c r="K174" t="inlineStr">
        <is>
          <t>BSE</t>
        </is>
      </c>
      <c r="L174" t="inlineStr">
        <is>
          <t>QE-CLEARING</t>
        </is>
      </c>
      <c r="M174" t="inlineStr">
        <is>
          <t>T100173</t>
        </is>
      </c>
    </row>
    <row r="175">
      <c r="A175" t="inlineStr">
        <is>
          <t>T100174</t>
        </is>
      </c>
      <c r="B175" t="inlineStr">
        <is>
          <t>2026-06-30</t>
        </is>
      </c>
      <c r="C175" t="inlineStr">
        <is>
          <t>14:32:04</t>
        </is>
      </c>
      <c r="D175" t="inlineStr">
        <is>
          <t>INFY</t>
        </is>
      </c>
      <c r="E175" t="inlineStr">
        <is>
          <t>Equity</t>
        </is>
      </c>
      <c r="F175" t="inlineStr">
        <is>
          <t>BUY</t>
        </is>
      </c>
      <c r="G175" t="n">
        <v>200</v>
      </c>
      <c r="H175" t="n">
        <v>1556.5</v>
      </c>
      <c r="I175" t="n">
        <v>311300</v>
      </c>
      <c r="J175" t="n">
        <v>108.95</v>
      </c>
      <c r="K175" t="inlineStr">
        <is>
          <t>BSE</t>
        </is>
      </c>
      <c r="L175" t="inlineStr">
        <is>
          <t>QE-CLEARING</t>
        </is>
      </c>
      <c r="M175" t="inlineStr">
        <is>
          <t>T100174</t>
        </is>
      </c>
    </row>
    <row r="176">
      <c r="A176" t="inlineStr">
        <is>
          <t>T100175</t>
        </is>
      </c>
      <c r="B176" t="inlineStr">
        <is>
          <t>2026-06-30</t>
        </is>
      </c>
      <c r="C176" t="inlineStr">
        <is>
          <t>11:12:00</t>
        </is>
      </c>
      <c r="D176" t="inlineStr">
        <is>
          <t>SBIN</t>
        </is>
      </c>
      <c r="E176" t="inlineStr">
        <is>
          <t>Equity</t>
        </is>
      </c>
      <c r="F176" t="inlineStr">
        <is>
          <t>SELL</t>
        </is>
      </c>
      <c r="G176" t="n">
        <v>50</v>
      </c>
      <c r="H176" t="n">
        <v>817.46</v>
      </c>
      <c r="I176" t="n">
        <v>40873</v>
      </c>
      <c r="J176" t="n">
        <v>14.31</v>
      </c>
      <c r="K176" t="inlineStr">
        <is>
          <t>NSE</t>
        </is>
      </c>
      <c r="L176" t="inlineStr">
        <is>
          <t>QE-CLEARING</t>
        </is>
      </c>
      <c r="M176" t="inlineStr">
        <is>
          <t>T100175</t>
        </is>
      </c>
    </row>
    <row r="177">
      <c r="A177" t="inlineStr">
        <is>
          <t>T100176</t>
        </is>
      </c>
      <c r="B177" t="inlineStr">
        <is>
          <t>2026-06-30</t>
        </is>
      </c>
      <c r="C177" t="inlineStr">
        <is>
          <t>13:33:28</t>
        </is>
      </c>
      <c r="D177" t="inlineStr">
        <is>
          <t>RELIANCE</t>
        </is>
      </c>
      <c r="E177" t="inlineStr">
        <is>
          <t>Equity</t>
        </is>
      </c>
      <c r="F177" t="inlineStr">
        <is>
          <t>SELL</t>
        </is>
      </c>
      <c r="G177" t="n">
        <v>250</v>
      </c>
      <c r="H177" t="n">
        <v>1417.6</v>
      </c>
      <c r="I177" t="n">
        <v>354400</v>
      </c>
      <c r="J177" t="n">
        <v>124.04</v>
      </c>
      <c r="K177" t="inlineStr">
        <is>
          <t>BSE</t>
        </is>
      </c>
      <c r="L177" t="inlineStr">
        <is>
          <t>QE-CLEARING</t>
        </is>
      </c>
      <c r="M177" t="inlineStr">
        <is>
          <t>T100176</t>
        </is>
      </c>
    </row>
    <row r="178">
      <c r="A178" t="inlineStr">
        <is>
          <t>T100177</t>
        </is>
      </c>
      <c r="B178" t="inlineStr">
        <is>
          <t>2026-06-30</t>
        </is>
      </c>
      <c r="C178" t="inlineStr">
        <is>
          <t>14:23:03</t>
        </is>
      </c>
      <c r="D178" t="inlineStr">
        <is>
          <t>LT</t>
        </is>
      </c>
      <c r="E178" t="inlineStr">
        <is>
          <t>Equity</t>
        </is>
      </c>
      <c r="F178" t="inlineStr">
        <is>
          <t>BUY</t>
        </is>
      </c>
      <c r="G178" t="n">
        <v>300</v>
      </c>
      <c r="H178" t="n">
        <v>3610.03</v>
      </c>
      <c r="I178" t="n">
        <v>1083009</v>
      </c>
      <c r="J178" t="n">
        <v>379.05</v>
      </c>
      <c r="K178" t="inlineStr">
        <is>
          <t>NSE</t>
        </is>
      </c>
      <c r="L178" t="inlineStr">
        <is>
          <t>QE-CLEARING</t>
        </is>
      </c>
      <c r="M178" t="inlineStr">
        <is>
          <t>T100177</t>
        </is>
      </c>
    </row>
    <row r="179">
      <c r="A179" t="inlineStr">
        <is>
          <t>T100178</t>
        </is>
      </c>
      <c r="B179" t="inlineStr">
        <is>
          <t>2026-06-30</t>
        </is>
      </c>
      <c r="C179" t="inlineStr">
        <is>
          <t>11:14:11</t>
        </is>
      </c>
      <c r="D179" t="inlineStr">
        <is>
          <t>HDFCBANK</t>
        </is>
      </c>
      <c r="E179" t="inlineStr">
        <is>
          <t>Equity</t>
        </is>
      </c>
      <c r="F179" t="inlineStr">
        <is>
          <t>SELL</t>
        </is>
      </c>
      <c r="G179" t="n">
        <v>200</v>
      </c>
      <c r="H179" t="n">
        <v>1678.7</v>
      </c>
      <c r="I179" t="n">
        <v>335740</v>
      </c>
      <c r="J179" t="n">
        <v>117.51</v>
      </c>
      <c r="K179" t="inlineStr">
        <is>
          <t>NSE</t>
        </is>
      </c>
      <c r="L179" t="inlineStr">
        <is>
          <t>QE-CLEARING</t>
        </is>
      </c>
      <c r="M179" t="inlineStr">
        <is>
          <t>T100178</t>
        </is>
      </c>
    </row>
    <row r="180">
      <c r="A180" t="inlineStr">
        <is>
          <t>T100179</t>
        </is>
      </c>
      <c r="B180" t="inlineStr">
        <is>
          <t>2026-06-30</t>
        </is>
      </c>
      <c r="C180" t="inlineStr">
        <is>
          <t>13:56:55</t>
        </is>
      </c>
      <c r="D180" t="inlineStr">
        <is>
          <t>INFY</t>
        </is>
      </c>
      <c r="E180" t="inlineStr">
        <is>
          <t>Equity</t>
        </is>
      </c>
      <c r="F180" t="inlineStr">
        <is>
          <t>BUY</t>
        </is>
      </c>
      <c r="G180" t="n">
        <v>75</v>
      </c>
      <c r="H180" t="n">
        <v>1565.79</v>
      </c>
      <c r="I180" t="n">
        <v>117434.25</v>
      </c>
      <c r="J180" t="n">
        <v>41.1</v>
      </c>
      <c r="K180" t="inlineStr">
        <is>
          <t>BSE</t>
        </is>
      </c>
      <c r="L180" t="inlineStr">
        <is>
          <t>QE-CLEARING</t>
        </is>
      </c>
      <c r="M180" t="inlineStr">
        <is>
          <t>T100179</t>
        </is>
      </c>
    </row>
    <row r="181">
      <c r="A181" t="inlineStr">
        <is>
          <t>T100180</t>
        </is>
      </c>
      <c r="B181" t="inlineStr">
        <is>
          <t>2026-06-30</t>
        </is>
      </c>
      <c r="C181" t="inlineStr">
        <is>
          <t>10:08:11</t>
        </is>
      </c>
      <c r="D181" t="inlineStr">
        <is>
          <t>SUNPHARMA</t>
        </is>
      </c>
      <c r="E181" t="inlineStr">
        <is>
          <t>Equity</t>
        </is>
      </c>
      <c r="F181" t="inlineStr">
        <is>
          <t>SELL</t>
        </is>
      </c>
      <c r="G181" t="n">
        <v>250</v>
      </c>
      <c r="H181" t="n">
        <v>1725.9</v>
      </c>
      <c r="I181" t="n">
        <v>431475</v>
      </c>
      <c r="J181" t="n">
        <v>151.02</v>
      </c>
      <c r="K181" t="inlineStr">
        <is>
          <t>NSE</t>
        </is>
      </c>
      <c r="L181" t="inlineStr">
        <is>
          <t>QE-CLEARING</t>
        </is>
      </c>
      <c r="M181" t="inlineStr">
        <is>
          <t>T100180</t>
        </is>
      </c>
    </row>
    <row r="182">
      <c r="A182" t="inlineStr">
        <is>
          <t>T100181</t>
        </is>
      </c>
      <c r="B182" t="inlineStr">
        <is>
          <t>2026-06-30</t>
        </is>
      </c>
      <c r="C182" t="inlineStr">
        <is>
          <t>09:17:19</t>
        </is>
      </c>
      <c r="D182" t="inlineStr">
        <is>
          <t>INFY</t>
        </is>
      </c>
      <c r="E182" t="inlineStr">
        <is>
          <t>Equity</t>
        </is>
      </c>
      <c r="F182" t="inlineStr">
        <is>
          <t>SELL</t>
        </is>
      </c>
      <c r="G182" t="n">
        <v>150</v>
      </c>
      <c r="H182" t="n">
        <v>1557.79</v>
      </c>
      <c r="I182" t="n">
        <v>233668.5</v>
      </c>
      <c r="J182" t="n">
        <v>81.78</v>
      </c>
      <c r="K182" t="inlineStr">
        <is>
          <t>NSE</t>
        </is>
      </c>
      <c r="L182" t="inlineStr">
        <is>
          <t>QE-CLEARING</t>
        </is>
      </c>
      <c r="M182" t="inlineStr">
        <is>
          <t>T100181</t>
        </is>
      </c>
    </row>
    <row r="183">
      <c r="A183" t="inlineStr">
        <is>
          <t>T100182</t>
        </is>
      </c>
      <c r="B183" t="inlineStr">
        <is>
          <t>2026-06-30</t>
        </is>
      </c>
      <c r="C183" t="inlineStr">
        <is>
          <t>15:53:16</t>
        </is>
      </c>
      <c r="D183" t="inlineStr">
        <is>
          <t>SBIN</t>
        </is>
      </c>
      <c r="E183" t="inlineStr">
        <is>
          <t>Equity</t>
        </is>
      </c>
      <c r="F183" t="inlineStr">
        <is>
          <t>BUY</t>
        </is>
      </c>
      <c r="G183" t="n">
        <v>100</v>
      </c>
      <c r="H183" t="n">
        <v>816.37</v>
      </c>
      <c r="I183" t="n">
        <v>81637</v>
      </c>
      <c r="J183" t="n">
        <v>28.57</v>
      </c>
      <c r="K183" t="inlineStr">
        <is>
          <t>BSE</t>
        </is>
      </c>
      <c r="L183" t="inlineStr">
        <is>
          <t>QE-CLEARING</t>
        </is>
      </c>
      <c r="M183" t="inlineStr">
        <is>
          <t>T100182</t>
        </is>
      </c>
    </row>
    <row r="184">
      <c r="A184" t="inlineStr">
        <is>
          <t>T100183</t>
        </is>
      </c>
      <c r="B184" t="inlineStr">
        <is>
          <t>2026-06-30</t>
        </is>
      </c>
      <c r="C184" t="inlineStr">
        <is>
          <t>09:30:12</t>
        </is>
      </c>
      <c r="D184" t="inlineStr">
        <is>
          <t>LT</t>
        </is>
      </c>
      <c r="E184" t="inlineStr">
        <is>
          <t>Equity</t>
        </is>
      </c>
      <c r="F184" t="inlineStr">
        <is>
          <t>BUY</t>
        </is>
      </c>
      <c r="G184" t="n">
        <v>300</v>
      </c>
      <c r="H184" t="n">
        <v>3625.11</v>
      </c>
      <c r="I184" t="n">
        <v>1087533</v>
      </c>
      <c r="J184" t="n">
        <v>380.64</v>
      </c>
      <c r="K184" t="inlineStr">
        <is>
          <t>NSE</t>
        </is>
      </c>
      <c r="L184" t="inlineStr">
        <is>
          <t>QE-CLEARING</t>
        </is>
      </c>
      <c r="M184" t="inlineStr">
        <is>
          <t>T100183</t>
        </is>
      </c>
    </row>
    <row r="185">
      <c r="A185" t="inlineStr">
        <is>
          <t>T100184</t>
        </is>
      </c>
      <c r="B185" t="inlineStr">
        <is>
          <t>2026-06-30</t>
        </is>
      </c>
      <c r="C185" t="inlineStr">
        <is>
          <t>15:15:49</t>
        </is>
      </c>
      <c r="D185" t="inlineStr">
        <is>
          <t>BHARTIARTL</t>
        </is>
      </c>
      <c r="E185" t="inlineStr">
        <is>
          <t>Equity</t>
        </is>
      </c>
      <c r="F185" t="inlineStr">
        <is>
          <t>BUY</t>
        </is>
      </c>
      <c r="G185" t="n">
        <v>500</v>
      </c>
      <c r="H185" t="n">
        <v>1587.63</v>
      </c>
      <c r="I185" t="n">
        <v>793815</v>
      </c>
      <c r="J185" t="n">
        <v>277.84</v>
      </c>
      <c r="K185" t="inlineStr">
        <is>
          <t>BSE</t>
        </is>
      </c>
      <c r="L185" t="inlineStr">
        <is>
          <t>QE-CLEARING</t>
        </is>
      </c>
      <c r="M185" t="inlineStr">
        <is>
          <t>T100184</t>
        </is>
      </c>
    </row>
    <row r="186">
      <c r="A186" t="inlineStr">
        <is>
          <t>T100185</t>
        </is>
      </c>
      <c r="B186" t="inlineStr">
        <is>
          <t>2026-06-30</t>
        </is>
      </c>
      <c r="C186" t="inlineStr">
        <is>
          <t>10:45:53</t>
        </is>
      </c>
      <c r="D186" t="inlineStr">
        <is>
          <t>ICICIBANK</t>
        </is>
      </c>
      <c r="E186" t="inlineStr">
        <is>
          <t>Equity</t>
        </is>
      </c>
      <c r="F186" t="inlineStr">
        <is>
          <t>BUY</t>
        </is>
      </c>
      <c r="G186" t="n">
        <v>50</v>
      </c>
      <c r="H186" t="n">
        <v>1242.19</v>
      </c>
      <c r="I186" t="n">
        <v>62109.5</v>
      </c>
      <c r="J186" t="n">
        <v>21.74</v>
      </c>
      <c r="K186" t="inlineStr">
        <is>
          <t>BSE</t>
        </is>
      </c>
      <c r="L186" t="inlineStr">
        <is>
          <t>QE-CLEARING</t>
        </is>
      </c>
      <c r="M186" t="inlineStr">
        <is>
          <t>T100185</t>
        </is>
      </c>
    </row>
    <row r="187">
      <c r="A187" t="inlineStr">
        <is>
          <t>T100186</t>
        </is>
      </c>
      <c r="B187" t="inlineStr">
        <is>
          <t>2026-06-30</t>
        </is>
      </c>
      <c r="C187" t="inlineStr">
        <is>
          <t>15:11:24</t>
        </is>
      </c>
      <c r="D187" t="inlineStr">
        <is>
          <t>ITC</t>
        </is>
      </c>
      <c r="E187" t="inlineStr">
        <is>
          <t>Equity</t>
        </is>
      </c>
      <c r="F187" t="inlineStr">
        <is>
          <t>BUY</t>
        </is>
      </c>
      <c r="G187" t="n">
        <v>200</v>
      </c>
      <c r="H187" t="n">
        <v>448.23</v>
      </c>
      <c r="I187" t="n">
        <v>89646</v>
      </c>
      <c r="J187" t="n">
        <v>31.38</v>
      </c>
      <c r="K187" t="inlineStr">
        <is>
          <t>BSE</t>
        </is>
      </c>
      <c r="L187" t="inlineStr">
        <is>
          <t>QE-CLEARING</t>
        </is>
      </c>
      <c r="M187" t="inlineStr">
        <is>
          <t>T100186</t>
        </is>
      </c>
    </row>
    <row r="188">
      <c r="A188" t="inlineStr">
        <is>
          <t>T100187</t>
        </is>
      </c>
      <c r="B188" t="inlineStr">
        <is>
          <t>2026-06-30</t>
        </is>
      </c>
      <c r="C188" t="inlineStr">
        <is>
          <t>09:06:12</t>
        </is>
      </c>
      <c r="D188" t="inlineStr">
        <is>
          <t>MARUTI</t>
        </is>
      </c>
      <c r="E188" t="inlineStr">
        <is>
          <t>Equity</t>
        </is>
      </c>
      <c r="F188" t="inlineStr">
        <is>
          <t>BUY</t>
        </is>
      </c>
      <c r="G188" t="n">
        <v>300</v>
      </c>
      <c r="H188" t="n">
        <v>12602.68</v>
      </c>
      <c r="I188" t="n">
        <v>3780804</v>
      </c>
      <c r="J188" t="n">
        <v>1323.28</v>
      </c>
      <c r="K188" t="inlineStr">
        <is>
          <t>BSE</t>
        </is>
      </c>
      <c r="L188" t="inlineStr">
        <is>
          <t>QE-CLEARING</t>
        </is>
      </c>
      <c r="M188" t="inlineStr">
        <is>
          <t>T100187</t>
        </is>
      </c>
    </row>
    <row r="189">
      <c r="A189" t="inlineStr">
        <is>
          <t>T100188</t>
        </is>
      </c>
      <c r="B189" t="inlineStr">
        <is>
          <t>2026-06-30</t>
        </is>
      </c>
      <c r="C189" t="inlineStr">
        <is>
          <t>12:00:02</t>
        </is>
      </c>
      <c r="D189" t="inlineStr">
        <is>
          <t>HDFCBANK</t>
        </is>
      </c>
      <c r="E189" t="inlineStr">
        <is>
          <t>Equity</t>
        </is>
      </c>
      <c r="F189" t="inlineStr">
        <is>
          <t>SELL</t>
        </is>
      </c>
      <c r="G189" t="n">
        <v>500</v>
      </c>
      <c r="H189" t="n">
        <v>1685.51</v>
      </c>
      <c r="I189" t="n">
        <v>842755</v>
      </c>
      <c r="J189" t="n">
        <v>294.96</v>
      </c>
      <c r="K189" t="inlineStr">
        <is>
          <t>NSE</t>
        </is>
      </c>
      <c r="L189" t="inlineStr">
        <is>
          <t>QE-CLEARING</t>
        </is>
      </c>
      <c r="M189" t="inlineStr">
        <is>
          <t>T100188</t>
        </is>
      </c>
    </row>
    <row r="190">
      <c r="A190" t="inlineStr">
        <is>
          <t>T100189</t>
        </is>
      </c>
      <c r="B190" t="inlineStr">
        <is>
          <t>2026-06-30</t>
        </is>
      </c>
      <c r="C190" t="inlineStr">
        <is>
          <t>11:02:45</t>
        </is>
      </c>
      <c r="D190" t="inlineStr">
        <is>
          <t>TCS</t>
        </is>
      </c>
      <c r="E190" t="inlineStr">
        <is>
          <t>Equity</t>
        </is>
      </c>
      <c r="F190" t="inlineStr">
        <is>
          <t>SELL</t>
        </is>
      </c>
      <c r="G190" t="n">
        <v>250</v>
      </c>
      <c r="H190" t="n">
        <v>3891.22</v>
      </c>
      <c r="I190" t="n">
        <v>972805</v>
      </c>
      <c r="J190" t="n">
        <v>340.48</v>
      </c>
      <c r="K190" t="inlineStr">
        <is>
          <t>BSE</t>
        </is>
      </c>
      <c r="L190" t="inlineStr">
        <is>
          <t>QE-CLEARING</t>
        </is>
      </c>
      <c r="M190" t="inlineStr">
        <is>
          <t>T100189</t>
        </is>
      </c>
    </row>
    <row r="191">
      <c r="A191" t="inlineStr">
        <is>
          <t>T100190</t>
        </is>
      </c>
      <c r="B191" t="inlineStr">
        <is>
          <t>2026-06-30</t>
        </is>
      </c>
      <c r="C191" t="inlineStr">
        <is>
          <t>15:38:28</t>
        </is>
      </c>
      <c r="D191" t="inlineStr">
        <is>
          <t>KOTAKBANK</t>
        </is>
      </c>
      <c r="E191" t="inlineStr">
        <is>
          <t>Equity</t>
        </is>
      </c>
      <c r="F191" t="inlineStr">
        <is>
          <t>BUY</t>
        </is>
      </c>
      <c r="G191" t="n">
        <v>250</v>
      </c>
      <c r="H191" t="n">
        <v>1794.61</v>
      </c>
      <c r="I191" t="n">
        <v>448652.5</v>
      </c>
      <c r="J191" t="n">
        <v>157.03</v>
      </c>
      <c r="K191" t="inlineStr">
        <is>
          <t>BSE</t>
        </is>
      </c>
      <c r="L191" t="inlineStr">
        <is>
          <t>QE-CLEARING</t>
        </is>
      </c>
      <c r="M191" t="inlineStr">
        <is>
          <t>T100190</t>
        </is>
      </c>
    </row>
    <row r="192">
      <c r="A192" t="inlineStr">
        <is>
          <t>T100191</t>
        </is>
      </c>
      <c r="B192" t="inlineStr">
        <is>
          <t>2026-06-30</t>
        </is>
      </c>
      <c r="C192" t="inlineStr">
        <is>
          <t>10:35:47</t>
        </is>
      </c>
      <c r="D192" t="inlineStr">
        <is>
          <t>BHARTIARTL</t>
        </is>
      </c>
      <c r="E192" t="inlineStr">
        <is>
          <t>Equity</t>
        </is>
      </c>
      <c r="F192" t="inlineStr">
        <is>
          <t>BUY</t>
        </is>
      </c>
      <c r="G192" t="n">
        <v>200</v>
      </c>
      <c r="H192" t="n">
        <v>1589.13</v>
      </c>
      <c r="I192" t="n">
        <v>317826</v>
      </c>
      <c r="J192" t="n">
        <v>111.24</v>
      </c>
      <c r="K192" t="inlineStr">
        <is>
          <t>NSE</t>
        </is>
      </c>
      <c r="L192" t="inlineStr">
        <is>
          <t>QE-CLEARING</t>
        </is>
      </c>
      <c r="M192" t="inlineStr">
        <is>
          <t>T100191</t>
        </is>
      </c>
    </row>
    <row r="193">
      <c r="A193" t="inlineStr">
        <is>
          <t>T100192</t>
        </is>
      </c>
      <c r="B193" t="inlineStr">
        <is>
          <t>2026-06-30</t>
        </is>
      </c>
      <c r="C193" t="inlineStr">
        <is>
          <t>14:40:52</t>
        </is>
      </c>
      <c r="D193" t="inlineStr">
        <is>
          <t>HDFCBANK</t>
        </is>
      </c>
      <c r="E193" t="inlineStr">
        <is>
          <t>Equity</t>
        </is>
      </c>
      <c r="F193" t="inlineStr">
        <is>
          <t>SELL</t>
        </is>
      </c>
      <c r="G193" t="n">
        <v>200</v>
      </c>
      <c r="H193" t="n">
        <v>1680.86</v>
      </c>
      <c r="I193" t="n">
        <v>336172</v>
      </c>
      <c r="J193" t="n">
        <v>117.66</v>
      </c>
      <c r="K193" t="inlineStr">
        <is>
          <t>BSE</t>
        </is>
      </c>
      <c r="L193" t="inlineStr">
        <is>
          <t>QE-CLEARING</t>
        </is>
      </c>
      <c r="M193" t="inlineStr">
        <is>
          <t>T100192</t>
        </is>
      </c>
    </row>
    <row r="194">
      <c r="A194" t="inlineStr">
        <is>
          <t>T100193</t>
        </is>
      </c>
      <c r="B194" t="inlineStr">
        <is>
          <t>2026-06-30</t>
        </is>
      </c>
      <c r="C194" t="inlineStr">
        <is>
          <t>15:48:59</t>
        </is>
      </c>
      <c r="D194" t="inlineStr">
        <is>
          <t>BHARTIARTL</t>
        </is>
      </c>
      <c r="E194" t="inlineStr">
        <is>
          <t>Equity</t>
        </is>
      </c>
      <c r="F194" t="inlineStr">
        <is>
          <t>BUY</t>
        </is>
      </c>
      <c r="G194" t="n">
        <v>50</v>
      </c>
      <c r="H194" t="n">
        <v>1580.39</v>
      </c>
      <c r="I194" t="n">
        <v>79019.5</v>
      </c>
      <c r="J194" t="n">
        <v>27.66</v>
      </c>
      <c r="K194" t="inlineStr">
        <is>
          <t>NSE</t>
        </is>
      </c>
      <c r="L194" t="inlineStr">
        <is>
          <t>QE-CLEARING</t>
        </is>
      </c>
      <c r="M194" t="inlineStr">
        <is>
          <t>T100193</t>
        </is>
      </c>
    </row>
    <row r="195">
      <c r="A195" t="inlineStr">
        <is>
          <t>T100194</t>
        </is>
      </c>
      <c r="B195" t="inlineStr">
        <is>
          <t>2026-06-30</t>
        </is>
      </c>
      <c r="C195" t="inlineStr">
        <is>
          <t>11:39:29</t>
        </is>
      </c>
      <c r="D195" t="inlineStr">
        <is>
          <t>TATAMOTORS</t>
        </is>
      </c>
      <c r="E195" t="inlineStr">
        <is>
          <t>Equity</t>
        </is>
      </c>
      <c r="F195" t="inlineStr">
        <is>
          <t>SELL</t>
        </is>
      </c>
      <c r="G195" t="n">
        <v>75</v>
      </c>
      <c r="H195" t="n">
        <v>982.95</v>
      </c>
      <c r="I195" t="n">
        <v>73721.25</v>
      </c>
      <c r="J195" t="n">
        <v>25.8</v>
      </c>
      <c r="K195" t="inlineStr">
        <is>
          <t>NSE</t>
        </is>
      </c>
      <c r="L195" t="inlineStr">
        <is>
          <t>QE-CLEARING</t>
        </is>
      </c>
      <c r="M195" t="inlineStr">
        <is>
          <t>T100194</t>
        </is>
      </c>
    </row>
    <row r="196">
      <c r="A196" t="inlineStr">
        <is>
          <t>T100195</t>
        </is>
      </c>
      <c r="B196" t="inlineStr">
        <is>
          <t>2026-06-30</t>
        </is>
      </c>
      <c r="C196" t="inlineStr">
        <is>
          <t>09:37:20</t>
        </is>
      </c>
      <c r="D196" t="inlineStr">
        <is>
          <t>SUNPHARMA</t>
        </is>
      </c>
      <c r="E196" t="inlineStr">
        <is>
          <t>Equity</t>
        </is>
      </c>
      <c r="F196" t="inlineStr">
        <is>
          <t>BUY</t>
        </is>
      </c>
      <c r="G196" t="n">
        <v>75</v>
      </c>
      <c r="H196" t="n">
        <v>1716.57</v>
      </c>
      <c r="I196" t="n">
        <v>128742.75</v>
      </c>
      <c r="J196" t="n">
        <v>45.06</v>
      </c>
      <c r="K196" t="inlineStr">
        <is>
          <t>BSE</t>
        </is>
      </c>
      <c r="L196" t="inlineStr">
        <is>
          <t>QE-CLEARING</t>
        </is>
      </c>
      <c r="M196" t="inlineStr">
        <is>
          <t>T100195</t>
        </is>
      </c>
    </row>
    <row r="197">
      <c r="A197" t="inlineStr">
        <is>
          <t>T100196</t>
        </is>
      </c>
      <c r="B197" t="inlineStr">
        <is>
          <t>2026-06-30</t>
        </is>
      </c>
      <c r="C197" t="inlineStr">
        <is>
          <t>09:55:28</t>
        </is>
      </c>
      <c r="D197" t="inlineStr">
        <is>
          <t>HINDUNILVR</t>
        </is>
      </c>
      <c r="E197" t="inlineStr">
        <is>
          <t>Equity</t>
        </is>
      </c>
      <c r="F197" t="inlineStr">
        <is>
          <t>SELL</t>
        </is>
      </c>
      <c r="G197" t="n">
        <v>50</v>
      </c>
      <c r="H197" t="n">
        <v>2358.25</v>
      </c>
      <c r="I197" t="n">
        <v>117912.5</v>
      </c>
      <c r="J197" t="n">
        <v>41.27</v>
      </c>
      <c r="K197" t="inlineStr">
        <is>
          <t>NSE</t>
        </is>
      </c>
      <c r="L197" t="inlineStr">
        <is>
          <t>QE-CLEARING</t>
        </is>
      </c>
      <c r="M197" t="inlineStr">
        <is>
          <t>T100196</t>
        </is>
      </c>
    </row>
    <row r="198">
      <c r="A198" t="inlineStr">
        <is>
          <t>T100197</t>
        </is>
      </c>
      <c r="B198" t="inlineStr">
        <is>
          <t>2026-06-30</t>
        </is>
      </c>
      <c r="C198" t="inlineStr">
        <is>
          <t>09:33:24</t>
        </is>
      </c>
      <c r="D198" t="inlineStr">
        <is>
          <t>TATAMOTORS</t>
        </is>
      </c>
      <c r="E198" t="inlineStr">
        <is>
          <t>Equity</t>
        </is>
      </c>
      <c r="F198" t="inlineStr">
        <is>
          <t>BUY</t>
        </is>
      </c>
      <c r="G198" t="n">
        <v>75</v>
      </c>
      <c r="H198" t="n">
        <v>983.9400000000001</v>
      </c>
      <c r="I198" t="n">
        <v>73795.5</v>
      </c>
      <c r="J198" t="n">
        <v>25.83</v>
      </c>
      <c r="K198" t="inlineStr">
        <is>
          <t>NSE</t>
        </is>
      </c>
      <c r="L198" t="inlineStr">
        <is>
          <t>QE-CLEARING</t>
        </is>
      </c>
      <c r="M198" t="inlineStr">
        <is>
          <t>T100197</t>
        </is>
      </c>
    </row>
    <row r="199">
      <c r="A199" t="inlineStr">
        <is>
          <t>T100198</t>
        </is>
      </c>
      <c r="B199" t="inlineStr">
        <is>
          <t>2026-06-30</t>
        </is>
      </c>
      <c r="C199" t="inlineStr">
        <is>
          <t>12:43:40</t>
        </is>
      </c>
      <c r="D199" t="inlineStr">
        <is>
          <t>HDFCBANK</t>
        </is>
      </c>
      <c r="E199" t="inlineStr">
        <is>
          <t>Equity</t>
        </is>
      </c>
      <c r="F199" t="inlineStr">
        <is>
          <t>SELL</t>
        </is>
      </c>
      <c r="G199" t="n">
        <v>50</v>
      </c>
      <c r="H199" t="n">
        <v>1681.35</v>
      </c>
      <c r="I199" t="n">
        <v>84067.5</v>
      </c>
      <c r="J199" t="n">
        <v>29.42</v>
      </c>
      <c r="K199" t="inlineStr">
        <is>
          <t>NSE</t>
        </is>
      </c>
      <c r="L199" t="inlineStr">
        <is>
          <t>QE-CLEARING</t>
        </is>
      </c>
      <c r="M199" t="inlineStr">
        <is>
          <t>T100198</t>
        </is>
      </c>
    </row>
    <row r="200">
      <c r="A200" t="inlineStr">
        <is>
          <t>T100199</t>
        </is>
      </c>
      <c r="B200" t="inlineStr">
        <is>
          <t>2026-06-30</t>
        </is>
      </c>
      <c r="C200" t="inlineStr">
        <is>
          <t>15:21:11</t>
        </is>
      </c>
      <c r="D200" t="inlineStr">
        <is>
          <t>KOTAKBANK</t>
        </is>
      </c>
      <c r="E200" t="inlineStr">
        <is>
          <t>Equity</t>
        </is>
      </c>
      <c r="F200" t="inlineStr">
        <is>
          <t>SELL</t>
        </is>
      </c>
      <c r="G200" t="n">
        <v>50</v>
      </c>
      <c r="H200" t="n">
        <v>1790.03</v>
      </c>
      <c r="I200" t="n">
        <v>89501.5</v>
      </c>
      <c r="J200" t="n">
        <v>31.33</v>
      </c>
      <c r="K200" t="inlineStr">
        <is>
          <t>BSE</t>
        </is>
      </c>
      <c r="L200" t="inlineStr">
        <is>
          <t>QE-CLEARING</t>
        </is>
      </c>
      <c r="M200" t="inlineStr">
        <is>
          <t>T100199</t>
        </is>
      </c>
    </row>
    <row r="201">
      <c r="A201" t="inlineStr">
        <is>
          <t>T100200</t>
        </is>
      </c>
      <c r="B201" t="inlineStr">
        <is>
          <t>2026-06-30</t>
        </is>
      </c>
      <c r="C201" t="inlineStr">
        <is>
          <t>09:59:36</t>
        </is>
      </c>
      <c r="D201" t="inlineStr">
        <is>
          <t>RELIANCE</t>
        </is>
      </c>
      <c r="E201" t="inlineStr">
        <is>
          <t>Equity</t>
        </is>
      </c>
      <c r="F201" t="inlineStr">
        <is>
          <t>SELL</t>
        </is>
      </c>
      <c r="G201" t="n">
        <v>250</v>
      </c>
      <c r="H201" t="n">
        <v>1418.69</v>
      </c>
      <c r="I201" t="n">
        <v>354672.5</v>
      </c>
      <c r="J201" t="n">
        <v>124.14</v>
      </c>
      <c r="K201" t="inlineStr">
        <is>
          <t>BSE</t>
        </is>
      </c>
      <c r="L201" t="inlineStr">
        <is>
          <t>QE-CLEARING</t>
        </is>
      </c>
      <c r="M201" t="inlineStr">
        <is>
          <t>T100200</t>
        </is>
      </c>
    </row>
    <row r="202">
      <c r="A202" t="inlineStr">
        <is>
          <t>T100201</t>
        </is>
      </c>
      <c r="B202" t="inlineStr">
        <is>
          <t>2026-06-30</t>
        </is>
      </c>
      <c r="C202" t="inlineStr">
        <is>
          <t>15:22:13</t>
        </is>
      </c>
      <c r="D202" t="inlineStr">
        <is>
          <t>TATAMOTORS</t>
        </is>
      </c>
      <c r="E202" t="inlineStr">
        <is>
          <t>Equity</t>
        </is>
      </c>
      <c r="F202" t="inlineStr">
        <is>
          <t>SELL</t>
        </is>
      </c>
      <c r="G202" t="n">
        <v>200</v>
      </c>
      <c r="H202" t="n">
        <v>988.14</v>
      </c>
      <c r="I202" t="n">
        <v>197628</v>
      </c>
      <c r="J202" t="n">
        <v>69.17</v>
      </c>
      <c r="K202" t="inlineStr">
        <is>
          <t>BSE</t>
        </is>
      </c>
      <c r="L202" t="inlineStr">
        <is>
          <t>QE-CLEARING</t>
        </is>
      </c>
      <c r="M202" t="inlineStr">
        <is>
          <t>T100201</t>
        </is>
      </c>
    </row>
    <row r="203">
      <c r="A203" t="inlineStr">
        <is>
          <t>T100202</t>
        </is>
      </c>
      <c r="B203" t="inlineStr">
        <is>
          <t>2026-06-30</t>
        </is>
      </c>
      <c r="C203" t="inlineStr">
        <is>
          <t>13:25:15</t>
        </is>
      </c>
      <c r="D203" t="inlineStr">
        <is>
          <t>SBIN</t>
        </is>
      </c>
      <c r="E203" t="inlineStr">
        <is>
          <t>Equity</t>
        </is>
      </c>
      <c r="F203" t="inlineStr">
        <is>
          <t>SELL</t>
        </is>
      </c>
      <c r="G203" t="n">
        <v>150</v>
      </c>
      <c r="H203" t="n">
        <v>816.65</v>
      </c>
      <c r="I203" t="n">
        <v>122497.5</v>
      </c>
      <c r="J203" t="n">
        <v>42.87</v>
      </c>
      <c r="K203" t="inlineStr">
        <is>
          <t>BSE</t>
        </is>
      </c>
      <c r="L203" t="inlineStr">
        <is>
          <t>QE-CLEARING</t>
        </is>
      </c>
      <c r="M203" t="inlineStr">
        <is>
          <t>T100202</t>
        </is>
      </c>
    </row>
    <row r="204">
      <c r="A204" t="inlineStr">
        <is>
          <t>T100203</t>
        </is>
      </c>
      <c r="B204" t="inlineStr">
        <is>
          <t>2026-06-30</t>
        </is>
      </c>
      <c r="C204" t="inlineStr">
        <is>
          <t>14:28:27</t>
        </is>
      </c>
      <c r="D204" t="inlineStr">
        <is>
          <t>AXISBANK</t>
        </is>
      </c>
      <c r="E204" t="inlineStr">
        <is>
          <t>Equity</t>
        </is>
      </c>
      <c r="F204" t="inlineStr">
        <is>
          <t>SELL</t>
        </is>
      </c>
      <c r="G204" t="n">
        <v>200</v>
      </c>
      <c r="H204" t="n">
        <v>1128.46</v>
      </c>
      <c r="I204" t="n">
        <v>225692</v>
      </c>
      <c r="J204" t="n">
        <v>78.98999999999999</v>
      </c>
      <c r="K204" t="inlineStr">
        <is>
          <t>BSE</t>
        </is>
      </c>
      <c r="L204" t="inlineStr">
        <is>
          <t>QE-CLEARING</t>
        </is>
      </c>
      <c r="M204" t="inlineStr">
        <is>
          <t>T100203</t>
        </is>
      </c>
    </row>
    <row r="205">
      <c r="A205" t="inlineStr">
        <is>
          <t>T100204</t>
        </is>
      </c>
      <c r="B205" t="inlineStr">
        <is>
          <t>2026-06-30</t>
        </is>
      </c>
      <c r="C205" t="inlineStr">
        <is>
          <t>15:14:18</t>
        </is>
      </c>
      <c r="D205" t="inlineStr">
        <is>
          <t>INFY</t>
        </is>
      </c>
      <c r="E205" t="inlineStr">
        <is>
          <t>Equity</t>
        </is>
      </c>
      <c r="F205" t="inlineStr">
        <is>
          <t>BUY</t>
        </is>
      </c>
      <c r="G205" t="n">
        <v>150</v>
      </c>
      <c r="H205" t="n">
        <v>1560.3</v>
      </c>
      <c r="I205" t="n">
        <v>234045</v>
      </c>
      <c r="J205" t="n">
        <v>81.92</v>
      </c>
      <c r="K205" t="inlineStr">
        <is>
          <t>NSE</t>
        </is>
      </c>
      <c r="L205" t="inlineStr">
        <is>
          <t>QE-CLEARING</t>
        </is>
      </c>
      <c r="M205" t="inlineStr">
        <is>
          <t>T100204</t>
        </is>
      </c>
    </row>
    <row r="206">
      <c r="A206" t="inlineStr">
        <is>
          <t>T100205</t>
        </is>
      </c>
      <c r="B206" t="inlineStr">
        <is>
          <t>2026-06-30</t>
        </is>
      </c>
      <c r="C206" t="inlineStr">
        <is>
          <t>15:13:40</t>
        </is>
      </c>
      <c r="D206" t="inlineStr">
        <is>
          <t>HDFCBANK</t>
        </is>
      </c>
      <c r="E206" t="inlineStr">
        <is>
          <t>Equity</t>
        </is>
      </c>
      <c r="F206" t="inlineStr">
        <is>
          <t>BUY</t>
        </is>
      </c>
      <c r="G206" t="n">
        <v>200</v>
      </c>
      <c r="H206" t="n">
        <v>1685.98</v>
      </c>
      <c r="I206" t="n">
        <v>337196</v>
      </c>
      <c r="J206" t="n">
        <v>118.02</v>
      </c>
      <c r="K206" t="inlineStr">
        <is>
          <t>BSE</t>
        </is>
      </c>
      <c r="L206" t="inlineStr">
        <is>
          <t>QE-CLEARING</t>
        </is>
      </c>
      <c r="M206" t="inlineStr">
        <is>
          <t>T100205</t>
        </is>
      </c>
    </row>
    <row r="207">
      <c r="A207" t="inlineStr">
        <is>
          <t>T100206</t>
        </is>
      </c>
      <c r="B207" t="inlineStr">
        <is>
          <t>2026-06-30</t>
        </is>
      </c>
      <c r="C207" t="inlineStr">
        <is>
          <t>11:17:15</t>
        </is>
      </c>
      <c r="D207" t="inlineStr">
        <is>
          <t>SUNPHARMA</t>
        </is>
      </c>
      <c r="E207" t="inlineStr">
        <is>
          <t>Equity</t>
        </is>
      </c>
      <c r="F207" t="inlineStr">
        <is>
          <t>SELL</t>
        </is>
      </c>
      <c r="G207" t="n">
        <v>150</v>
      </c>
      <c r="H207" t="n">
        <v>1721.7</v>
      </c>
      <c r="I207" t="n">
        <v>258255</v>
      </c>
      <c r="J207" t="n">
        <v>90.39</v>
      </c>
      <c r="K207" t="inlineStr">
        <is>
          <t>BSE</t>
        </is>
      </c>
      <c r="L207" t="inlineStr">
        <is>
          <t>QE-CLEARING</t>
        </is>
      </c>
      <c r="M207" t="inlineStr">
        <is>
          <t>T100206</t>
        </is>
      </c>
    </row>
    <row r="208">
      <c r="A208" t="inlineStr">
        <is>
          <t>T100207</t>
        </is>
      </c>
      <c r="B208" t="inlineStr">
        <is>
          <t>2026-06-30</t>
        </is>
      </c>
      <c r="C208" t="inlineStr">
        <is>
          <t>12:19:39</t>
        </is>
      </c>
      <c r="D208" t="inlineStr">
        <is>
          <t>RELIANCE</t>
        </is>
      </c>
      <c r="E208" t="inlineStr">
        <is>
          <t>Equity</t>
        </is>
      </c>
      <c r="F208" t="inlineStr">
        <is>
          <t>SELL</t>
        </is>
      </c>
      <c r="G208" t="n">
        <v>500</v>
      </c>
      <c r="H208" t="n">
        <v>1416.41</v>
      </c>
      <c r="I208" t="n">
        <v>708205</v>
      </c>
      <c r="J208" t="n">
        <v>247.87</v>
      </c>
      <c r="K208" t="inlineStr">
        <is>
          <t>BSE</t>
        </is>
      </c>
      <c r="L208" t="inlineStr">
        <is>
          <t>QE-CLEARING</t>
        </is>
      </c>
      <c r="M208" t="inlineStr">
        <is>
          <t>T100207</t>
        </is>
      </c>
    </row>
    <row r="209">
      <c r="A209" t="inlineStr">
        <is>
          <t>T100208</t>
        </is>
      </c>
      <c r="B209" t="inlineStr">
        <is>
          <t>2026-06-30</t>
        </is>
      </c>
      <c r="C209" t="inlineStr">
        <is>
          <t>15:16:22</t>
        </is>
      </c>
      <c r="D209" t="inlineStr">
        <is>
          <t>HDFCBANK</t>
        </is>
      </c>
      <c r="E209" t="inlineStr">
        <is>
          <t>Equity</t>
        </is>
      </c>
      <c r="F209" t="inlineStr">
        <is>
          <t>SELL</t>
        </is>
      </c>
      <c r="G209" t="n">
        <v>200</v>
      </c>
      <c r="H209" t="n">
        <v>1688.51</v>
      </c>
      <c r="I209" t="n">
        <v>337702</v>
      </c>
      <c r="J209" t="n">
        <v>118.2</v>
      </c>
      <c r="K209" t="inlineStr">
        <is>
          <t>BSE</t>
        </is>
      </c>
      <c r="L209" t="inlineStr">
        <is>
          <t>QE-CLEARING</t>
        </is>
      </c>
      <c r="M209" t="inlineStr">
        <is>
          <t>T100208</t>
        </is>
      </c>
    </row>
    <row r="210">
      <c r="A210" t="inlineStr">
        <is>
          <t>T100209</t>
        </is>
      </c>
      <c r="B210" t="inlineStr">
        <is>
          <t>2026-06-30</t>
        </is>
      </c>
      <c r="C210" t="inlineStr">
        <is>
          <t>09:05:15</t>
        </is>
      </c>
      <c r="D210" t="inlineStr">
        <is>
          <t>ICICIBANK</t>
        </is>
      </c>
      <c r="E210" t="inlineStr">
        <is>
          <t>Equity</t>
        </is>
      </c>
      <c r="F210" t="inlineStr">
        <is>
          <t>BUY</t>
        </is>
      </c>
      <c r="G210" t="n">
        <v>300</v>
      </c>
      <c r="H210" t="n">
        <v>1241.54</v>
      </c>
      <c r="I210" t="n">
        <v>372462</v>
      </c>
      <c r="J210" t="n">
        <v>130.36</v>
      </c>
      <c r="K210" t="inlineStr">
        <is>
          <t>BSE</t>
        </is>
      </c>
      <c r="L210" t="inlineStr">
        <is>
          <t>QE-CLEARING</t>
        </is>
      </c>
      <c r="M210" t="inlineStr">
        <is>
          <t>T100209</t>
        </is>
      </c>
    </row>
    <row r="211">
      <c r="A211" t="inlineStr">
        <is>
          <t>T100210</t>
        </is>
      </c>
      <c r="B211" t="inlineStr">
        <is>
          <t>2026-06-30</t>
        </is>
      </c>
      <c r="C211" t="inlineStr">
        <is>
          <t>12:14:32</t>
        </is>
      </c>
      <c r="D211" t="inlineStr">
        <is>
          <t>RELIANCE</t>
        </is>
      </c>
      <c r="E211" t="inlineStr">
        <is>
          <t>Equity</t>
        </is>
      </c>
      <c r="F211" t="inlineStr">
        <is>
          <t>BUY</t>
        </is>
      </c>
      <c r="G211" t="n">
        <v>500</v>
      </c>
      <c r="H211" t="n">
        <v>1422.7</v>
      </c>
      <c r="I211" t="n">
        <v>711350</v>
      </c>
      <c r="J211" t="n">
        <v>248.97</v>
      </c>
      <c r="K211" t="inlineStr">
        <is>
          <t>BSE</t>
        </is>
      </c>
      <c r="L211" t="inlineStr">
        <is>
          <t>QE-CLEARING</t>
        </is>
      </c>
      <c r="M211" t="inlineStr">
        <is>
          <t>T100210</t>
        </is>
      </c>
    </row>
    <row r="212">
      <c r="A212" t="inlineStr">
        <is>
          <t>T100211</t>
        </is>
      </c>
      <c r="B212" t="inlineStr">
        <is>
          <t>2026-06-30</t>
        </is>
      </c>
      <c r="C212" t="inlineStr">
        <is>
          <t>14:13:55</t>
        </is>
      </c>
      <c r="D212" t="inlineStr">
        <is>
          <t>RELIANCE</t>
        </is>
      </c>
      <c r="E212" t="inlineStr">
        <is>
          <t>Equity</t>
        </is>
      </c>
      <c r="F212" t="inlineStr">
        <is>
          <t>SELL</t>
        </is>
      </c>
      <c r="G212" t="n">
        <v>50</v>
      </c>
      <c r="H212" t="n">
        <v>1421.69</v>
      </c>
      <c r="I212" t="n">
        <v>71084.5</v>
      </c>
      <c r="J212" t="n">
        <v>24.88</v>
      </c>
      <c r="K212" t="inlineStr">
        <is>
          <t>NSE</t>
        </is>
      </c>
      <c r="L212" t="inlineStr">
        <is>
          <t>QE-CLEARING</t>
        </is>
      </c>
      <c r="M212" t="inlineStr">
        <is>
          <t>T100211</t>
        </is>
      </c>
    </row>
    <row r="213">
      <c r="A213" t="inlineStr">
        <is>
          <t>T100212</t>
        </is>
      </c>
      <c r="B213" t="inlineStr">
        <is>
          <t>2026-06-30</t>
        </is>
      </c>
      <c r="C213" t="inlineStr">
        <is>
          <t>15:39:53</t>
        </is>
      </c>
      <c r="D213" t="inlineStr">
        <is>
          <t>SBIN</t>
        </is>
      </c>
      <c r="E213" t="inlineStr">
        <is>
          <t>Equity</t>
        </is>
      </c>
      <c r="F213" t="inlineStr">
        <is>
          <t>SELL</t>
        </is>
      </c>
      <c r="G213" t="n">
        <v>150</v>
      </c>
      <c r="H213" t="n">
        <v>815.95</v>
      </c>
      <c r="I213" t="n">
        <v>122392.5</v>
      </c>
      <c r="J213" t="n">
        <v>42.84</v>
      </c>
      <c r="K213" t="inlineStr">
        <is>
          <t>BSE</t>
        </is>
      </c>
      <c r="L213" t="inlineStr">
        <is>
          <t>QE-CLEARING</t>
        </is>
      </c>
      <c r="M213" t="inlineStr">
        <is>
          <t>T100212</t>
        </is>
      </c>
    </row>
    <row r="214">
      <c r="A214" t="inlineStr">
        <is>
          <t>T100213</t>
        </is>
      </c>
      <c r="B214" t="inlineStr">
        <is>
          <t>2026-06-30</t>
        </is>
      </c>
      <c r="C214" t="inlineStr">
        <is>
          <t>13:37:37</t>
        </is>
      </c>
      <c r="D214" t="inlineStr">
        <is>
          <t>HDFCBANK</t>
        </is>
      </c>
      <c r="E214" t="inlineStr">
        <is>
          <t>Equity</t>
        </is>
      </c>
      <c r="F214" t="inlineStr">
        <is>
          <t>SELL</t>
        </is>
      </c>
      <c r="G214" t="n">
        <v>300</v>
      </c>
      <c r="H214" t="n">
        <v>1679.8</v>
      </c>
      <c r="I214" t="n">
        <v>503940</v>
      </c>
      <c r="J214" t="n">
        <v>176.38</v>
      </c>
      <c r="K214" t="inlineStr">
        <is>
          <t>BSE</t>
        </is>
      </c>
      <c r="L214" t="inlineStr">
        <is>
          <t>QE-CLEARING</t>
        </is>
      </c>
      <c r="M214" t="inlineStr">
        <is>
          <t>T100213</t>
        </is>
      </c>
    </row>
    <row r="215">
      <c r="A215" t="inlineStr">
        <is>
          <t>T100214</t>
        </is>
      </c>
      <c r="B215" t="inlineStr">
        <is>
          <t>2026-06-30</t>
        </is>
      </c>
      <c r="C215" t="inlineStr">
        <is>
          <t>10:34:56</t>
        </is>
      </c>
      <c r="D215" t="inlineStr">
        <is>
          <t>SUNPHARMA</t>
        </is>
      </c>
      <c r="E215" t="inlineStr">
        <is>
          <t>Equity</t>
        </is>
      </c>
      <c r="F215" t="inlineStr">
        <is>
          <t>BUY</t>
        </is>
      </c>
      <c r="G215" t="n">
        <v>100</v>
      </c>
      <c r="H215" t="n">
        <v>1717.46</v>
      </c>
      <c r="I215" t="n">
        <v>171746</v>
      </c>
      <c r="J215" t="n">
        <v>60.11</v>
      </c>
      <c r="K215" t="inlineStr">
        <is>
          <t>NSE</t>
        </is>
      </c>
      <c r="L215" t="inlineStr">
        <is>
          <t>QE-CLEARING</t>
        </is>
      </c>
      <c r="M215" t="inlineStr">
        <is>
          <t>T100214</t>
        </is>
      </c>
    </row>
    <row r="216">
      <c r="A216" t="inlineStr">
        <is>
          <t>T100215</t>
        </is>
      </c>
      <c r="B216" t="inlineStr">
        <is>
          <t>2026-06-30</t>
        </is>
      </c>
      <c r="C216" t="inlineStr">
        <is>
          <t>14:00:47</t>
        </is>
      </c>
      <c r="D216" t="inlineStr">
        <is>
          <t>SBIN</t>
        </is>
      </c>
      <c r="E216" t="inlineStr">
        <is>
          <t>Equity</t>
        </is>
      </c>
      <c r="F216" t="inlineStr">
        <is>
          <t>BUY</t>
        </is>
      </c>
      <c r="G216" t="n">
        <v>75</v>
      </c>
      <c r="H216" t="n">
        <v>815.9299999999999</v>
      </c>
      <c r="I216" t="n">
        <v>61194.75</v>
      </c>
      <c r="J216" t="n">
        <v>21.42</v>
      </c>
      <c r="K216" t="inlineStr">
        <is>
          <t>NSE</t>
        </is>
      </c>
      <c r="L216" t="inlineStr">
        <is>
          <t>QE-CLEARING</t>
        </is>
      </c>
      <c r="M216" t="inlineStr">
        <is>
          <t>T100215</t>
        </is>
      </c>
    </row>
    <row r="217">
      <c r="A217" t="inlineStr">
        <is>
          <t>T100216</t>
        </is>
      </c>
      <c r="B217" t="inlineStr">
        <is>
          <t>2026-06-30</t>
        </is>
      </c>
      <c r="C217" t="inlineStr">
        <is>
          <t>15:36:45</t>
        </is>
      </c>
      <c r="D217" t="inlineStr">
        <is>
          <t>LT</t>
        </is>
      </c>
      <c r="E217" t="inlineStr">
        <is>
          <t>Equity</t>
        </is>
      </c>
      <c r="F217" t="inlineStr">
        <is>
          <t>BUY</t>
        </is>
      </c>
      <c r="G217" t="n">
        <v>100</v>
      </c>
      <c r="H217" t="n">
        <v>3631.97</v>
      </c>
      <c r="I217" t="n">
        <v>363197</v>
      </c>
      <c r="J217" t="n">
        <v>127.12</v>
      </c>
      <c r="K217" t="inlineStr">
        <is>
          <t>NSE</t>
        </is>
      </c>
      <c r="L217" t="inlineStr">
        <is>
          <t>QE-CLEARING</t>
        </is>
      </c>
      <c r="M217" t="inlineStr">
        <is>
          <t>T100216</t>
        </is>
      </c>
    </row>
    <row r="218">
      <c r="A218" t="inlineStr">
        <is>
          <t>T100217</t>
        </is>
      </c>
      <c r="B218" t="inlineStr">
        <is>
          <t>2026-06-30</t>
        </is>
      </c>
      <c r="C218" t="inlineStr">
        <is>
          <t>12:18:51</t>
        </is>
      </c>
      <c r="D218" t="inlineStr">
        <is>
          <t>SUNPHARMA</t>
        </is>
      </c>
      <c r="E218" t="inlineStr">
        <is>
          <t>Equity</t>
        </is>
      </c>
      <c r="F218" t="inlineStr">
        <is>
          <t>SELL</t>
        </is>
      </c>
      <c r="G218" t="n">
        <v>150</v>
      </c>
      <c r="H218" t="n">
        <v>1723.84</v>
      </c>
      <c r="I218" t="n">
        <v>258576</v>
      </c>
      <c r="J218" t="n">
        <v>90.5</v>
      </c>
      <c r="K218" t="inlineStr">
        <is>
          <t>NSE</t>
        </is>
      </c>
      <c r="L218" t="inlineStr">
        <is>
          <t>QE-CLEARING</t>
        </is>
      </c>
      <c r="M218" t="inlineStr">
        <is>
          <t>T100217</t>
        </is>
      </c>
    </row>
    <row r="219">
      <c r="A219" t="inlineStr">
        <is>
          <t>T100218</t>
        </is>
      </c>
      <c r="B219" t="inlineStr">
        <is>
          <t>2026-06-30</t>
        </is>
      </c>
      <c r="C219" t="inlineStr">
        <is>
          <t>15:20:57</t>
        </is>
      </c>
      <c r="D219" t="inlineStr">
        <is>
          <t>BAJFINANCE</t>
        </is>
      </c>
      <c r="E219" t="inlineStr">
        <is>
          <t>Equity</t>
        </is>
      </c>
      <c r="F219" t="inlineStr">
        <is>
          <t>BUY</t>
        </is>
      </c>
      <c r="G219" t="n">
        <v>200</v>
      </c>
      <c r="H219" t="n">
        <v>7178.43</v>
      </c>
      <c r="I219" t="n">
        <v>1435686</v>
      </c>
      <c r="J219" t="n">
        <v>502.49</v>
      </c>
      <c r="K219" t="inlineStr">
        <is>
          <t>BSE</t>
        </is>
      </c>
      <c r="L219" t="inlineStr">
        <is>
          <t>QE-CLEARING</t>
        </is>
      </c>
      <c r="M219" t="inlineStr">
        <is>
          <t>T100218</t>
        </is>
      </c>
    </row>
    <row r="220">
      <c r="A220" t="inlineStr">
        <is>
          <t>T100219</t>
        </is>
      </c>
      <c r="B220" t="inlineStr">
        <is>
          <t>2026-06-30</t>
        </is>
      </c>
      <c r="C220" t="inlineStr">
        <is>
          <t>09:34:49</t>
        </is>
      </c>
      <c r="D220" t="inlineStr">
        <is>
          <t>BAJFINANCE</t>
        </is>
      </c>
      <c r="E220" t="inlineStr">
        <is>
          <t>Equity</t>
        </is>
      </c>
      <c r="F220" t="inlineStr">
        <is>
          <t>SELL</t>
        </is>
      </c>
      <c r="G220" t="n">
        <v>50</v>
      </c>
      <c r="H220" t="n">
        <v>7165.85</v>
      </c>
      <c r="I220" t="n">
        <v>358292.5</v>
      </c>
      <c r="J220" t="n">
        <v>125.4</v>
      </c>
      <c r="K220" t="inlineStr">
        <is>
          <t>BSE</t>
        </is>
      </c>
      <c r="L220" t="inlineStr">
        <is>
          <t>QE-CLEARING</t>
        </is>
      </c>
      <c r="M220" t="inlineStr">
        <is>
          <t>T100219</t>
        </is>
      </c>
    </row>
    <row r="221">
      <c r="A221" t="inlineStr">
        <is>
          <t>T100220</t>
        </is>
      </c>
      <c r="B221" t="inlineStr">
        <is>
          <t>2026-06-30</t>
        </is>
      </c>
      <c r="C221" t="inlineStr">
        <is>
          <t>12:17:06</t>
        </is>
      </c>
      <c r="D221" t="inlineStr">
        <is>
          <t>SUNPHARMA</t>
        </is>
      </c>
      <c r="E221" t="inlineStr">
        <is>
          <t>Equity</t>
        </is>
      </c>
      <c r="F221" t="inlineStr">
        <is>
          <t>SELL</t>
        </is>
      </c>
      <c r="G221" t="n">
        <v>50</v>
      </c>
      <c r="H221" t="n">
        <v>1714.45</v>
      </c>
      <c r="I221" t="n">
        <v>85722.5</v>
      </c>
      <c r="J221" t="n">
        <v>30</v>
      </c>
      <c r="K221" t="inlineStr">
        <is>
          <t>NSE</t>
        </is>
      </c>
      <c r="L221" t="inlineStr">
        <is>
          <t>QE-CLEARING</t>
        </is>
      </c>
      <c r="M221" t="inlineStr">
        <is>
          <t>T100220</t>
        </is>
      </c>
    </row>
    <row r="222">
      <c r="A222" t="inlineStr">
        <is>
          <t>T100221</t>
        </is>
      </c>
      <c r="B222" t="inlineStr">
        <is>
          <t>2026-06-30</t>
        </is>
      </c>
      <c r="C222" t="inlineStr">
        <is>
          <t>12:58:44</t>
        </is>
      </c>
      <c r="D222" t="inlineStr">
        <is>
          <t>MARUTI</t>
        </is>
      </c>
      <c r="E222" t="inlineStr">
        <is>
          <t>Equity</t>
        </is>
      </c>
      <c r="F222" t="inlineStr">
        <is>
          <t>BUY</t>
        </is>
      </c>
      <c r="G222" t="n">
        <v>150</v>
      </c>
      <c r="H222" t="n">
        <v>12655.85</v>
      </c>
      <c r="I222" t="n">
        <v>1898377.5</v>
      </c>
      <c r="J222" t="n">
        <v>664.4299999999999</v>
      </c>
      <c r="K222" t="inlineStr">
        <is>
          <t>NSE</t>
        </is>
      </c>
      <c r="L222" t="inlineStr">
        <is>
          <t>QE-CLEARING</t>
        </is>
      </c>
      <c r="M222" t="inlineStr">
        <is>
          <t>T100221</t>
        </is>
      </c>
    </row>
    <row r="223">
      <c r="A223" t="inlineStr">
        <is>
          <t>T100222</t>
        </is>
      </c>
      <c r="B223" t="inlineStr">
        <is>
          <t>2026-06-30</t>
        </is>
      </c>
      <c r="C223" t="inlineStr">
        <is>
          <t>14:14:08</t>
        </is>
      </c>
      <c r="D223" t="inlineStr">
        <is>
          <t>HDFCBANK</t>
        </is>
      </c>
      <c r="E223" t="inlineStr">
        <is>
          <t>Equity</t>
        </is>
      </c>
      <c r="F223" t="inlineStr">
        <is>
          <t>SELL</t>
        </is>
      </c>
      <c r="G223" t="n">
        <v>100</v>
      </c>
      <c r="H223" t="n">
        <v>1683.6</v>
      </c>
      <c r="I223" t="n">
        <v>168360</v>
      </c>
      <c r="J223" t="n">
        <v>58.93</v>
      </c>
      <c r="K223" t="inlineStr">
        <is>
          <t>BSE</t>
        </is>
      </c>
      <c r="L223" t="inlineStr">
        <is>
          <t>QE-CLEARING</t>
        </is>
      </c>
      <c r="M223" t="inlineStr">
        <is>
          <t>T100222</t>
        </is>
      </c>
    </row>
    <row r="224">
      <c r="A224" t="inlineStr">
        <is>
          <t>T100223</t>
        </is>
      </c>
      <c r="B224" t="inlineStr">
        <is>
          <t>2026-06-30</t>
        </is>
      </c>
      <c r="C224" t="inlineStr">
        <is>
          <t>14:57:27</t>
        </is>
      </c>
      <c r="D224" t="inlineStr">
        <is>
          <t>ICICIBANK</t>
        </is>
      </c>
      <c r="E224" t="inlineStr">
        <is>
          <t>Equity</t>
        </is>
      </c>
      <c r="F224" t="inlineStr">
        <is>
          <t>BUY</t>
        </is>
      </c>
      <c r="G224" t="n">
        <v>300</v>
      </c>
      <c r="H224" t="n">
        <v>1241.69</v>
      </c>
      <c r="I224" t="n">
        <v>372507</v>
      </c>
      <c r="J224" t="n">
        <v>130.38</v>
      </c>
      <c r="K224" t="inlineStr">
        <is>
          <t>BSE</t>
        </is>
      </c>
      <c r="L224" t="inlineStr">
        <is>
          <t>QE-CLEARING</t>
        </is>
      </c>
      <c r="M224" t="inlineStr">
        <is>
          <t>T100223</t>
        </is>
      </c>
    </row>
    <row r="225">
      <c r="A225" t="inlineStr">
        <is>
          <t>T100224</t>
        </is>
      </c>
      <c r="B225" t="inlineStr">
        <is>
          <t>2026-06-30</t>
        </is>
      </c>
      <c r="C225" t="inlineStr">
        <is>
          <t>12:51:01</t>
        </is>
      </c>
      <c r="D225" t="inlineStr">
        <is>
          <t>RELIANCE</t>
        </is>
      </c>
      <c r="E225" t="inlineStr">
        <is>
          <t>Equity</t>
        </is>
      </c>
      <c r="F225" t="inlineStr">
        <is>
          <t>SELL</t>
        </is>
      </c>
      <c r="G225" t="n">
        <v>150</v>
      </c>
      <c r="H225" t="n">
        <v>1421.85</v>
      </c>
      <c r="I225" t="n">
        <v>213277.5</v>
      </c>
      <c r="J225" t="n">
        <v>74.65000000000001</v>
      </c>
      <c r="K225" t="inlineStr">
        <is>
          <t>NSE</t>
        </is>
      </c>
      <c r="L225" t="inlineStr">
        <is>
          <t>QE-CLEARING</t>
        </is>
      </c>
      <c r="M225" t="inlineStr">
        <is>
          <t>T100224</t>
        </is>
      </c>
    </row>
    <row r="226">
      <c r="A226" t="inlineStr">
        <is>
          <t>T100225</t>
        </is>
      </c>
      <c r="B226" t="inlineStr">
        <is>
          <t>2026-06-30</t>
        </is>
      </c>
      <c r="C226" t="inlineStr">
        <is>
          <t>11:03:28</t>
        </is>
      </c>
      <c r="D226" t="inlineStr">
        <is>
          <t>HDFCBANK</t>
        </is>
      </c>
      <c r="E226" t="inlineStr">
        <is>
          <t>Equity</t>
        </is>
      </c>
      <c r="F226" t="inlineStr">
        <is>
          <t>SELL</t>
        </is>
      </c>
      <c r="G226" t="n">
        <v>150</v>
      </c>
      <c r="H226" t="n">
        <v>1682.99</v>
      </c>
      <c r="I226" t="n">
        <v>252448.5</v>
      </c>
      <c r="J226" t="n">
        <v>88.36</v>
      </c>
      <c r="K226" t="inlineStr">
        <is>
          <t>NSE</t>
        </is>
      </c>
      <c r="L226" t="inlineStr">
        <is>
          <t>QE-CLEARING</t>
        </is>
      </c>
      <c r="M226" t="inlineStr">
        <is>
          <t>T100225</t>
        </is>
      </c>
    </row>
    <row r="227">
      <c r="A227" t="inlineStr">
        <is>
          <t>T100226</t>
        </is>
      </c>
      <c r="B227" t="inlineStr">
        <is>
          <t>2026-06-30</t>
        </is>
      </c>
      <c r="C227" t="inlineStr">
        <is>
          <t>15:27:36</t>
        </is>
      </c>
      <c r="D227" t="inlineStr">
        <is>
          <t>RELIANCE</t>
        </is>
      </c>
      <c r="E227" t="inlineStr">
        <is>
          <t>Equity</t>
        </is>
      </c>
      <c r="F227" t="inlineStr">
        <is>
          <t>SELL</t>
        </is>
      </c>
      <c r="G227" t="n">
        <v>200</v>
      </c>
      <c r="H227" t="n">
        <v>1417.35</v>
      </c>
      <c r="I227" t="n">
        <v>283470</v>
      </c>
      <c r="J227" t="n">
        <v>99.20999999999999</v>
      </c>
      <c r="K227" t="inlineStr">
        <is>
          <t>BSE</t>
        </is>
      </c>
      <c r="L227" t="inlineStr">
        <is>
          <t>QE-CLEARING</t>
        </is>
      </c>
      <c r="M227" t="inlineStr">
        <is>
          <t>T100226</t>
        </is>
      </c>
    </row>
    <row r="228">
      <c r="A228" t="inlineStr">
        <is>
          <t>T100227</t>
        </is>
      </c>
      <c r="B228" t="inlineStr">
        <is>
          <t>2026-06-30</t>
        </is>
      </c>
      <c r="C228" t="inlineStr">
        <is>
          <t>12:12:42</t>
        </is>
      </c>
      <c r="D228" t="inlineStr">
        <is>
          <t>RELIANCE</t>
        </is>
      </c>
      <c r="E228" t="inlineStr">
        <is>
          <t>Equity</t>
        </is>
      </c>
      <c r="F228" t="inlineStr">
        <is>
          <t>BUY</t>
        </is>
      </c>
      <c r="G228" t="n">
        <v>200</v>
      </c>
      <c r="H228" t="n">
        <v>1419.49</v>
      </c>
      <c r="I228" t="n">
        <v>283898</v>
      </c>
      <c r="J228" t="n">
        <v>99.36</v>
      </c>
      <c r="K228" t="inlineStr">
        <is>
          <t>BSE</t>
        </is>
      </c>
      <c r="L228" t="inlineStr">
        <is>
          <t>QE-CLEARING</t>
        </is>
      </c>
      <c r="M228" t="inlineStr">
        <is>
          <t>T100227</t>
        </is>
      </c>
    </row>
    <row r="229">
      <c r="A229" t="inlineStr">
        <is>
          <t>T100228</t>
        </is>
      </c>
      <c r="B229" t="inlineStr">
        <is>
          <t>2026-06-30</t>
        </is>
      </c>
      <c r="C229" t="inlineStr">
        <is>
          <t>09:11:09</t>
        </is>
      </c>
      <c r="D229" t="inlineStr">
        <is>
          <t>ITC</t>
        </is>
      </c>
      <c r="E229" t="inlineStr">
        <is>
          <t>Equity</t>
        </is>
      </c>
      <c r="F229" t="inlineStr">
        <is>
          <t>BUY</t>
        </is>
      </c>
      <c r="G229" t="n">
        <v>50</v>
      </c>
      <c r="H229" t="n">
        <v>446.76</v>
      </c>
      <c r="I229" t="n">
        <v>22338</v>
      </c>
      <c r="J229" t="n">
        <v>7.82</v>
      </c>
      <c r="K229" t="inlineStr">
        <is>
          <t>NSE</t>
        </is>
      </c>
      <c r="L229" t="inlineStr">
        <is>
          <t>QE-CLEARING</t>
        </is>
      </c>
      <c r="M229" t="inlineStr">
        <is>
          <t>T100228</t>
        </is>
      </c>
    </row>
    <row r="230">
      <c r="A230" t="inlineStr">
        <is>
          <t>T100229</t>
        </is>
      </c>
      <c r="B230" t="inlineStr">
        <is>
          <t>2026-06-30</t>
        </is>
      </c>
      <c r="C230" t="inlineStr">
        <is>
          <t>09:21:47</t>
        </is>
      </c>
      <c r="D230" t="inlineStr">
        <is>
          <t>LT</t>
        </is>
      </c>
      <c r="E230" t="inlineStr">
        <is>
          <t>Equity</t>
        </is>
      </c>
      <c r="F230" t="inlineStr">
        <is>
          <t>SELL</t>
        </is>
      </c>
      <c r="G230" t="n">
        <v>150</v>
      </c>
      <c r="H230" t="n">
        <v>3612.17</v>
      </c>
      <c r="I230" t="n">
        <v>541825.5</v>
      </c>
      <c r="J230" t="n">
        <v>189.64</v>
      </c>
      <c r="K230" t="inlineStr">
        <is>
          <t>NSE</t>
        </is>
      </c>
      <c r="L230" t="inlineStr">
        <is>
          <t>QE-CLEARING</t>
        </is>
      </c>
      <c r="M230" t="inlineStr">
        <is>
          <t>T100229</t>
        </is>
      </c>
    </row>
    <row r="231">
      <c r="A231" t="inlineStr">
        <is>
          <t>T100230</t>
        </is>
      </c>
      <c r="B231" t="inlineStr">
        <is>
          <t>2026-06-30</t>
        </is>
      </c>
      <c r="C231" t="inlineStr">
        <is>
          <t>11:22:17</t>
        </is>
      </c>
      <c r="D231" t="inlineStr">
        <is>
          <t>AXISBANK</t>
        </is>
      </c>
      <c r="E231" t="inlineStr">
        <is>
          <t>Equity</t>
        </is>
      </c>
      <c r="F231" t="inlineStr">
        <is>
          <t>BUY</t>
        </is>
      </c>
      <c r="G231" t="n">
        <v>50</v>
      </c>
      <c r="H231" t="n">
        <v>1128.83</v>
      </c>
      <c r="I231" t="n">
        <v>56441.5</v>
      </c>
      <c r="J231" t="n">
        <v>19.75</v>
      </c>
      <c r="K231" t="inlineStr">
        <is>
          <t>NSE</t>
        </is>
      </c>
      <c r="L231" t="inlineStr">
        <is>
          <t>QE-CLEARING</t>
        </is>
      </c>
      <c r="M231" t="inlineStr">
        <is>
          <t>T100230</t>
        </is>
      </c>
    </row>
    <row r="232">
      <c r="A232" t="inlineStr">
        <is>
          <t>T100231</t>
        </is>
      </c>
      <c r="B232" t="inlineStr">
        <is>
          <t>2026-06-30</t>
        </is>
      </c>
      <c r="C232" t="inlineStr">
        <is>
          <t>09:29:00</t>
        </is>
      </c>
      <c r="D232" t="inlineStr">
        <is>
          <t>BAJFINANCE</t>
        </is>
      </c>
      <c r="E232" t="inlineStr">
        <is>
          <t>Equity</t>
        </is>
      </c>
      <c r="F232" t="inlineStr">
        <is>
          <t>SELL</t>
        </is>
      </c>
      <c r="G232" t="n">
        <v>50</v>
      </c>
      <c r="H232" t="n">
        <v>7151.91</v>
      </c>
      <c r="I232" t="n">
        <v>357595.5</v>
      </c>
      <c r="J232" t="n">
        <v>125.16</v>
      </c>
      <c r="K232" t="inlineStr">
        <is>
          <t>NSE</t>
        </is>
      </c>
      <c r="L232" t="inlineStr">
        <is>
          <t>QE-CLEARING</t>
        </is>
      </c>
      <c r="M232" t="inlineStr">
        <is>
          <t>T100231</t>
        </is>
      </c>
    </row>
    <row r="233">
      <c r="A233" t="inlineStr">
        <is>
          <t>T100232</t>
        </is>
      </c>
      <c r="B233" t="inlineStr">
        <is>
          <t>2026-06-30</t>
        </is>
      </c>
      <c r="C233" t="inlineStr">
        <is>
          <t>15:54:18</t>
        </is>
      </c>
      <c r="D233" t="inlineStr">
        <is>
          <t>SBIN</t>
        </is>
      </c>
      <c r="E233" t="inlineStr">
        <is>
          <t>Equity</t>
        </is>
      </c>
      <c r="F233" t="inlineStr">
        <is>
          <t>BUY</t>
        </is>
      </c>
      <c r="G233" t="n">
        <v>50</v>
      </c>
      <c r="H233" t="n">
        <v>814.62</v>
      </c>
      <c r="I233" t="n">
        <v>40731</v>
      </c>
      <c r="J233" t="n">
        <v>14.26</v>
      </c>
      <c r="K233" t="inlineStr">
        <is>
          <t>NSE</t>
        </is>
      </c>
      <c r="L233" t="inlineStr">
        <is>
          <t>QE-CLEARING</t>
        </is>
      </c>
      <c r="M233" t="inlineStr">
        <is>
          <t>T100232</t>
        </is>
      </c>
    </row>
    <row r="234">
      <c r="A234" t="inlineStr">
        <is>
          <t>T100233</t>
        </is>
      </c>
      <c r="B234" t="inlineStr">
        <is>
          <t>2026-06-30</t>
        </is>
      </c>
      <c r="C234" t="inlineStr">
        <is>
          <t>10:41:48</t>
        </is>
      </c>
      <c r="D234" t="inlineStr">
        <is>
          <t>MARUTI</t>
        </is>
      </c>
      <c r="E234" t="inlineStr">
        <is>
          <t>Equity</t>
        </is>
      </c>
      <c r="F234" t="inlineStr">
        <is>
          <t>SELL</t>
        </is>
      </c>
      <c r="G234" t="n">
        <v>300</v>
      </c>
      <c r="H234" t="n">
        <v>12640.58</v>
      </c>
      <c r="I234" t="n">
        <v>3792174</v>
      </c>
      <c r="J234" t="n">
        <v>1327.26</v>
      </c>
      <c r="K234" t="inlineStr">
        <is>
          <t>BSE</t>
        </is>
      </c>
      <c r="L234" t="inlineStr">
        <is>
          <t>QE-CLEARING</t>
        </is>
      </c>
      <c r="M234" t="inlineStr">
        <is>
          <t>T100233</t>
        </is>
      </c>
    </row>
    <row r="235">
      <c r="A235" t="inlineStr">
        <is>
          <t>T100234</t>
        </is>
      </c>
      <c r="B235" t="inlineStr">
        <is>
          <t>2026-06-30</t>
        </is>
      </c>
      <c r="C235" t="inlineStr">
        <is>
          <t>11:37:17</t>
        </is>
      </c>
      <c r="D235" t="inlineStr">
        <is>
          <t>MARUTI</t>
        </is>
      </c>
      <c r="E235" t="inlineStr">
        <is>
          <t>Equity</t>
        </is>
      </c>
      <c r="F235" t="inlineStr">
        <is>
          <t>SELL</t>
        </is>
      </c>
      <c r="G235" t="n">
        <v>500</v>
      </c>
      <c r="H235" t="n">
        <v>12655.06</v>
      </c>
      <c r="I235" t="n">
        <v>6327530</v>
      </c>
      <c r="J235" t="n">
        <v>2214.64</v>
      </c>
      <c r="K235" t="inlineStr">
        <is>
          <t>NSE</t>
        </is>
      </c>
      <c r="L235" t="inlineStr">
        <is>
          <t>QE-CLEARING</t>
        </is>
      </c>
      <c r="M235" t="inlineStr">
        <is>
          <t>T100234</t>
        </is>
      </c>
    </row>
    <row r="236">
      <c r="A236" t="inlineStr">
        <is>
          <t>T100235</t>
        </is>
      </c>
      <c r="B236" t="inlineStr">
        <is>
          <t>2026-06-30</t>
        </is>
      </c>
      <c r="C236" t="inlineStr">
        <is>
          <t>09:04:25</t>
        </is>
      </c>
      <c r="D236" t="inlineStr">
        <is>
          <t>TCS</t>
        </is>
      </c>
      <c r="E236" t="inlineStr">
        <is>
          <t>Equity</t>
        </is>
      </c>
      <c r="F236" t="inlineStr">
        <is>
          <t>SELL</t>
        </is>
      </c>
      <c r="G236" t="n">
        <v>75</v>
      </c>
      <c r="H236" t="n">
        <v>3901.25</v>
      </c>
      <c r="I236" t="n">
        <v>292593.75</v>
      </c>
      <c r="J236" t="n">
        <v>102.41</v>
      </c>
      <c r="K236" t="inlineStr">
        <is>
          <t>NSE</t>
        </is>
      </c>
      <c r="L236" t="inlineStr">
        <is>
          <t>QE-CLEARING</t>
        </is>
      </c>
      <c r="M236" t="inlineStr">
        <is>
          <t>T100235</t>
        </is>
      </c>
    </row>
    <row r="237">
      <c r="A237" t="inlineStr">
        <is>
          <t>T100236</t>
        </is>
      </c>
      <c r="B237" t="inlineStr">
        <is>
          <t>2026-06-30</t>
        </is>
      </c>
      <c r="C237" t="inlineStr">
        <is>
          <t>15:06:09</t>
        </is>
      </c>
      <c r="D237" t="inlineStr">
        <is>
          <t>ICICIBANK</t>
        </is>
      </c>
      <c r="E237" t="inlineStr">
        <is>
          <t>Equity</t>
        </is>
      </c>
      <c r="F237" t="inlineStr">
        <is>
          <t>SELL</t>
        </is>
      </c>
      <c r="G237" t="n">
        <v>50</v>
      </c>
      <c r="H237" t="n">
        <v>1241.36</v>
      </c>
      <c r="I237" t="n">
        <v>62068</v>
      </c>
      <c r="J237" t="n">
        <v>21.72</v>
      </c>
      <c r="K237" t="inlineStr">
        <is>
          <t>BSE</t>
        </is>
      </c>
      <c r="L237" t="inlineStr">
        <is>
          <t>QE-CLEARING</t>
        </is>
      </c>
      <c r="M237" t="inlineStr">
        <is>
          <t>T100236</t>
        </is>
      </c>
    </row>
    <row r="238">
      <c r="A238" t="inlineStr">
        <is>
          <t>T100237</t>
        </is>
      </c>
      <c r="B238" t="inlineStr">
        <is>
          <t>2026-06-30</t>
        </is>
      </c>
      <c r="C238" t="inlineStr">
        <is>
          <t>15:53:06</t>
        </is>
      </c>
      <c r="D238" t="inlineStr">
        <is>
          <t>HDFCBANK</t>
        </is>
      </c>
      <c r="E238" t="inlineStr">
        <is>
          <t>Equity</t>
        </is>
      </c>
      <c r="F238" t="inlineStr">
        <is>
          <t>SELL</t>
        </is>
      </c>
      <c r="G238" t="n">
        <v>250</v>
      </c>
      <c r="H238" t="n">
        <v>1685.39</v>
      </c>
      <c r="I238" t="n">
        <v>421347.5</v>
      </c>
      <c r="J238" t="n">
        <v>147.47</v>
      </c>
      <c r="K238" t="inlineStr">
        <is>
          <t>BSE</t>
        </is>
      </c>
      <c r="L238" t="inlineStr">
        <is>
          <t>QE-CLEARING</t>
        </is>
      </c>
      <c r="M238" t="inlineStr">
        <is>
          <t>T100237</t>
        </is>
      </c>
    </row>
    <row r="239">
      <c r="A239" t="inlineStr">
        <is>
          <t>T100238</t>
        </is>
      </c>
      <c r="B239" t="inlineStr">
        <is>
          <t>2026-06-30</t>
        </is>
      </c>
      <c r="C239" t="inlineStr">
        <is>
          <t>11:19:11</t>
        </is>
      </c>
      <c r="D239" t="inlineStr">
        <is>
          <t>TATAMOTORS</t>
        </is>
      </c>
      <c r="E239" t="inlineStr">
        <is>
          <t>Equity</t>
        </is>
      </c>
      <c r="F239" t="inlineStr">
        <is>
          <t>SELL</t>
        </is>
      </c>
      <c r="G239" t="n">
        <v>200</v>
      </c>
      <c r="H239" t="n">
        <v>984.74</v>
      </c>
      <c r="I239" t="n">
        <v>196948</v>
      </c>
      <c r="J239" t="n">
        <v>68.93000000000001</v>
      </c>
      <c r="K239" t="inlineStr">
        <is>
          <t>BSE</t>
        </is>
      </c>
      <c r="L239" t="inlineStr">
        <is>
          <t>QE-CLEARING</t>
        </is>
      </c>
      <c r="M239" t="inlineStr">
        <is>
          <t>T100238</t>
        </is>
      </c>
    </row>
    <row r="240">
      <c r="A240" t="inlineStr">
        <is>
          <t>T100239</t>
        </is>
      </c>
      <c r="B240" t="inlineStr">
        <is>
          <t>2026-06-30</t>
        </is>
      </c>
      <c r="C240" t="inlineStr">
        <is>
          <t>13:53:08</t>
        </is>
      </c>
      <c r="D240" t="inlineStr">
        <is>
          <t>BHARTIARTL</t>
        </is>
      </c>
      <c r="E240" t="inlineStr">
        <is>
          <t>Equity</t>
        </is>
      </c>
      <c r="F240" t="inlineStr">
        <is>
          <t>BUY</t>
        </is>
      </c>
      <c r="G240" t="n">
        <v>100</v>
      </c>
      <c r="H240" t="n">
        <v>1581.8</v>
      </c>
      <c r="I240" t="n">
        <v>158180</v>
      </c>
      <c r="J240" t="n">
        <v>55.36</v>
      </c>
      <c r="K240" t="inlineStr">
        <is>
          <t>BSE</t>
        </is>
      </c>
      <c r="L240" t="inlineStr">
        <is>
          <t>QE-CLEARING</t>
        </is>
      </c>
      <c r="M240" t="inlineStr">
        <is>
          <t>T100239</t>
        </is>
      </c>
    </row>
    <row r="241">
      <c r="A241" t="inlineStr">
        <is>
          <t>T100240</t>
        </is>
      </c>
      <c r="B241" t="inlineStr">
        <is>
          <t>2026-06-30</t>
        </is>
      </c>
      <c r="C241" t="inlineStr">
        <is>
          <t>15:45:16</t>
        </is>
      </c>
      <c r="D241" t="inlineStr">
        <is>
          <t>LT</t>
        </is>
      </c>
      <c r="E241" t="inlineStr">
        <is>
          <t>Equity</t>
        </is>
      </c>
      <c r="F241" t="inlineStr">
        <is>
          <t>BUY</t>
        </is>
      </c>
      <c r="G241" t="n">
        <v>50</v>
      </c>
      <c r="H241" t="n">
        <v>3607.16</v>
      </c>
      <c r="I241" t="n">
        <v>180358</v>
      </c>
      <c r="J241" t="n">
        <v>63.13</v>
      </c>
      <c r="K241" t="inlineStr">
        <is>
          <t>NSE</t>
        </is>
      </c>
      <c r="L241" t="inlineStr">
        <is>
          <t>QE-CLEARING</t>
        </is>
      </c>
      <c r="M241" t="inlineStr">
        <is>
          <t>T100240</t>
        </is>
      </c>
    </row>
    <row r="242">
      <c r="A242" t="inlineStr">
        <is>
          <t>T100241</t>
        </is>
      </c>
      <c r="B242" t="inlineStr">
        <is>
          <t>2026-06-30</t>
        </is>
      </c>
      <c r="C242" t="inlineStr">
        <is>
          <t>10:00:07</t>
        </is>
      </c>
      <c r="D242" t="inlineStr">
        <is>
          <t>KOTAKBANK</t>
        </is>
      </c>
      <c r="E242" t="inlineStr">
        <is>
          <t>Equity</t>
        </is>
      </c>
      <c r="F242" t="inlineStr">
        <is>
          <t>BUY</t>
        </is>
      </c>
      <c r="G242" t="n">
        <v>200</v>
      </c>
      <c r="H242" t="n">
        <v>1793.57</v>
      </c>
      <c r="I242" t="n">
        <v>358714</v>
      </c>
      <c r="J242" t="n">
        <v>125.55</v>
      </c>
      <c r="K242" t="inlineStr">
        <is>
          <t>NSE</t>
        </is>
      </c>
      <c r="L242" t="inlineStr">
        <is>
          <t>QE-CLEARING</t>
        </is>
      </c>
      <c r="M242" t="inlineStr">
        <is>
          <t>T100241</t>
        </is>
      </c>
    </row>
    <row r="243">
      <c r="A243" t="inlineStr">
        <is>
          <t>T100242</t>
        </is>
      </c>
      <c r="B243" t="inlineStr">
        <is>
          <t>2026-06-30</t>
        </is>
      </c>
      <c r="C243" t="inlineStr">
        <is>
          <t>14:37:18</t>
        </is>
      </c>
      <c r="D243" t="inlineStr">
        <is>
          <t>AXISBANK</t>
        </is>
      </c>
      <c r="E243" t="inlineStr">
        <is>
          <t>Equity</t>
        </is>
      </c>
      <c r="F243" t="inlineStr">
        <is>
          <t>BUY</t>
        </is>
      </c>
      <c r="G243" t="n">
        <v>500</v>
      </c>
      <c r="H243" t="n">
        <v>1134.37</v>
      </c>
      <c r="I243" t="n">
        <v>567185</v>
      </c>
      <c r="J243" t="n">
        <v>198.51</v>
      </c>
      <c r="K243" t="inlineStr">
        <is>
          <t>BSE</t>
        </is>
      </c>
      <c r="L243" t="inlineStr">
        <is>
          <t>QE-CLEARING</t>
        </is>
      </c>
      <c r="M243" t="inlineStr">
        <is>
          <t>T100242</t>
        </is>
      </c>
    </row>
    <row r="244">
      <c r="A244" t="inlineStr">
        <is>
          <t>T100243</t>
        </is>
      </c>
      <c r="B244" t="inlineStr">
        <is>
          <t>2026-06-30</t>
        </is>
      </c>
      <c r="C244" t="inlineStr">
        <is>
          <t>13:34:31</t>
        </is>
      </c>
      <c r="D244" t="inlineStr">
        <is>
          <t>AXISBANK</t>
        </is>
      </c>
      <c r="E244" t="inlineStr">
        <is>
          <t>Equity</t>
        </is>
      </c>
      <c r="F244" t="inlineStr">
        <is>
          <t>SELL</t>
        </is>
      </c>
      <c r="G244" t="n">
        <v>100</v>
      </c>
      <c r="H244" t="n">
        <v>1131.79</v>
      </c>
      <c r="I244" t="n">
        <v>113179</v>
      </c>
      <c r="J244" t="n">
        <v>39.61</v>
      </c>
      <c r="K244" t="inlineStr">
        <is>
          <t>NSE</t>
        </is>
      </c>
      <c r="L244" t="inlineStr">
        <is>
          <t>QE-CLEARING</t>
        </is>
      </c>
      <c r="M244" t="inlineStr">
        <is>
          <t>T100243</t>
        </is>
      </c>
    </row>
    <row r="245">
      <c r="A245" t="inlineStr">
        <is>
          <t>T100244</t>
        </is>
      </c>
      <c r="B245" t="inlineStr">
        <is>
          <t>2026-06-30</t>
        </is>
      </c>
      <c r="C245" t="inlineStr">
        <is>
          <t>15:28:16</t>
        </is>
      </c>
      <c r="D245" t="inlineStr">
        <is>
          <t>HINDUNILVR</t>
        </is>
      </c>
      <c r="E245" t="inlineStr">
        <is>
          <t>Equity</t>
        </is>
      </c>
      <c r="F245" t="inlineStr">
        <is>
          <t>SELL</t>
        </is>
      </c>
      <c r="G245" t="n">
        <v>150</v>
      </c>
      <c r="H245" t="n">
        <v>2367.2</v>
      </c>
      <c r="I245" t="n">
        <v>355080</v>
      </c>
      <c r="J245" t="n">
        <v>124.28</v>
      </c>
      <c r="K245" t="inlineStr">
        <is>
          <t>NSE</t>
        </is>
      </c>
      <c r="L245" t="inlineStr">
        <is>
          <t>QE-CLEARING</t>
        </is>
      </c>
      <c r="M245" t="inlineStr">
        <is>
          <t>T100244</t>
        </is>
      </c>
    </row>
    <row r="246">
      <c r="A246" t="inlineStr">
        <is>
          <t>T100245</t>
        </is>
      </c>
      <c r="B246" t="inlineStr">
        <is>
          <t>2026-06-30</t>
        </is>
      </c>
      <c r="C246" t="inlineStr">
        <is>
          <t>13:10:37</t>
        </is>
      </c>
      <c r="D246" t="inlineStr">
        <is>
          <t>HINDUNILVR</t>
        </is>
      </c>
      <c r="E246" t="inlineStr">
        <is>
          <t>Equity</t>
        </is>
      </c>
      <c r="F246" t="inlineStr">
        <is>
          <t>BUY</t>
        </is>
      </c>
      <c r="G246" t="n">
        <v>300</v>
      </c>
      <c r="H246" t="n">
        <v>2362.66</v>
      </c>
      <c r="I246" t="n">
        <v>708798</v>
      </c>
      <c r="J246" t="n">
        <v>248.08</v>
      </c>
      <c r="K246" t="inlineStr">
        <is>
          <t>NSE</t>
        </is>
      </c>
      <c r="L246" t="inlineStr">
        <is>
          <t>QE-CLEARING</t>
        </is>
      </c>
      <c r="M246" t="inlineStr">
        <is>
          <t>T100245</t>
        </is>
      </c>
    </row>
    <row r="247">
      <c r="A247" t="inlineStr">
        <is>
          <t>T100246</t>
        </is>
      </c>
      <c r="B247" t="inlineStr">
        <is>
          <t>2026-06-30</t>
        </is>
      </c>
      <c r="C247" t="inlineStr">
        <is>
          <t>15:21:59</t>
        </is>
      </c>
      <c r="D247" t="inlineStr">
        <is>
          <t>BHARTIARTL</t>
        </is>
      </c>
      <c r="E247" t="inlineStr">
        <is>
          <t>Equity</t>
        </is>
      </c>
      <c r="F247" t="inlineStr">
        <is>
          <t>BUY</t>
        </is>
      </c>
      <c r="G247" t="n">
        <v>75</v>
      </c>
      <c r="H247" t="n">
        <v>1579.74</v>
      </c>
      <c r="I247" t="n">
        <v>118480.5</v>
      </c>
      <c r="J247" t="n">
        <v>41.47</v>
      </c>
      <c r="K247" t="inlineStr">
        <is>
          <t>NSE</t>
        </is>
      </c>
      <c r="L247" t="inlineStr">
        <is>
          <t>QE-CLEARING</t>
        </is>
      </c>
      <c r="M247" t="inlineStr">
        <is>
          <t>T100246</t>
        </is>
      </c>
    </row>
    <row r="248">
      <c r="A248" t="inlineStr">
        <is>
          <t>T100247</t>
        </is>
      </c>
      <c r="B248" t="inlineStr">
        <is>
          <t>2026-06-30</t>
        </is>
      </c>
      <c r="C248" t="inlineStr">
        <is>
          <t>13:41:34</t>
        </is>
      </c>
      <c r="D248" t="inlineStr">
        <is>
          <t>BHARTIARTL</t>
        </is>
      </c>
      <c r="E248" t="inlineStr">
        <is>
          <t>Equity</t>
        </is>
      </c>
      <c r="F248" t="inlineStr">
        <is>
          <t>SELL</t>
        </is>
      </c>
      <c r="G248" t="n">
        <v>150</v>
      </c>
      <c r="H248" t="n">
        <v>1584.31</v>
      </c>
      <c r="I248" t="n">
        <v>237646.5</v>
      </c>
      <c r="J248" t="n">
        <v>83.18000000000001</v>
      </c>
      <c r="K248" t="inlineStr">
        <is>
          <t>NSE</t>
        </is>
      </c>
      <c r="L248" t="inlineStr">
        <is>
          <t>QE-CLEARING</t>
        </is>
      </c>
      <c r="M248" t="inlineStr">
        <is>
          <t>T100247</t>
        </is>
      </c>
    </row>
    <row r="249">
      <c r="A249" t="inlineStr">
        <is>
          <t>T100248</t>
        </is>
      </c>
      <c r="B249" t="inlineStr">
        <is>
          <t>2026-06-30</t>
        </is>
      </c>
      <c r="C249" t="inlineStr">
        <is>
          <t>11:42:35</t>
        </is>
      </c>
      <c r="D249" t="inlineStr">
        <is>
          <t>TATAMOTORS</t>
        </is>
      </c>
      <c r="E249" t="inlineStr">
        <is>
          <t>Equity</t>
        </is>
      </c>
      <c r="F249" t="inlineStr">
        <is>
          <t>SELL</t>
        </is>
      </c>
      <c r="G249" t="n">
        <v>300</v>
      </c>
      <c r="H249" t="n">
        <v>981.61</v>
      </c>
      <c r="I249" t="n">
        <v>294483</v>
      </c>
      <c r="J249" t="n">
        <v>103.07</v>
      </c>
      <c r="K249" t="inlineStr">
        <is>
          <t>NSE</t>
        </is>
      </c>
      <c r="L249" t="inlineStr">
        <is>
          <t>QE-CLEARING</t>
        </is>
      </c>
      <c r="M249" t="inlineStr">
        <is>
          <t>T100248</t>
        </is>
      </c>
    </row>
    <row r="250">
      <c r="A250" t="inlineStr">
        <is>
          <t>T100249</t>
        </is>
      </c>
      <c r="B250" t="inlineStr">
        <is>
          <t>2026-06-30</t>
        </is>
      </c>
      <c r="C250" t="inlineStr">
        <is>
          <t>14:40:53</t>
        </is>
      </c>
      <c r="D250" t="inlineStr">
        <is>
          <t>AXISBANK</t>
        </is>
      </c>
      <c r="E250" t="inlineStr">
        <is>
          <t>Equity</t>
        </is>
      </c>
      <c r="F250" t="inlineStr">
        <is>
          <t>SELL</t>
        </is>
      </c>
      <c r="G250" t="n">
        <v>150</v>
      </c>
      <c r="H250" t="n">
        <v>1130.33</v>
      </c>
      <c r="I250" t="n">
        <v>169549.5</v>
      </c>
      <c r="J250" t="n">
        <v>59.34</v>
      </c>
      <c r="K250" t="inlineStr">
        <is>
          <t>NSE</t>
        </is>
      </c>
      <c r="L250" t="inlineStr">
        <is>
          <t>QE-CLEARING</t>
        </is>
      </c>
      <c r="M250" t="inlineStr">
        <is>
          <t>T100249</t>
        </is>
      </c>
    </row>
    <row r="251">
      <c r="A251" t="inlineStr">
        <is>
          <t>T100250</t>
        </is>
      </c>
      <c r="B251" t="inlineStr">
        <is>
          <t>2026-06-30</t>
        </is>
      </c>
      <c r="C251" t="inlineStr">
        <is>
          <t>09:32:17</t>
        </is>
      </c>
      <c r="D251" t="inlineStr">
        <is>
          <t>SUNPHARMA</t>
        </is>
      </c>
      <c r="E251" t="inlineStr">
        <is>
          <t>Equity</t>
        </is>
      </c>
      <c r="F251" t="inlineStr">
        <is>
          <t>SELL</t>
        </is>
      </c>
      <c r="G251" t="n">
        <v>300</v>
      </c>
      <c r="H251" t="n">
        <v>1715.27</v>
      </c>
      <c r="I251" t="n">
        <v>514581</v>
      </c>
      <c r="J251" t="n">
        <v>180.1</v>
      </c>
      <c r="K251" t="inlineStr">
        <is>
          <t>NSE</t>
        </is>
      </c>
      <c r="L251" t="inlineStr">
        <is>
          <t>QE-CLEARING</t>
        </is>
      </c>
      <c r="M251" t="inlineStr">
        <is>
          <t>T100250</t>
        </is>
      </c>
    </row>
    <row r="252">
      <c r="A252" t="inlineStr">
        <is>
          <t>T100251</t>
        </is>
      </c>
      <c r="B252" t="inlineStr">
        <is>
          <t>2026-06-30</t>
        </is>
      </c>
      <c r="C252" t="inlineStr">
        <is>
          <t>11:18:31</t>
        </is>
      </c>
      <c r="D252" t="inlineStr">
        <is>
          <t>HDFCBANK</t>
        </is>
      </c>
      <c r="E252" t="inlineStr">
        <is>
          <t>Equity</t>
        </is>
      </c>
      <c r="F252" t="inlineStr">
        <is>
          <t>SELL</t>
        </is>
      </c>
      <c r="G252" t="n">
        <v>100</v>
      </c>
      <c r="H252" t="n">
        <v>1686.72</v>
      </c>
      <c r="I252" t="n">
        <v>168672</v>
      </c>
      <c r="J252" t="n">
        <v>59.04</v>
      </c>
      <c r="K252" t="inlineStr">
        <is>
          <t>NSE</t>
        </is>
      </c>
      <c r="L252" t="inlineStr">
        <is>
          <t>QE-CLEARING</t>
        </is>
      </c>
      <c r="M252" t="inlineStr">
        <is>
          <t>T100251</t>
        </is>
      </c>
    </row>
    <row r="253">
      <c r="A253" t="inlineStr">
        <is>
          <t>T100252</t>
        </is>
      </c>
      <c r="B253" t="inlineStr">
        <is>
          <t>2026-06-30</t>
        </is>
      </c>
      <c r="C253" t="inlineStr">
        <is>
          <t>10:11:11</t>
        </is>
      </c>
      <c r="D253" t="inlineStr">
        <is>
          <t>HDFCBANK</t>
        </is>
      </c>
      <c r="E253" t="inlineStr">
        <is>
          <t>Equity</t>
        </is>
      </c>
      <c r="F253" t="inlineStr">
        <is>
          <t>BUY</t>
        </is>
      </c>
      <c r="G253" t="n">
        <v>500</v>
      </c>
      <c r="H253" t="n">
        <v>1689.8</v>
      </c>
      <c r="I253" t="n">
        <v>844900</v>
      </c>
      <c r="J253" t="n">
        <v>295.71</v>
      </c>
      <c r="K253" t="inlineStr">
        <is>
          <t>BSE</t>
        </is>
      </c>
      <c r="L253" t="inlineStr">
        <is>
          <t>QE-CLEARING</t>
        </is>
      </c>
      <c r="M253" t="inlineStr">
        <is>
          <t>T100252</t>
        </is>
      </c>
    </row>
    <row r="254">
      <c r="A254" t="inlineStr">
        <is>
          <t>T100253</t>
        </is>
      </c>
      <c r="B254" t="inlineStr">
        <is>
          <t>2026-06-30</t>
        </is>
      </c>
      <c r="C254" t="inlineStr">
        <is>
          <t>14:43:30</t>
        </is>
      </c>
      <c r="D254" t="inlineStr">
        <is>
          <t>SBIN</t>
        </is>
      </c>
      <c r="E254" t="inlineStr">
        <is>
          <t>Equity</t>
        </is>
      </c>
      <c r="F254" t="inlineStr">
        <is>
          <t>BUY</t>
        </is>
      </c>
      <c r="G254" t="n">
        <v>75</v>
      </c>
      <c r="H254" t="n">
        <v>814.12</v>
      </c>
      <c r="I254" t="n">
        <v>61059</v>
      </c>
      <c r="J254" t="n">
        <v>21.37</v>
      </c>
      <c r="K254" t="inlineStr">
        <is>
          <t>NSE</t>
        </is>
      </c>
      <c r="L254" t="inlineStr">
        <is>
          <t>QE-CLEARING</t>
        </is>
      </c>
      <c r="M254" t="inlineStr">
        <is>
          <t>T100253</t>
        </is>
      </c>
    </row>
    <row r="255">
      <c r="A255" t="inlineStr">
        <is>
          <t>T100254</t>
        </is>
      </c>
      <c r="B255" t="inlineStr">
        <is>
          <t>2026-06-30</t>
        </is>
      </c>
      <c r="C255" t="inlineStr">
        <is>
          <t>12:02:51</t>
        </is>
      </c>
      <c r="D255" t="inlineStr">
        <is>
          <t>TCS</t>
        </is>
      </c>
      <c r="E255" t="inlineStr">
        <is>
          <t>Equity</t>
        </is>
      </c>
      <c r="F255" t="inlineStr">
        <is>
          <t>BUY</t>
        </is>
      </c>
      <c r="G255" t="n">
        <v>500</v>
      </c>
      <c r="H255" t="n">
        <v>3901.25</v>
      </c>
      <c r="I255" t="n">
        <v>1950625</v>
      </c>
      <c r="J255" t="n">
        <v>682.72</v>
      </c>
      <c r="K255" t="inlineStr">
        <is>
          <t>BSE</t>
        </is>
      </c>
      <c r="L255" t="inlineStr">
        <is>
          <t>QE-CLEARING</t>
        </is>
      </c>
      <c r="M255" t="inlineStr">
        <is>
          <t>T100254</t>
        </is>
      </c>
    </row>
    <row r="256">
      <c r="A256" t="inlineStr">
        <is>
          <t>T100255</t>
        </is>
      </c>
      <c r="B256" t="inlineStr">
        <is>
          <t>2026-06-30</t>
        </is>
      </c>
      <c r="C256" t="inlineStr">
        <is>
          <t>14:06:45</t>
        </is>
      </c>
      <c r="D256" t="inlineStr">
        <is>
          <t>ITC</t>
        </is>
      </c>
      <c r="E256" t="inlineStr">
        <is>
          <t>Equity</t>
        </is>
      </c>
      <c r="F256" t="inlineStr">
        <is>
          <t>BUY</t>
        </is>
      </c>
      <c r="G256" t="n">
        <v>75</v>
      </c>
      <c r="H256" t="n">
        <v>447.65</v>
      </c>
      <c r="I256" t="n">
        <v>33573.75</v>
      </c>
      <c r="J256" t="n">
        <v>11.75</v>
      </c>
      <c r="K256" t="inlineStr">
        <is>
          <t>BSE</t>
        </is>
      </c>
      <c r="L256" t="inlineStr">
        <is>
          <t>QE-CLEARING</t>
        </is>
      </c>
      <c r="M256" t="inlineStr">
        <is>
          <t>T100255</t>
        </is>
      </c>
    </row>
    <row r="257">
      <c r="A257" t="inlineStr">
        <is>
          <t>T100256</t>
        </is>
      </c>
      <c r="B257" t="inlineStr">
        <is>
          <t>2026-06-30</t>
        </is>
      </c>
      <c r="C257" t="inlineStr">
        <is>
          <t>11:43:59</t>
        </is>
      </c>
      <c r="D257" t="inlineStr">
        <is>
          <t>ICICIBANK</t>
        </is>
      </c>
      <c r="E257" t="inlineStr">
        <is>
          <t>Equity</t>
        </is>
      </c>
      <c r="F257" t="inlineStr">
        <is>
          <t>BUY</t>
        </is>
      </c>
      <c r="G257" t="n">
        <v>200</v>
      </c>
      <c r="H257" t="n">
        <v>1238.34</v>
      </c>
      <c r="I257" t="n">
        <v>247668</v>
      </c>
      <c r="J257" t="n">
        <v>86.68000000000001</v>
      </c>
      <c r="K257" t="inlineStr">
        <is>
          <t>NSE</t>
        </is>
      </c>
      <c r="L257" t="inlineStr">
        <is>
          <t>QE-CLEARING</t>
        </is>
      </c>
      <c r="M257" t="inlineStr">
        <is>
          <t>T100256</t>
        </is>
      </c>
    </row>
    <row r="258">
      <c r="A258" t="inlineStr">
        <is>
          <t>T100257</t>
        </is>
      </c>
      <c r="B258" t="inlineStr">
        <is>
          <t>2026-06-30</t>
        </is>
      </c>
      <c r="C258" t="inlineStr">
        <is>
          <t>13:59:01</t>
        </is>
      </c>
      <c r="D258" t="inlineStr">
        <is>
          <t>ICICIBANK</t>
        </is>
      </c>
      <c r="E258" t="inlineStr">
        <is>
          <t>Equity</t>
        </is>
      </c>
      <c r="F258" t="inlineStr">
        <is>
          <t>BUY</t>
        </is>
      </c>
      <c r="G258" t="n">
        <v>250</v>
      </c>
      <c r="H258" t="n">
        <v>1241.27</v>
      </c>
      <c r="I258" t="n">
        <v>310317.5</v>
      </c>
      <c r="J258" t="n">
        <v>108.61</v>
      </c>
      <c r="K258" t="inlineStr">
        <is>
          <t>NSE</t>
        </is>
      </c>
      <c r="L258" t="inlineStr">
        <is>
          <t>QE-CLEARING</t>
        </is>
      </c>
      <c r="M258" t="inlineStr">
        <is>
          <t>T100257</t>
        </is>
      </c>
    </row>
    <row r="259">
      <c r="A259" t="inlineStr">
        <is>
          <t>T100258</t>
        </is>
      </c>
      <c r="B259" t="inlineStr">
        <is>
          <t>2026-06-30</t>
        </is>
      </c>
      <c r="C259" t="inlineStr">
        <is>
          <t>11:52:53</t>
        </is>
      </c>
      <c r="D259" t="inlineStr">
        <is>
          <t>SBIN</t>
        </is>
      </c>
      <c r="E259" t="inlineStr">
        <is>
          <t>Equity</t>
        </is>
      </c>
      <c r="F259" t="inlineStr">
        <is>
          <t>SELL</t>
        </is>
      </c>
      <c r="G259" t="n">
        <v>250</v>
      </c>
      <c r="H259" t="n">
        <v>814.25</v>
      </c>
      <c r="I259" t="n">
        <v>203562.5</v>
      </c>
      <c r="J259" t="n">
        <v>71.25</v>
      </c>
      <c r="K259" t="inlineStr">
        <is>
          <t>NSE</t>
        </is>
      </c>
      <c r="L259" t="inlineStr">
        <is>
          <t>QE-CLEARING</t>
        </is>
      </c>
      <c r="M259" t="inlineStr">
        <is>
          <t>T100258</t>
        </is>
      </c>
    </row>
    <row r="260">
      <c r="A260" t="inlineStr">
        <is>
          <t>T100259</t>
        </is>
      </c>
      <c r="B260" t="inlineStr">
        <is>
          <t>2026-06-30</t>
        </is>
      </c>
      <c r="C260" t="inlineStr">
        <is>
          <t>14:51:57</t>
        </is>
      </c>
      <c r="D260" t="inlineStr">
        <is>
          <t>SUNPHARMA</t>
        </is>
      </c>
      <c r="E260" t="inlineStr">
        <is>
          <t>Equity</t>
        </is>
      </c>
      <c r="F260" t="inlineStr">
        <is>
          <t>BUY</t>
        </is>
      </c>
      <c r="G260" t="n">
        <v>75</v>
      </c>
      <c r="H260" t="n">
        <v>1721.94</v>
      </c>
      <c r="I260" t="n">
        <v>129145.5</v>
      </c>
      <c r="J260" t="n">
        <v>45.2</v>
      </c>
      <c r="K260" t="inlineStr">
        <is>
          <t>NSE</t>
        </is>
      </c>
      <c r="L260" t="inlineStr">
        <is>
          <t>QE-CLEARING</t>
        </is>
      </c>
      <c r="M260" t="inlineStr">
        <is>
          <t>T100259</t>
        </is>
      </c>
    </row>
    <row r="261">
      <c r="A261" t="inlineStr">
        <is>
          <t>T100260</t>
        </is>
      </c>
      <c r="B261" t="inlineStr">
        <is>
          <t>2026-06-30</t>
        </is>
      </c>
      <c r="C261" t="inlineStr">
        <is>
          <t>15:31:45</t>
        </is>
      </c>
      <c r="D261" t="inlineStr">
        <is>
          <t>KOTAKBANK</t>
        </is>
      </c>
      <c r="E261" t="inlineStr">
        <is>
          <t>Equity</t>
        </is>
      </c>
      <c r="F261" t="inlineStr">
        <is>
          <t>SELL</t>
        </is>
      </c>
      <c r="G261" t="n">
        <v>100</v>
      </c>
      <c r="H261" t="n">
        <v>1796.63</v>
      </c>
      <c r="I261" t="n">
        <v>179663</v>
      </c>
      <c r="J261" t="n">
        <v>62.88</v>
      </c>
      <c r="K261" t="inlineStr">
        <is>
          <t>NSE</t>
        </is>
      </c>
      <c r="L261" t="inlineStr">
        <is>
          <t>QE-CLEARING</t>
        </is>
      </c>
      <c r="M261" t="inlineStr">
        <is>
          <t>T100260</t>
        </is>
      </c>
    </row>
    <row r="262">
      <c r="A262" t="inlineStr">
        <is>
          <t>T100261</t>
        </is>
      </c>
      <c r="B262" t="inlineStr">
        <is>
          <t>2026-06-30</t>
        </is>
      </c>
      <c r="C262" t="inlineStr">
        <is>
          <t>11:37:51</t>
        </is>
      </c>
      <c r="D262" t="inlineStr">
        <is>
          <t>SUNPHARMA</t>
        </is>
      </c>
      <c r="E262" t="inlineStr">
        <is>
          <t>Equity</t>
        </is>
      </c>
      <c r="F262" t="inlineStr">
        <is>
          <t>SELL</t>
        </is>
      </c>
      <c r="G262" t="n">
        <v>75</v>
      </c>
      <c r="H262" t="n">
        <v>1716.22</v>
      </c>
      <c r="I262" t="n">
        <v>128716.5</v>
      </c>
      <c r="J262" t="n">
        <v>45.05</v>
      </c>
      <c r="K262" t="inlineStr">
        <is>
          <t>BSE</t>
        </is>
      </c>
      <c r="L262" t="inlineStr">
        <is>
          <t>QE-CLEARING</t>
        </is>
      </c>
      <c r="M262" t="inlineStr">
        <is>
          <t>T100261</t>
        </is>
      </c>
    </row>
    <row r="263">
      <c r="A263" t="inlineStr">
        <is>
          <t>T100262</t>
        </is>
      </c>
      <c r="B263" t="inlineStr">
        <is>
          <t>2026-06-30</t>
        </is>
      </c>
      <c r="C263" t="inlineStr">
        <is>
          <t>10:34:56</t>
        </is>
      </c>
      <c r="D263" t="inlineStr">
        <is>
          <t>BAJFINANCE</t>
        </is>
      </c>
      <c r="E263" t="inlineStr">
        <is>
          <t>Equity</t>
        </is>
      </c>
      <c r="F263" t="inlineStr">
        <is>
          <t>SELL</t>
        </is>
      </c>
      <c r="G263" t="n">
        <v>500</v>
      </c>
      <c r="H263" t="n">
        <v>7165.88</v>
      </c>
      <c r="I263" t="n">
        <v>3582940</v>
      </c>
      <c r="J263" t="n">
        <v>1254.03</v>
      </c>
      <c r="K263" t="inlineStr">
        <is>
          <t>NSE</t>
        </is>
      </c>
      <c r="L263" t="inlineStr">
        <is>
          <t>QE-CLEARING</t>
        </is>
      </c>
      <c r="M263" t="inlineStr">
        <is>
          <t>T100262</t>
        </is>
      </c>
    </row>
    <row r="264">
      <c r="A264" t="inlineStr">
        <is>
          <t>T100263</t>
        </is>
      </c>
      <c r="B264" t="inlineStr">
        <is>
          <t>2026-06-30</t>
        </is>
      </c>
      <c r="C264" t="inlineStr">
        <is>
          <t>13:07:53</t>
        </is>
      </c>
      <c r="D264" t="inlineStr">
        <is>
          <t>LT</t>
        </is>
      </c>
      <c r="E264" t="inlineStr">
        <is>
          <t>Equity</t>
        </is>
      </c>
      <c r="F264" t="inlineStr">
        <is>
          <t>SELL</t>
        </is>
      </c>
      <c r="G264" t="n">
        <v>200</v>
      </c>
      <c r="H264" t="n">
        <v>3630.13</v>
      </c>
      <c r="I264" t="n">
        <v>726026</v>
      </c>
      <c r="J264" t="n">
        <v>254.11</v>
      </c>
      <c r="K264" t="inlineStr">
        <is>
          <t>BSE</t>
        </is>
      </c>
      <c r="L264" t="inlineStr">
        <is>
          <t>QE-CLEARING</t>
        </is>
      </c>
      <c r="M264" t="inlineStr">
        <is>
          <t>T100263</t>
        </is>
      </c>
    </row>
    <row r="265">
      <c r="A265" t="inlineStr">
        <is>
          <t>T100264</t>
        </is>
      </c>
      <c r="B265" t="inlineStr">
        <is>
          <t>2026-06-30</t>
        </is>
      </c>
      <c r="C265" t="inlineStr">
        <is>
          <t>10:53:28</t>
        </is>
      </c>
      <c r="D265" t="inlineStr">
        <is>
          <t>BAJFINANCE</t>
        </is>
      </c>
      <c r="E265" t="inlineStr">
        <is>
          <t>Equity</t>
        </is>
      </c>
      <c r="F265" t="inlineStr">
        <is>
          <t>BUY</t>
        </is>
      </c>
      <c r="G265" t="n">
        <v>150</v>
      </c>
      <c r="H265" t="n">
        <v>7166.67</v>
      </c>
      <c r="I265" t="n">
        <v>1075000.5</v>
      </c>
      <c r="J265" t="n">
        <v>376.25</v>
      </c>
      <c r="K265" t="inlineStr">
        <is>
          <t>NSE</t>
        </is>
      </c>
      <c r="L265" t="inlineStr">
        <is>
          <t>QE-CLEARING</t>
        </is>
      </c>
      <c r="M265" t="inlineStr">
        <is>
          <t>T100264</t>
        </is>
      </c>
    </row>
    <row r="266">
      <c r="A266" t="inlineStr">
        <is>
          <t>T100265</t>
        </is>
      </c>
      <c r="B266" t="inlineStr">
        <is>
          <t>2026-06-30</t>
        </is>
      </c>
      <c r="C266" t="inlineStr">
        <is>
          <t>13:04:52</t>
        </is>
      </c>
      <c r="D266" t="inlineStr">
        <is>
          <t>BHARTIARTL</t>
        </is>
      </c>
      <c r="E266" t="inlineStr">
        <is>
          <t>Equity</t>
        </is>
      </c>
      <c r="F266" t="inlineStr">
        <is>
          <t>BUY</t>
        </is>
      </c>
      <c r="G266" t="n">
        <v>200</v>
      </c>
      <c r="H266" t="n">
        <v>1584.88</v>
      </c>
      <c r="I266" t="n">
        <v>316976</v>
      </c>
      <c r="J266" t="n">
        <v>110.94</v>
      </c>
      <c r="K266" t="inlineStr">
        <is>
          <t>NSE</t>
        </is>
      </c>
      <c r="L266" t="inlineStr">
        <is>
          <t>QE-CLEARING</t>
        </is>
      </c>
      <c r="M266" t="inlineStr">
        <is>
          <t>T100265</t>
        </is>
      </c>
    </row>
    <row r="267">
      <c r="A267" t="inlineStr">
        <is>
          <t>T100266</t>
        </is>
      </c>
      <c r="B267" t="inlineStr">
        <is>
          <t>2026-06-30</t>
        </is>
      </c>
      <c r="C267" t="inlineStr">
        <is>
          <t>09:06:49</t>
        </is>
      </c>
      <c r="D267" t="inlineStr">
        <is>
          <t>LT</t>
        </is>
      </c>
      <c r="E267" t="inlineStr">
        <is>
          <t>Equity</t>
        </is>
      </c>
      <c r="F267" t="inlineStr">
        <is>
          <t>SELL</t>
        </is>
      </c>
      <c r="G267" t="n">
        <v>250</v>
      </c>
      <c r="H267" t="n">
        <v>3619.39</v>
      </c>
      <c r="I267" t="n">
        <v>904847.5</v>
      </c>
      <c r="J267" t="n">
        <v>316.7</v>
      </c>
      <c r="K267" t="inlineStr">
        <is>
          <t>NSE</t>
        </is>
      </c>
      <c r="L267" t="inlineStr">
        <is>
          <t>QE-CLEARING</t>
        </is>
      </c>
      <c r="M267" t="inlineStr">
        <is>
          <t>T100266</t>
        </is>
      </c>
    </row>
    <row r="268">
      <c r="A268" t="inlineStr">
        <is>
          <t>T100267</t>
        </is>
      </c>
      <c r="B268" t="inlineStr">
        <is>
          <t>2026-06-30</t>
        </is>
      </c>
      <c r="C268" t="inlineStr">
        <is>
          <t>11:21:39</t>
        </is>
      </c>
      <c r="D268" t="inlineStr">
        <is>
          <t>KOTAKBANK</t>
        </is>
      </c>
      <c r="E268" t="inlineStr">
        <is>
          <t>Equity</t>
        </is>
      </c>
      <c r="F268" t="inlineStr">
        <is>
          <t>SELL</t>
        </is>
      </c>
      <c r="G268" t="n">
        <v>100</v>
      </c>
      <c r="H268" t="n">
        <v>1791.94</v>
      </c>
      <c r="I268" t="n">
        <v>179194</v>
      </c>
      <c r="J268" t="n">
        <v>62.72</v>
      </c>
      <c r="K268" t="inlineStr">
        <is>
          <t>NSE</t>
        </is>
      </c>
      <c r="L268" t="inlineStr">
        <is>
          <t>QE-CLEARING</t>
        </is>
      </c>
      <c r="M268" t="inlineStr">
        <is>
          <t>T100267</t>
        </is>
      </c>
    </row>
    <row r="269">
      <c r="A269" t="inlineStr">
        <is>
          <t>T100268</t>
        </is>
      </c>
      <c r="B269" t="inlineStr">
        <is>
          <t>2026-06-30</t>
        </is>
      </c>
      <c r="C269" t="inlineStr">
        <is>
          <t>15:54:13</t>
        </is>
      </c>
      <c r="D269" t="inlineStr">
        <is>
          <t>RELIANCE</t>
        </is>
      </c>
      <c r="E269" t="inlineStr">
        <is>
          <t>Equity</t>
        </is>
      </c>
      <c r="F269" t="inlineStr">
        <is>
          <t>BUY</t>
        </is>
      </c>
      <c r="G269" t="n">
        <v>250</v>
      </c>
      <c r="H269" t="n">
        <v>1419.43</v>
      </c>
      <c r="I269" t="n">
        <v>354857.5</v>
      </c>
      <c r="J269" t="n">
        <v>124.2</v>
      </c>
      <c r="K269" t="inlineStr">
        <is>
          <t>NSE</t>
        </is>
      </c>
      <c r="L269" t="inlineStr">
        <is>
          <t>QE-CLEARING</t>
        </is>
      </c>
      <c r="M269" t="inlineStr">
        <is>
          <t>T100268</t>
        </is>
      </c>
    </row>
    <row r="270">
      <c r="A270" t="inlineStr">
        <is>
          <t>T100269</t>
        </is>
      </c>
      <c r="B270" t="inlineStr">
        <is>
          <t>2026-06-30</t>
        </is>
      </c>
      <c r="C270" t="inlineStr">
        <is>
          <t>09:36:06</t>
        </is>
      </c>
      <c r="D270" t="inlineStr">
        <is>
          <t>SBIN</t>
        </is>
      </c>
      <c r="E270" t="inlineStr">
        <is>
          <t>Equity</t>
        </is>
      </c>
      <c r="F270" t="inlineStr">
        <is>
          <t>SELL</t>
        </is>
      </c>
      <c r="G270" t="n">
        <v>500</v>
      </c>
      <c r="H270" t="n">
        <v>813.64</v>
      </c>
      <c r="I270" t="n">
        <v>406820</v>
      </c>
      <c r="J270" t="n">
        <v>142.39</v>
      </c>
      <c r="K270" t="inlineStr">
        <is>
          <t>NSE</t>
        </is>
      </c>
      <c r="L270" t="inlineStr">
        <is>
          <t>QE-CLEARING</t>
        </is>
      </c>
      <c r="M270" t="inlineStr">
        <is>
          <t>T100269</t>
        </is>
      </c>
    </row>
    <row r="271">
      <c r="A271" t="inlineStr">
        <is>
          <t>T100270</t>
        </is>
      </c>
      <c r="B271" t="inlineStr">
        <is>
          <t>2026-06-30</t>
        </is>
      </c>
      <c r="C271" t="inlineStr">
        <is>
          <t>09:58:14</t>
        </is>
      </c>
      <c r="D271" t="inlineStr">
        <is>
          <t>BHARTIARTL</t>
        </is>
      </c>
      <c r="E271" t="inlineStr">
        <is>
          <t>Equity</t>
        </is>
      </c>
      <c r="F271" t="inlineStr">
        <is>
          <t>SELL</t>
        </is>
      </c>
      <c r="G271" t="n">
        <v>200</v>
      </c>
      <c r="H271" t="n">
        <v>1582.71</v>
      </c>
      <c r="I271" t="n">
        <v>316542</v>
      </c>
      <c r="J271" t="n">
        <v>110.79</v>
      </c>
      <c r="K271" t="inlineStr">
        <is>
          <t>NSE</t>
        </is>
      </c>
      <c r="L271" t="inlineStr">
        <is>
          <t>QE-CLEARING</t>
        </is>
      </c>
      <c r="M271" t="inlineStr">
        <is>
          <t>T100270</t>
        </is>
      </c>
    </row>
    <row r="272">
      <c r="A272" t="inlineStr">
        <is>
          <t>T100271</t>
        </is>
      </c>
      <c r="B272" t="inlineStr">
        <is>
          <t>2026-06-30</t>
        </is>
      </c>
      <c r="C272" t="inlineStr">
        <is>
          <t>15:19:46</t>
        </is>
      </c>
      <c r="D272" t="inlineStr">
        <is>
          <t>SUNPHARMA</t>
        </is>
      </c>
      <c r="E272" t="inlineStr">
        <is>
          <t>Equity</t>
        </is>
      </c>
      <c r="F272" t="inlineStr">
        <is>
          <t>BUY</t>
        </is>
      </c>
      <c r="G272" t="n">
        <v>500</v>
      </c>
      <c r="H272" t="n">
        <v>1714.29</v>
      </c>
      <c r="I272" t="n">
        <v>857145</v>
      </c>
      <c r="J272" t="n">
        <v>300</v>
      </c>
      <c r="K272" t="inlineStr">
        <is>
          <t>BSE</t>
        </is>
      </c>
      <c r="L272" t="inlineStr">
        <is>
          <t>QE-CLEARING</t>
        </is>
      </c>
      <c r="M272" t="inlineStr">
        <is>
          <t>T100271</t>
        </is>
      </c>
    </row>
    <row r="273">
      <c r="A273" t="inlineStr">
        <is>
          <t>T100272</t>
        </is>
      </c>
      <c r="B273" t="inlineStr">
        <is>
          <t>2026-06-30</t>
        </is>
      </c>
      <c r="C273" t="inlineStr">
        <is>
          <t>15:22:36</t>
        </is>
      </c>
      <c r="D273" t="inlineStr">
        <is>
          <t>BHARTIARTL</t>
        </is>
      </c>
      <c r="E273" t="inlineStr">
        <is>
          <t>Equity</t>
        </is>
      </c>
      <c r="F273" t="inlineStr">
        <is>
          <t>SELL</t>
        </is>
      </c>
      <c r="G273" t="n">
        <v>150</v>
      </c>
      <c r="H273" t="n">
        <v>1583.4</v>
      </c>
      <c r="I273" t="n">
        <v>237510</v>
      </c>
      <c r="J273" t="n">
        <v>83.13</v>
      </c>
      <c r="K273" t="inlineStr">
        <is>
          <t>BSE</t>
        </is>
      </c>
      <c r="L273" t="inlineStr">
        <is>
          <t>QE-CLEARING</t>
        </is>
      </c>
      <c r="M273" t="inlineStr">
        <is>
          <t>T100272</t>
        </is>
      </c>
    </row>
    <row r="274">
      <c r="A274" t="inlineStr">
        <is>
          <t>T100273</t>
        </is>
      </c>
      <c r="B274" t="inlineStr">
        <is>
          <t>2026-06-30</t>
        </is>
      </c>
      <c r="C274" t="inlineStr">
        <is>
          <t>12:28:09</t>
        </is>
      </c>
      <c r="D274" t="inlineStr">
        <is>
          <t>INFY</t>
        </is>
      </c>
      <c r="E274" t="inlineStr">
        <is>
          <t>Equity</t>
        </is>
      </c>
      <c r="F274" t="inlineStr">
        <is>
          <t>SELL</t>
        </is>
      </c>
      <c r="G274" t="n">
        <v>100</v>
      </c>
      <c r="H274" t="n">
        <v>1555.66</v>
      </c>
      <c r="I274" t="n">
        <v>155566</v>
      </c>
      <c r="J274" t="n">
        <v>54.45</v>
      </c>
      <c r="K274" t="inlineStr">
        <is>
          <t>NSE</t>
        </is>
      </c>
      <c r="L274" t="inlineStr">
        <is>
          <t>QE-CLEARING</t>
        </is>
      </c>
      <c r="M274" t="inlineStr">
        <is>
          <t>T100273</t>
        </is>
      </c>
    </row>
    <row r="275">
      <c r="A275" t="inlineStr">
        <is>
          <t>T100274</t>
        </is>
      </c>
      <c r="B275" t="inlineStr">
        <is>
          <t>2026-06-30</t>
        </is>
      </c>
      <c r="C275" t="inlineStr">
        <is>
          <t>09:40:31</t>
        </is>
      </c>
      <c r="D275" t="inlineStr">
        <is>
          <t>AXISBANK</t>
        </is>
      </c>
      <c r="E275" t="inlineStr">
        <is>
          <t>Equity</t>
        </is>
      </c>
      <c r="F275" t="inlineStr">
        <is>
          <t>SELL</t>
        </is>
      </c>
      <c r="G275" t="n">
        <v>150</v>
      </c>
      <c r="H275" t="n">
        <v>1127.34</v>
      </c>
      <c r="I275" t="n">
        <v>169101</v>
      </c>
      <c r="J275" t="n">
        <v>59.19</v>
      </c>
      <c r="K275" t="inlineStr">
        <is>
          <t>BSE</t>
        </is>
      </c>
      <c r="L275" t="inlineStr">
        <is>
          <t>QE-CLEARING</t>
        </is>
      </c>
      <c r="M275" t="inlineStr">
        <is>
          <t>T100274</t>
        </is>
      </c>
    </row>
    <row r="276">
      <c r="A276" t="inlineStr">
        <is>
          <t>T100275</t>
        </is>
      </c>
      <c r="B276" t="inlineStr">
        <is>
          <t>2026-06-30</t>
        </is>
      </c>
      <c r="C276" t="inlineStr">
        <is>
          <t>11:04:43</t>
        </is>
      </c>
      <c r="D276" t="inlineStr">
        <is>
          <t>MARUTI</t>
        </is>
      </c>
      <c r="E276" t="inlineStr">
        <is>
          <t>Equity</t>
        </is>
      </c>
      <c r="F276" t="inlineStr">
        <is>
          <t>BUY</t>
        </is>
      </c>
      <c r="G276" t="n">
        <v>150</v>
      </c>
      <c r="H276" t="n">
        <v>12688.41</v>
      </c>
      <c r="I276" t="n">
        <v>1903261.5</v>
      </c>
      <c r="J276" t="n">
        <v>666.14</v>
      </c>
      <c r="K276" t="inlineStr">
        <is>
          <t>BSE</t>
        </is>
      </c>
      <c r="L276" t="inlineStr">
        <is>
          <t>QE-CLEARING</t>
        </is>
      </c>
      <c r="M276" t="inlineStr">
        <is>
          <t>T100275</t>
        </is>
      </c>
    </row>
    <row r="277">
      <c r="A277" t="inlineStr">
        <is>
          <t>T100276</t>
        </is>
      </c>
      <c r="B277" t="inlineStr">
        <is>
          <t>2026-06-30</t>
        </is>
      </c>
      <c r="C277" t="inlineStr">
        <is>
          <t>09:27:29</t>
        </is>
      </c>
      <c r="D277" t="inlineStr">
        <is>
          <t>TCS</t>
        </is>
      </c>
      <c r="E277" t="inlineStr">
        <is>
          <t>Equity</t>
        </is>
      </c>
      <c r="F277" t="inlineStr">
        <is>
          <t>BUY</t>
        </is>
      </c>
      <c r="G277" t="n">
        <v>75</v>
      </c>
      <c r="H277" t="n">
        <v>3896.38</v>
      </c>
      <c r="I277" t="n">
        <v>292228.5</v>
      </c>
      <c r="J277" t="n">
        <v>102.28</v>
      </c>
      <c r="K277" t="inlineStr">
        <is>
          <t>NSE</t>
        </is>
      </c>
      <c r="L277" t="inlineStr">
        <is>
          <t>QE-CLEARING</t>
        </is>
      </c>
      <c r="M277" t="inlineStr">
        <is>
          <t>T100276</t>
        </is>
      </c>
    </row>
    <row r="278">
      <c r="A278" t="inlineStr">
        <is>
          <t>T100277</t>
        </is>
      </c>
      <c r="B278" t="inlineStr">
        <is>
          <t>2026-06-30</t>
        </is>
      </c>
      <c r="C278" t="inlineStr">
        <is>
          <t>14:43:42</t>
        </is>
      </c>
      <c r="D278" t="inlineStr">
        <is>
          <t>TCS</t>
        </is>
      </c>
      <c r="E278" t="inlineStr">
        <is>
          <t>Equity</t>
        </is>
      </c>
      <c r="F278" t="inlineStr">
        <is>
          <t>SELL</t>
        </is>
      </c>
      <c r="G278" t="n">
        <v>500</v>
      </c>
      <c r="H278" t="n">
        <v>3891.56</v>
      </c>
      <c r="I278" t="n">
        <v>1945780</v>
      </c>
      <c r="J278" t="n">
        <v>681.02</v>
      </c>
      <c r="K278" t="inlineStr">
        <is>
          <t>BSE</t>
        </is>
      </c>
      <c r="L278" t="inlineStr">
        <is>
          <t>QE-CLEARING</t>
        </is>
      </c>
      <c r="M278" t="inlineStr">
        <is>
          <t>T100277</t>
        </is>
      </c>
    </row>
    <row r="279">
      <c r="A279" t="inlineStr">
        <is>
          <t>T100278</t>
        </is>
      </c>
      <c r="B279" t="inlineStr">
        <is>
          <t>2026-06-30</t>
        </is>
      </c>
      <c r="C279" t="inlineStr">
        <is>
          <t>09:35:53</t>
        </is>
      </c>
      <c r="D279" t="inlineStr">
        <is>
          <t>LT</t>
        </is>
      </c>
      <c r="E279" t="inlineStr">
        <is>
          <t>Equity</t>
        </is>
      </c>
      <c r="F279" t="inlineStr">
        <is>
          <t>SELL</t>
        </is>
      </c>
      <c r="G279" t="n">
        <v>200</v>
      </c>
      <c r="H279" t="n">
        <v>3608.56</v>
      </c>
      <c r="I279" t="n">
        <v>721712</v>
      </c>
      <c r="J279" t="n">
        <v>252.6</v>
      </c>
      <c r="K279" t="inlineStr">
        <is>
          <t>BSE</t>
        </is>
      </c>
      <c r="L279" t="inlineStr">
        <is>
          <t>QE-CLEARING</t>
        </is>
      </c>
      <c r="M279" t="inlineStr">
        <is>
          <t>T100278</t>
        </is>
      </c>
    </row>
    <row r="280">
      <c r="A280" t="inlineStr">
        <is>
          <t>T100279</t>
        </is>
      </c>
      <c r="B280" t="inlineStr">
        <is>
          <t>2026-06-30</t>
        </is>
      </c>
      <c r="C280" t="inlineStr">
        <is>
          <t>10:07:39</t>
        </is>
      </c>
      <c r="D280" t="inlineStr">
        <is>
          <t>ICICIBANK</t>
        </is>
      </c>
      <c r="E280" t="inlineStr">
        <is>
          <t>Equity</t>
        </is>
      </c>
      <c r="F280" t="inlineStr">
        <is>
          <t>BUY</t>
        </is>
      </c>
      <c r="G280" t="n">
        <v>300</v>
      </c>
      <c r="H280" t="n">
        <v>1235.82</v>
      </c>
      <c r="I280" t="n">
        <v>370746</v>
      </c>
      <c r="J280" t="n">
        <v>129.76</v>
      </c>
      <c r="K280" t="inlineStr">
        <is>
          <t>BSE</t>
        </is>
      </c>
      <c r="L280" t="inlineStr">
        <is>
          <t>QE-CLEARING</t>
        </is>
      </c>
      <c r="M280" t="inlineStr">
        <is>
          <t>T100279</t>
        </is>
      </c>
    </row>
    <row r="281">
      <c r="A281" t="inlineStr">
        <is>
          <t>T100280</t>
        </is>
      </c>
      <c r="B281" t="inlineStr">
        <is>
          <t>2026-06-30</t>
        </is>
      </c>
      <c r="C281" t="inlineStr">
        <is>
          <t>14:04:29</t>
        </is>
      </c>
      <c r="D281" t="inlineStr">
        <is>
          <t>HDFCBANK</t>
        </is>
      </c>
      <c r="E281" t="inlineStr">
        <is>
          <t>Equity</t>
        </is>
      </c>
      <c r="F281" t="inlineStr">
        <is>
          <t>BUY</t>
        </is>
      </c>
      <c r="G281" t="n">
        <v>75</v>
      </c>
      <c r="H281" t="n">
        <v>1687.88</v>
      </c>
      <c r="I281" t="n">
        <v>126591</v>
      </c>
      <c r="J281" t="n">
        <v>44.31</v>
      </c>
      <c r="K281" t="inlineStr">
        <is>
          <t>BSE</t>
        </is>
      </c>
      <c r="L281" t="inlineStr">
        <is>
          <t>QE-CLEARING</t>
        </is>
      </c>
      <c r="M281" t="inlineStr">
        <is>
          <t>T100280</t>
        </is>
      </c>
    </row>
    <row r="282">
      <c r="A282" t="inlineStr">
        <is>
          <t>T100281</t>
        </is>
      </c>
      <c r="B282" t="inlineStr">
        <is>
          <t>2026-06-30</t>
        </is>
      </c>
      <c r="C282" t="inlineStr">
        <is>
          <t>14:17:53</t>
        </is>
      </c>
      <c r="D282" t="inlineStr">
        <is>
          <t>ICICIBANK</t>
        </is>
      </c>
      <c r="E282" t="inlineStr">
        <is>
          <t>Equity</t>
        </is>
      </c>
      <c r="F282" t="inlineStr">
        <is>
          <t>SELL</t>
        </is>
      </c>
      <c r="G282" t="n">
        <v>500</v>
      </c>
      <c r="H282" t="n">
        <v>1244.64</v>
      </c>
      <c r="I282" t="n">
        <v>622320</v>
      </c>
      <c r="J282" t="n">
        <v>217.81</v>
      </c>
      <c r="K282" t="inlineStr">
        <is>
          <t>NSE</t>
        </is>
      </c>
      <c r="L282" t="inlineStr">
        <is>
          <t>QE-CLEARING</t>
        </is>
      </c>
      <c r="M282" t="inlineStr">
        <is>
          <t>T100281</t>
        </is>
      </c>
    </row>
    <row r="283">
      <c r="A283" t="inlineStr">
        <is>
          <t>T100282</t>
        </is>
      </c>
      <c r="B283" t="inlineStr">
        <is>
          <t>2026-06-30</t>
        </is>
      </c>
      <c r="C283" t="inlineStr">
        <is>
          <t>13:37:03</t>
        </is>
      </c>
      <c r="D283" t="inlineStr">
        <is>
          <t>SUNPHARMA</t>
        </is>
      </c>
      <c r="E283" t="inlineStr">
        <is>
          <t>Equity</t>
        </is>
      </c>
      <c r="F283" t="inlineStr">
        <is>
          <t>BUY</t>
        </is>
      </c>
      <c r="G283" t="n">
        <v>75</v>
      </c>
      <c r="H283" t="n">
        <v>1726.53</v>
      </c>
      <c r="I283" t="n">
        <v>129489.75</v>
      </c>
      <c r="J283" t="n">
        <v>45.32</v>
      </c>
      <c r="K283" t="inlineStr">
        <is>
          <t>BSE</t>
        </is>
      </c>
      <c r="L283" t="inlineStr">
        <is>
          <t>QE-CLEARING</t>
        </is>
      </c>
      <c r="M283" t="inlineStr">
        <is>
          <t>T100282</t>
        </is>
      </c>
    </row>
    <row r="284">
      <c r="A284" t="inlineStr">
        <is>
          <t>T100283</t>
        </is>
      </c>
      <c r="B284" t="inlineStr">
        <is>
          <t>2026-06-30</t>
        </is>
      </c>
      <c r="C284" t="inlineStr">
        <is>
          <t>10:27:58</t>
        </is>
      </c>
      <c r="D284" t="inlineStr">
        <is>
          <t>TATAMOTORS</t>
        </is>
      </c>
      <c r="E284" t="inlineStr">
        <is>
          <t>Equity</t>
        </is>
      </c>
      <c r="F284" t="inlineStr">
        <is>
          <t>BUY</t>
        </is>
      </c>
      <c r="G284" t="n">
        <v>75</v>
      </c>
      <c r="H284" t="n">
        <v>983.59</v>
      </c>
      <c r="I284" t="n">
        <v>73769.25</v>
      </c>
      <c r="J284" t="n">
        <v>25.82</v>
      </c>
      <c r="K284" t="inlineStr">
        <is>
          <t>BSE</t>
        </is>
      </c>
      <c r="L284" t="inlineStr">
        <is>
          <t>QE-CLEARING</t>
        </is>
      </c>
      <c r="M284" t="inlineStr">
        <is>
          <t>T100283</t>
        </is>
      </c>
    </row>
    <row r="285">
      <c r="A285" t="inlineStr">
        <is>
          <t>T100284</t>
        </is>
      </c>
      <c r="B285" t="inlineStr">
        <is>
          <t>2026-06-30</t>
        </is>
      </c>
      <c r="C285" t="inlineStr">
        <is>
          <t>09:09:09</t>
        </is>
      </c>
      <c r="D285" t="inlineStr">
        <is>
          <t>LT</t>
        </is>
      </c>
      <c r="E285" t="inlineStr">
        <is>
          <t>Equity</t>
        </is>
      </c>
      <c r="F285" t="inlineStr">
        <is>
          <t>BUY</t>
        </is>
      </c>
      <c r="G285" t="n">
        <v>100</v>
      </c>
      <c r="H285" t="n">
        <v>3620.78</v>
      </c>
      <c r="I285" t="n">
        <v>362078</v>
      </c>
      <c r="J285" t="n">
        <v>126.73</v>
      </c>
      <c r="K285" t="inlineStr">
        <is>
          <t>BSE</t>
        </is>
      </c>
      <c r="L285" t="inlineStr">
        <is>
          <t>QE-CLEARING</t>
        </is>
      </c>
      <c r="M285" t="inlineStr">
        <is>
          <t>T100284</t>
        </is>
      </c>
    </row>
    <row r="286">
      <c r="A286" t="inlineStr">
        <is>
          <t>T100285</t>
        </is>
      </c>
      <c r="B286" t="inlineStr">
        <is>
          <t>2026-06-30</t>
        </is>
      </c>
      <c r="C286" t="inlineStr">
        <is>
          <t>12:34:21</t>
        </is>
      </c>
      <c r="D286" t="inlineStr">
        <is>
          <t>TATAMOTORS</t>
        </is>
      </c>
      <c r="E286" t="inlineStr">
        <is>
          <t>Equity</t>
        </is>
      </c>
      <c r="F286" t="inlineStr">
        <is>
          <t>SELL</t>
        </is>
      </c>
      <c r="G286" t="n">
        <v>75</v>
      </c>
      <c r="H286" t="n">
        <v>988.71</v>
      </c>
      <c r="I286" t="n">
        <v>74153.25</v>
      </c>
      <c r="J286" t="n">
        <v>25.95</v>
      </c>
      <c r="K286" t="inlineStr">
        <is>
          <t>BSE</t>
        </is>
      </c>
      <c r="L286" t="inlineStr">
        <is>
          <t>QE-CLEARING</t>
        </is>
      </c>
      <c r="M286" t="inlineStr">
        <is>
          <t>T100285</t>
        </is>
      </c>
    </row>
    <row r="287">
      <c r="A287" t="inlineStr">
        <is>
          <t>T100286</t>
        </is>
      </c>
      <c r="B287" t="inlineStr">
        <is>
          <t>2026-06-30</t>
        </is>
      </c>
      <c r="C287" t="inlineStr">
        <is>
          <t>10:00:11</t>
        </is>
      </c>
      <c r="D287" t="inlineStr">
        <is>
          <t>AXISBANK</t>
        </is>
      </c>
      <c r="E287" t="inlineStr">
        <is>
          <t>Equity</t>
        </is>
      </c>
      <c r="F287" t="inlineStr">
        <is>
          <t>SELL</t>
        </is>
      </c>
      <c r="G287" t="n">
        <v>50</v>
      </c>
      <c r="H287" t="n">
        <v>1131.67</v>
      </c>
      <c r="I287" t="n">
        <v>56583.5</v>
      </c>
      <c r="J287" t="n">
        <v>19.8</v>
      </c>
      <c r="K287" t="inlineStr">
        <is>
          <t>NSE</t>
        </is>
      </c>
      <c r="L287" t="inlineStr">
        <is>
          <t>QE-CLEARING</t>
        </is>
      </c>
      <c r="M287" t="inlineStr">
        <is>
          <t>T100286</t>
        </is>
      </c>
    </row>
    <row r="288">
      <c r="A288" t="inlineStr">
        <is>
          <t>T100287</t>
        </is>
      </c>
      <c r="B288" t="inlineStr">
        <is>
          <t>2026-06-30</t>
        </is>
      </c>
      <c r="C288" t="inlineStr">
        <is>
          <t>11:47:01</t>
        </is>
      </c>
      <c r="D288" t="inlineStr">
        <is>
          <t>ICICIBANK</t>
        </is>
      </c>
      <c r="E288" t="inlineStr">
        <is>
          <t>Equity</t>
        </is>
      </c>
      <c r="F288" t="inlineStr">
        <is>
          <t>SELL</t>
        </is>
      </c>
      <c r="G288" t="n">
        <v>150</v>
      </c>
      <c r="H288" t="n">
        <v>1244.55</v>
      </c>
      <c r="I288" t="n">
        <v>186682.5</v>
      </c>
      <c r="J288" t="n">
        <v>65.34</v>
      </c>
      <c r="K288" t="inlineStr">
        <is>
          <t>NSE</t>
        </is>
      </c>
      <c r="L288" t="inlineStr">
        <is>
          <t>QE-CLEARING</t>
        </is>
      </c>
      <c r="M288" t="inlineStr">
        <is>
          <t>T100287</t>
        </is>
      </c>
    </row>
    <row r="289">
      <c r="A289" t="inlineStr">
        <is>
          <t>T100288</t>
        </is>
      </c>
      <c r="B289" t="inlineStr">
        <is>
          <t>2026-06-30</t>
        </is>
      </c>
      <c r="C289" t="inlineStr">
        <is>
          <t>11:29:52</t>
        </is>
      </c>
      <c r="D289" t="inlineStr">
        <is>
          <t>ITC</t>
        </is>
      </c>
      <c r="E289" t="inlineStr">
        <is>
          <t>Equity</t>
        </is>
      </c>
      <c r="F289" t="inlineStr">
        <is>
          <t>BUY</t>
        </is>
      </c>
      <c r="G289" t="n">
        <v>250</v>
      </c>
      <c r="H289" t="n">
        <v>446.45</v>
      </c>
      <c r="I289" t="n">
        <v>111612.5</v>
      </c>
      <c r="J289" t="n">
        <v>39.06</v>
      </c>
      <c r="K289" t="inlineStr">
        <is>
          <t>BSE</t>
        </is>
      </c>
      <c r="L289" t="inlineStr">
        <is>
          <t>QE-CLEARING</t>
        </is>
      </c>
      <c r="M289" t="inlineStr">
        <is>
          <t>T100288</t>
        </is>
      </c>
    </row>
    <row r="290">
      <c r="A290" t="inlineStr">
        <is>
          <t>T100289</t>
        </is>
      </c>
      <c r="B290" t="inlineStr">
        <is>
          <t>2026-06-30</t>
        </is>
      </c>
      <c r="C290" t="inlineStr">
        <is>
          <t>09:59:24</t>
        </is>
      </c>
      <c r="D290" t="inlineStr">
        <is>
          <t>LT</t>
        </is>
      </c>
      <c r="E290" t="inlineStr">
        <is>
          <t>Equity</t>
        </is>
      </c>
      <c r="F290" t="inlineStr">
        <is>
          <t>BUY</t>
        </is>
      </c>
      <c r="G290" t="n">
        <v>500</v>
      </c>
      <c r="H290" t="n">
        <v>3608.07</v>
      </c>
      <c r="I290" t="n">
        <v>1804035</v>
      </c>
      <c r="J290" t="n">
        <v>631.41</v>
      </c>
      <c r="K290" t="inlineStr">
        <is>
          <t>NSE</t>
        </is>
      </c>
      <c r="L290" t="inlineStr">
        <is>
          <t>QE-CLEARING</t>
        </is>
      </c>
      <c r="M290" t="inlineStr">
        <is>
          <t>T100289</t>
        </is>
      </c>
    </row>
    <row r="291">
      <c r="A291" t="inlineStr">
        <is>
          <t>T100290</t>
        </is>
      </c>
      <c r="B291" t="inlineStr">
        <is>
          <t>2026-06-30</t>
        </is>
      </c>
      <c r="C291" t="inlineStr">
        <is>
          <t>11:41:32</t>
        </is>
      </c>
      <c r="D291" t="inlineStr">
        <is>
          <t>RELIANCE</t>
        </is>
      </c>
      <c r="E291" t="inlineStr">
        <is>
          <t>Equity</t>
        </is>
      </c>
      <c r="F291" t="inlineStr">
        <is>
          <t>SELL</t>
        </is>
      </c>
      <c r="G291" t="n">
        <v>250</v>
      </c>
      <c r="H291" t="n">
        <v>1424.92</v>
      </c>
      <c r="I291" t="n">
        <v>356230</v>
      </c>
      <c r="J291" t="n">
        <v>124.68</v>
      </c>
      <c r="K291" t="inlineStr">
        <is>
          <t>NSE</t>
        </is>
      </c>
      <c r="L291" t="inlineStr">
        <is>
          <t>QE-CLEARING</t>
        </is>
      </c>
      <c r="M291" t="inlineStr">
        <is>
          <t>T100290</t>
        </is>
      </c>
    </row>
    <row r="292">
      <c r="A292" t="inlineStr">
        <is>
          <t>T100291</t>
        </is>
      </c>
      <c r="B292" t="inlineStr">
        <is>
          <t>2026-06-30</t>
        </is>
      </c>
      <c r="C292" t="inlineStr">
        <is>
          <t>12:44:06</t>
        </is>
      </c>
      <c r="D292" t="inlineStr">
        <is>
          <t>AXISBANK</t>
        </is>
      </c>
      <c r="E292" t="inlineStr">
        <is>
          <t>Equity</t>
        </is>
      </c>
      <c r="F292" t="inlineStr">
        <is>
          <t>BUY</t>
        </is>
      </c>
      <c r="G292" t="n">
        <v>50</v>
      </c>
      <c r="H292" t="n">
        <v>1132.64</v>
      </c>
      <c r="I292" t="n">
        <v>56632</v>
      </c>
      <c r="J292" t="n">
        <v>19.82</v>
      </c>
      <c r="K292" t="inlineStr">
        <is>
          <t>NSE</t>
        </is>
      </c>
      <c r="L292" t="inlineStr">
        <is>
          <t>QE-CLEARING</t>
        </is>
      </c>
      <c r="M292" t="inlineStr">
        <is>
          <t>T100291</t>
        </is>
      </c>
    </row>
    <row r="293">
      <c r="A293" t="inlineStr">
        <is>
          <t>T100292</t>
        </is>
      </c>
      <c r="B293" t="inlineStr">
        <is>
          <t>2026-06-30</t>
        </is>
      </c>
      <c r="C293" t="inlineStr">
        <is>
          <t>11:03:38</t>
        </is>
      </c>
      <c r="D293" t="inlineStr">
        <is>
          <t>RELIANCE</t>
        </is>
      </c>
      <c r="E293" t="inlineStr">
        <is>
          <t>Equity</t>
        </is>
      </c>
      <c r="F293" t="inlineStr">
        <is>
          <t>BUY</t>
        </is>
      </c>
      <c r="G293" t="n">
        <v>500</v>
      </c>
      <c r="H293" t="n">
        <v>1422.32</v>
      </c>
      <c r="I293" t="n">
        <v>711160</v>
      </c>
      <c r="J293" t="n">
        <v>248.91</v>
      </c>
      <c r="K293" t="inlineStr">
        <is>
          <t>BSE</t>
        </is>
      </c>
      <c r="L293" t="inlineStr">
        <is>
          <t>QE-CLEARING</t>
        </is>
      </c>
      <c r="M293" t="inlineStr">
        <is>
          <t>T100292</t>
        </is>
      </c>
    </row>
    <row r="294">
      <c r="A294" t="inlineStr">
        <is>
          <t>T100293</t>
        </is>
      </c>
      <c r="B294" t="inlineStr">
        <is>
          <t>2026-06-30</t>
        </is>
      </c>
      <c r="C294" t="inlineStr">
        <is>
          <t>10:27:05</t>
        </is>
      </c>
      <c r="D294" t="inlineStr">
        <is>
          <t>BAJFINANCE</t>
        </is>
      </c>
      <c r="E294" t="inlineStr">
        <is>
          <t>Equity</t>
        </is>
      </c>
      <c r="F294" t="inlineStr">
        <is>
          <t>SELL</t>
        </is>
      </c>
      <c r="G294" t="n">
        <v>200</v>
      </c>
      <c r="H294" t="n">
        <v>7158.91</v>
      </c>
      <c r="I294" t="n">
        <v>1431782</v>
      </c>
      <c r="J294" t="n">
        <v>501.12</v>
      </c>
      <c r="K294" t="inlineStr">
        <is>
          <t>NSE</t>
        </is>
      </c>
      <c r="L294" t="inlineStr">
        <is>
          <t>QE-CLEARING</t>
        </is>
      </c>
      <c r="M294" t="inlineStr">
        <is>
          <t>T100293</t>
        </is>
      </c>
    </row>
    <row r="295">
      <c r="A295" t="inlineStr">
        <is>
          <t>T100294</t>
        </is>
      </c>
      <c r="B295" t="inlineStr">
        <is>
          <t>2026-06-30</t>
        </is>
      </c>
      <c r="C295" t="inlineStr">
        <is>
          <t>10:32:03</t>
        </is>
      </c>
      <c r="D295" t="inlineStr">
        <is>
          <t>LT</t>
        </is>
      </c>
      <c r="E295" t="inlineStr">
        <is>
          <t>Equity</t>
        </is>
      </c>
      <c r="F295" t="inlineStr">
        <is>
          <t>BUY</t>
        </is>
      </c>
      <c r="G295" t="n">
        <v>100</v>
      </c>
      <c r="H295" t="n">
        <v>3606.89</v>
      </c>
      <c r="I295" t="n">
        <v>360689</v>
      </c>
      <c r="J295" t="n">
        <v>126.24</v>
      </c>
      <c r="K295" t="inlineStr">
        <is>
          <t>NSE</t>
        </is>
      </c>
      <c r="L295" t="inlineStr">
        <is>
          <t>QE-CLEARING</t>
        </is>
      </c>
      <c r="M295" t="inlineStr">
        <is>
          <t>T100294</t>
        </is>
      </c>
    </row>
    <row r="296">
      <c r="A296" t="inlineStr">
        <is>
          <t>T100295</t>
        </is>
      </c>
      <c r="B296" t="inlineStr">
        <is>
          <t>2026-06-30</t>
        </is>
      </c>
      <c r="C296" t="inlineStr">
        <is>
          <t>12:42:41</t>
        </is>
      </c>
      <c r="D296" t="inlineStr">
        <is>
          <t>SBIN</t>
        </is>
      </c>
      <c r="E296" t="inlineStr">
        <is>
          <t>Equity</t>
        </is>
      </c>
      <c r="F296" t="inlineStr">
        <is>
          <t>SELL</t>
        </is>
      </c>
      <c r="G296" t="n">
        <v>250</v>
      </c>
      <c r="H296" t="n">
        <v>814.8099999999999</v>
      </c>
      <c r="I296" t="n">
        <v>203702.5</v>
      </c>
      <c r="J296" t="n">
        <v>71.3</v>
      </c>
      <c r="K296" t="inlineStr">
        <is>
          <t>BSE</t>
        </is>
      </c>
      <c r="L296" t="inlineStr">
        <is>
          <t>QE-CLEARING</t>
        </is>
      </c>
      <c r="M296" t="inlineStr">
        <is>
          <t>T100295</t>
        </is>
      </c>
    </row>
    <row r="297">
      <c r="A297" t="inlineStr">
        <is>
          <t>T100296</t>
        </is>
      </c>
      <c r="B297" t="inlineStr">
        <is>
          <t>2026-06-30</t>
        </is>
      </c>
      <c r="C297" t="inlineStr">
        <is>
          <t>12:28:06</t>
        </is>
      </c>
      <c r="D297" t="inlineStr">
        <is>
          <t>LT</t>
        </is>
      </c>
      <c r="E297" t="inlineStr">
        <is>
          <t>Equity</t>
        </is>
      </c>
      <c r="F297" t="inlineStr">
        <is>
          <t>SELL</t>
        </is>
      </c>
      <c r="G297" t="n">
        <v>100</v>
      </c>
      <c r="H297" t="n">
        <v>3631.28</v>
      </c>
      <c r="I297" t="n">
        <v>363128</v>
      </c>
      <c r="J297" t="n">
        <v>127.09</v>
      </c>
      <c r="K297" t="inlineStr">
        <is>
          <t>NSE</t>
        </is>
      </c>
      <c r="L297" t="inlineStr">
        <is>
          <t>QE-CLEARING</t>
        </is>
      </c>
      <c r="M297" t="inlineStr">
        <is>
          <t>T100296</t>
        </is>
      </c>
    </row>
    <row r="298">
      <c r="A298" t="inlineStr">
        <is>
          <t>T100297</t>
        </is>
      </c>
      <c r="B298" t="inlineStr">
        <is>
          <t>2026-06-30</t>
        </is>
      </c>
      <c r="C298" t="inlineStr">
        <is>
          <t>11:00:56</t>
        </is>
      </c>
      <c r="D298" t="inlineStr">
        <is>
          <t>RELIANCE</t>
        </is>
      </c>
      <c r="E298" t="inlineStr">
        <is>
          <t>Equity</t>
        </is>
      </c>
      <c r="F298" t="inlineStr">
        <is>
          <t>BUY</t>
        </is>
      </c>
      <c r="G298" t="n">
        <v>75</v>
      </c>
      <c r="H298" t="n">
        <v>1416.76</v>
      </c>
      <c r="I298" t="n">
        <v>106257</v>
      </c>
      <c r="J298" t="n">
        <v>37.19</v>
      </c>
      <c r="K298" t="inlineStr">
        <is>
          <t>NSE</t>
        </is>
      </c>
      <c r="L298" t="inlineStr">
        <is>
          <t>QE-CLEARING</t>
        </is>
      </c>
      <c r="M298" t="inlineStr">
        <is>
          <t>T100297</t>
        </is>
      </c>
    </row>
    <row r="299">
      <c r="A299" t="inlineStr">
        <is>
          <t>T100298</t>
        </is>
      </c>
      <c r="B299" t="inlineStr">
        <is>
          <t>2026-06-30</t>
        </is>
      </c>
      <c r="C299" t="inlineStr">
        <is>
          <t>09:15:22</t>
        </is>
      </c>
      <c r="D299" t="inlineStr">
        <is>
          <t>KOTAKBANK</t>
        </is>
      </c>
      <c r="E299" t="inlineStr">
        <is>
          <t>Equity</t>
        </is>
      </c>
      <c r="F299" t="inlineStr">
        <is>
          <t>SELL</t>
        </is>
      </c>
      <c r="G299" t="n">
        <v>150</v>
      </c>
      <c r="H299" t="n">
        <v>1791.13</v>
      </c>
      <c r="I299" t="n">
        <v>268669.5</v>
      </c>
      <c r="J299" t="n">
        <v>94.03</v>
      </c>
      <c r="K299" t="inlineStr">
        <is>
          <t>BSE</t>
        </is>
      </c>
      <c r="L299" t="inlineStr">
        <is>
          <t>QE-CLEARING</t>
        </is>
      </c>
      <c r="M299" t="inlineStr">
        <is>
          <t>T100298</t>
        </is>
      </c>
    </row>
    <row r="300">
      <c r="A300" t="inlineStr">
        <is>
          <t>T100299</t>
        </is>
      </c>
      <c r="B300" t="inlineStr">
        <is>
          <t>2026-06-30</t>
        </is>
      </c>
      <c r="C300" t="inlineStr">
        <is>
          <t>15:51:49</t>
        </is>
      </c>
      <c r="D300" t="inlineStr">
        <is>
          <t>ICICIBANK</t>
        </is>
      </c>
      <c r="E300" t="inlineStr">
        <is>
          <t>Equity</t>
        </is>
      </c>
      <c r="F300" t="inlineStr">
        <is>
          <t>SELL</t>
        </is>
      </c>
      <c r="G300" t="n">
        <v>100</v>
      </c>
      <c r="H300" t="n">
        <v>1237.25</v>
      </c>
      <c r="I300" t="n">
        <v>123725</v>
      </c>
      <c r="J300" t="n">
        <v>43.3</v>
      </c>
      <c r="K300" t="inlineStr">
        <is>
          <t>BSE</t>
        </is>
      </c>
      <c r="L300" t="inlineStr">
        <is>
          <t>QE-CLEARING</t>
        </is>
      </c>
      <c r="M300" t="inlineStr">
        <is>
          <t>T100299</t>
        </is>
      </c>
    </row>
    <row r="301">
      <c r="A301" t="inlineStr">
        <is>
          <t>T100300</t>
        </is>
      </c>
      <c r="B301" t="inlineStr">
        <is>
          <t>2026-06-30</t>
        </is>
      </c>
      <c r="C301" t="inlineStr">
        <is>
          <t>14:44:15</t>
        </is>
      </c>
      <c r="D301" t="inlineStr">
        <is>
          <t>LT</t>
        </is>
      </c>
      <c r="E301" t="inlineStr">
        <is>
          <t>Equity</t>
        </is>
      </c>
      <c r="F301" t="inlineStr">
        <is>
          <t>BUY</t>
        </is>
      </c>
      <c r="G301" t="n">
        <v>200</v>
      </c>
      <c r="H301" t="n">
        <v>3607.17</v>
      </c>
      <c r="I301" t="n">
        <v>721434</v>
      </c>
      <c r="J301" t="n">
        <v>252.5</v>
      </c>
      <c r="K301" t="inlineStr">
        <is>
          <t>BSE</t>
        </is>
      </c>
      <c r="L301" t="inlineStr">
        <is>
          <t>QE-CLEARING</t>
        </is>
      </c>
      <c r="M301" t="inlineStr">
        <is>
          <t>T100300</t>
        </is>
      </c>
    </row>
    <row r="302">
      <c r="A302" t="inlineStr">
        <is>
          <t>T100301</t>
        </is>
      </c>
      <c r="B302" t="inlineStr">
        <is>
          <t>2026-06-30</t>
        </is>
      </c>
      <c r="C302" t="inlineStr">
        <is>
          <t>11:51:28</t>
        </is>
      </c>
      <c r="D302" t="inlineStr">
        <is>
          <t>NIFTY-FUT</t>
        </is>
      </c>
      <c r="E302" t="inlineStr">
        <is>
          <t>Future</t>
        </is>
      </c>
      <c r="F302" t="inlineStr">
        <is>
          <t>SELL</t>
        </is>
      </c>
      <c r="G302" t="n">
        <v>75</v>
      </c>
      <c r="H302" t="n">
        <v>24823.65</v>
      </c>
      <c r="I302" t="n">
        <v>1861773.75</v>
      </c>
      <c r="J302" t="n">
        <v>372.35</v>
      </c>
      <c r="K302" t="inlineStr">
        <is>
          <t>BSE</t>
        </is>
      </c>
      <c r="L302" t="inlineStr">
        <is>
          <t>QE-CLEARING</t>
        </is>
      </c>
      <c r="M302" t="inlineStr">
        <is>
          <t>T100301</t>
        </is>
      </c>
    </row>
    <row r="303">
      <c r="A303" t="inlineStr">
        <is>
          <t>T100302</t>
        </is>
      </c>
      <c r="B303" t="inlineStr">
        <is>
          <t>2026-06-30</t>
        </is>
      </c>
      <c r="C303" t="inlineStr">
        <is>
          <t>15:28:51</t>
        </is>
      </c>
      <c r="D303" t="inlineStr">
        <is>
          <t>NIFTY-FUT</t>
        </is>
      </c>
      <c r="E303" t="inlineStr">
        <is>
          <t>Future</t>
        </is>
      </c>
      <c r="F303" t="inlineStr">
        <is>
          <t>SELL</t>
        </is>
      </c>
      <c r="G303" t="n">
        <v>100</v>
      </c>
      <c r="H303" t="n">
        <v>24784.86</v>
      </c>
      <c r="I303" t="n">
        <v>2478486</v>
      </c>
      <c r="J303" t="n">
        <v>495.7</v>
      </c>
      <c r="K303" t="inlineStr">
        <is>
          <t>BSE</t>
        </is>
      </c>
      <c r="L303" t="inlineStr">
        <is>
          <t>QE-CLEARING</t>
        </is>
      </c>
      <c r="M303" t="inlineStr">
        <is>
          <t>T100302</t>
        </is>
      </c>
    </row>
    <row r="304">
      <c r="A304" t="inlineStr">
        <is>
          <t>T100303</t>
        </is>
      </c>
      <c r="B304" t="inlineStr">
        <is>
          <t>2026-06-30</t>
        </is>
      </c>
      <c r="C304" t="inlineStr">
        <is>
          <t>10:52:15</t>
        </is>
      </c>
      <c r="D304" t="inlineStr">
        <is>
          <t>FINNIFTY-FUT</t>
        </is>
      </c>
      <c r="E304" t="inlineStr">
        <is>
          <t>Future</t>
        </is>
      </c>
      <c r="F304" t="inlineStr">
        <is>
          <t>BUY</t>
        </is>
      </c>
      <c r="G304" t="n">
        <v>80</v>
      </c>
      <c r="H304" t="n">
        <v>26051.69</v>
      </c>
      <c r="I304" t="n">
        <v>2084135.2</v>
      </c>
      <c r="J304" t="n">
        <v>416.83</v>
      </c>
      <c r="K304" t="inlineStr">
        <is>
          <t>NSE</t>
        </is>
      </c>
      <c r="L304" t="inlineStr">
        <is>
          <t>QE-CLEARING</t>
        </is>
      </c>
      <c r="M304" t="inlineStr">
        <is>
          <t>T100303</t>
        </is>
      </c>
    </row>
    <row r="305">
      <c r="A305" t="inlineStr">
        <is>
          <t>T100304</t>
        </is>
      </c>
      <c r="B305" t="inlineStr">
        <is>
          <t>2026-06-30</t>
        </is>
      </c>
      <c r="C305" t="inlineStr">
        <is>
          <t>12:29:38</t>
        </is>
      </c>
      <c r="D305" t="inlineStr">
        <is>
          <t>NIFTY-FUT</t>
        </is>
      </c>
      <c r="E305" t="inlineStr">
        <is>
          <t>Future</t>
        </is>
      </c>
      <c r="F305" t="inlineStr">
        <is>
          <t>BUY</t>
        </is>
      </c>
      <c r="G305" t="n">
        <v>50</v>
      </c>
      <c r="H305" t="n">
        <v>24875.55</v>
      </c>
      <c r="I305" t="n">
        <v>1243777.5</v>
      </c>
      <c r="J305" t="n">
        <v>248.76</v>
      </c>
      <c r="K305" t="inlineStr">
        <is>
          <t>NSE</t>
        </is>
      </c>
      <c r="L305" t="inlineStr">
        <is>
          <t>QE-CLEARING</t>
        </is>
      </c>
      <c r="M305" t="inlineStr">
        <is>
          <t>T100304</t>
        </is>
      </c>
    </row>
    <row r="306">
      <c r="A306" t="inlineStr">
        <is>
          <t>T100305</t>
        </is>
      </c>
      <c r="B306" t="inlineStr">
        <is>
          <t>2026-06-30</t>
        </is>
      </c>
      <c r="C306" t="inlineStr">
        <is>
          <t>10:51:45</t>
        </is>
      </c>
      <c r="D306" t="inlineStr">
        <is>
          <t>FINNIFTY-FUT</t>
        </is>
      </c>
      <c r="E306" t="inlineStr">
        <is>
          <t>Future</t>
        </is>
      </c>
      <c r="F306" t="inlineStr">
        <is>
          <t>BUY</t>
        </is>
      </c>
      <c r="G306" t="n">
        <v>200</v>
      </c>
      <c r="H306" t="n">
        <v>26181.65</v>
      </c>
      <c r="I306" t="n">
        <v>5236330</v>
      </c>
      <c r="J306" t="n">
        <v>1047.27</v>
      </c>
      <c r="K306" t="inlineStr">
        <is>
          <t>NSE</t>
        </is>
      </c>
      <c r="L306" t="inlineStr">
        <is>
          <t>QE-CLEARING</t>
        </is>
      </c>
      <c r="M306" t="inlineStr">
        <is>
          <t>T100305</t>
        </is>
      </c>
    </row>
    <row r="307">
      <c r="A307" t="inlineStr">
        <is>
          <t>T100306</t>
        </is>
      </c>
      <c r="B307" t="inlineStr">
        <is>
          <t>2026-06-30</t>
        </is>
      </c>
      <c r="C307" t="inlineStr">
        <is>
          <t>11:53:47</t>
        </is>
      </c>
      <c r="D307" t="inlineStr">
        <is>
          <t>FINNIFTY-FUT</t>
        </is>
      </c>
      <c r="E307" t="inlineStr">
        <is>
          <t>Future</t>
        </is>
      </c>
      <c r="F307" t="inlineStr">
        <is>
          <t>SELL</t>
        </is>
      </c>
      <c r="G307" t="n">
        <v>80</v>
      </c>
      <c r="H307" t="n">
        <v>26083.94</v>
      </c>
      <c r="I307" t="n">
        <v>2086715.2</v>
      </c>
      <c r="J307" t="n">
        <v>417.34</v>
      </c>
      <c r="K307" t="inlineStr">
        <is>
          <t>BSE</t>
        </is>
      </c>
      <c r="L307" t="inlineStr">
        <is>
          <t>QE-CLEARING</t>
        </is>
      </c>
      <c r="M307" t="inlineStr">
        <is>
          <t>T100306</t>
        </is>
      </c>
    </row>
    <row r="308">
      <c r="A308" t="inlineStr">
        <is>
          <t>T100307</t>
        </is>
      </c>
      <c r="B308" t="inlineStr">
        <is>
          <t>2026-06-30</t>
        </is>
      </c>
      <c r="C308" t="inlineStr">
        <is>
          <t>09:56:01</t>
        </is>
      </c>
      <c r="D308" t="inlineStr">
        <is>
          <t>BANKNIFTY-FUT</t>
        </is>
      </c>
      <c r="E308" t="inlineStr">
        <is>
          <t>Future</t>
        </is>
      </c>
      <c r="F308" t="inlineStr">
        <is>
          <t>BUY</t>
        </is>
      </c>
      <c r="G308" t="n">
        <v>30</v>
      </c>
      <c r="H308" t="n">
        <v>55222.75</v>
      </c>
      <c r="I308" t="n">
        <v>1656682.5</v>
      </c>
      <c r="J308" t="n">
        <v>331.34</v>
      </c>
      <c r="K308" t="inlineStr">
        <is>
          <t>NSE</t>
        </is>
      </c>
      <c r="L308" t="inlineStr">
        <is>
          <t>QE-CLEARING</t>
        </is>
      </c>
      <c r="M308" t="inlineStr">
        <is>
          <t>T100307</t>
        </is>
      </c>
    </row>
    <row r="309">
      <c r="A309" t="inlineStr">
        <is>
          <t>T100308</t>
        </is>
      </c>
      <c r="B309" t="inlineStr">
        <is>
          <t>2026-06-30</t>
        </is>
      </c>
      <c r="C309" t="inlineStr">
        <is>
          <t>13:25:30</t>
        </is>
      </c>
      <c r="D309" t="inlineStr">
        <is>
          <t>NIFTY-FUT</t>
        </is>
      </c>
      <c r="E309" t="inlineStr">
        <is>
          <t>Future</t>
        </is>
      </c>
      <c r="F309" t="inlineStr">
        <is>
          <t>BUY</t>
        </is>
      </c>
      <c r="G309" t="n">
        <v>200</v>
      </c>
      <c r="H309" t="n">
        <v>24830.17</v>
      </c>
      <c r="I309" t="n">
        <v>4966034</v>
      </c>
      <c r="J309" t="n">
        <v>993.21</v>
      </c>
      <c r="K309" t="inlineStr">
        <is>
          <t>NSE</t>
        </is>
      </c>
      <c r="L309" t="inlineStr">
        <is>
          <t>QE-CLEARING</t>
        </is>
      </c>
      <c r="M309" t="inlineStr">
        <is>
          <t>T100308</t>
        </is>
      </c>
    </row>
    <row r="310">
      <c r="A310" t="inlineStr">
        <is>
          <t>T100309</t>
        </is>
      </c>
      <c r="B310" t="inlineStr">
        <is>
          <t>2026-06-30</t>
        </is>
      </c>
      <c r="C310" t="inlineStr">
        <is>
          <t>12:50:26</t>
        </is>
      </c>
      <c r="D310" t="inlineStr">
        <is>
          <t>NIFTY-FUT</t>
        </is>
      </c>
      <c r="E310" t="inlineStr">
        <is>
          <t>Future</t>
        </is>
      </c>
      <c r="F310" t="inlineStr">
        <is>
          <t>BUY</t>
        </is>
      </c>
      <c r="G310" t="n">
        <v>50</v>
      </c>
      <c r="H310" t="n">
        <v>24920.64</v>
      </c>
      <c r="I310" t="n">
        <v>1246032</v>
      </c>
      <c r="J310" t="n">
        <v>249.21</v>
      </c>
      <c r="K310" t="inlineStr">
        <is>
          <t>NSE</t>
        </is>
      </c>
      <c r="L310" t="inlineStr">
        <is>
          <t>QE-CLEARING</t>
        </is>
      </c>
      <c r="M310" t="inlineStr">
        <is>
          <t>T100309</t>
        </is>
      </c>
    </row>
    <row r="311">
      <c r="A311" t="inlineStr">
        <is>
          <t>T100310</t>
        </is>
      </c>
      <c r="B311" t="inlineStr">
        <is>
          <t>2026-06-30</t>
        </is>
      </c>
      <c r="C311" t="inlineStr">
        <is>
          <t>09:24:23</t>
        </is>
      </c>
      <c r="D311" t="inlineStr">
        <is>
          <t>BANKNIFTY-FUT</t>
        </is>
      </c>
      <c r="E311" t="inlineStr">
        <is>
          <t>Future</t>
        </is>
      </c>
      <c r="F311" t="inlineStr">
        <is>
          <t>SELL</t>
        </is>
      </c>
      <c r="G311" t="n">
        <v>60</v>
      </c>
      <c r="H311" t="n">
        <v>55235.41</v>
      </c>
      <c r="I311" t="n">
        <v>3314124.6</v>
      </c>
      <c r="J311" t="n">
        <v>662.8200000000001</v>
      </c>
      <c r="K311" t="inlineStr">
        <is>
          <t>NSE</t>
        </is>
      </c>
      <c r="L311" t="inlineStr">
        <is>
          <t>QE-CLEARING</t>
        </is>
      </c>
      <c r="M311" t="inlineStr">
        <is>
          <t>T100310</t>
        </is>
      </c>
    </row>
    <row r="312">
      <c r="A312" t="inlineStr">
        <is>
          <t>T100311</t>
        </is>
      </c>
      <c r="B312" t="inlineStr">
        <is>
          <t>2026-06-30</t>
        </is>
      </c>
      <c r="C312" t="inlineStr">
        <is>
          <t>14:49:17</t>
        </is>
      </c>
      <c r="D312" t="inlineStr">
        <is>
          <t>BANKNIFTY-FUT</t>
        </is>
      </c>
      <c r="E312" t="inlineStr">
        <is>
          <t>Future</t>
        </is>
      </c>
      <c r="F312" t="inlineStr">
        <is>
          <t>SELL</t>
        </is>
      </c>
      <c r="G312" t="n">
        <v>60</v>
      </c>
      <c r="H312" t="n">
        <v>55256.67</v>
      </c>
      <c r="I312" t="n">
        <v>3315400.2</v>
      </c>
      <c r="J312" t="n">
        <v>663.08</v>
      </c>
      <c r="K312" t="inlineStr">
        <is>
          <t>NSE</t>
        </is>
      </c>
      <c r="L312" t="inlineStr">
        <is>
          <t>QE-CLEARING</t>
        </is>
      </c>
      <c r="M312" t="inlineStr">
        <is>
          <t>T100311</t>
        </is>
      </c>
    </row>
    <row r="313">
      <c r="A313" t="inlineStr">
        <is>
          <t>T100312</t>
        </is>
      </c>
      <c r="B313" t="inlineStr">
        <is>
          <t>2026-06-30</t>
        </is>
      </c>
      <c r="C313" t="inlineStr">
        <is>
          <t>10:07:57</t>
        </is>
      </c>
      <c r="D313" t="inlineStr">
        <is>
          <t>FINNIFTY-FUT</t>
        </is>
      </c>
      <c r="E313" t="inlineStr">
        <is>
          <t>Future</t>
        </is>
      </c>
      <c r="F313" t="inlineStr">
        <is>
          <t>SELL</t>
        </is>
      </c>
      <c r="G313" t="n">
        <v>120</v>
      </c>
      <c r="H313" t="n">
        <v>26185.73</v>
      </c>
      <c r="I313" t="n">
        <v>3142287.6</v>
      </c>
      <c r="J313" t="n">
        <v>628.46</v>
      </c>
      <c r="K313" t="inlineStr">
        <is>
          <t>BSE</t>
        </is>
      </c>
      <c r="L313" t="inlineStr">
        <is>
          <t>QE-CLEARING</t>
        </is>
      </c>
      <c r="M313" t="inlineStr">
        <is>
          <t>T100312</t>
        </is>
      </c>
    </row>
    <row r="314">
      <c r="A314" t="inlineStr">
        <is>
          <t>T100313</t>
        </is>
      </c>
      <c r="B314" t="inlineStr">
        <is>
          <t>2026-06-30</t>
        </is>
      </c>
      <c r="C314" t="inlineStr">
        <is>
          <t>11:47:37</t>
        </is>
      </c>
      <c r="D314" t="inlineStr">
        <is>
          <t>NIFTY-FUT</t>
        </is>
      </c>
      <c r="E314" t="inlineStr">
        <is>
          <t>Future</t>
        </is>
      </c>
      <c r="F314" t="inlineStr">
        <is>
          <t>BUY</t>
        </is>
      </c>
      <c r="G314" t="n">
        <v>250</v>
      </c>
      <c r="H314" t="n">
        <v>24790.75</v>
      </c>
      <c r="I314" t="n">
        <v>6197687.5</v>
      </c>
      <c r="J314" t="n">
        <v>1239.54</v>
      </c>
      <c r="K314" t="inlineStr">
        <is>
          <t>NSE</t>
        </is>
      </c>
      <c r="L314" t="inlineStr">
        <is>
          <t>QE-CLEARING</t>
        </is>
      </c>
      <c r="M314" t="inlineStr">
        <is>
          <t>T100313</t>
        </is>
      </c>
    </row>
    <row r="315">
      <c r="A315" t="inlineStr">
        <is>
          <t>T100314</t>
        </is>
      </c>
      <c r="B315" t="inlineStr">
        <is>
          <t>2026-06-30</t>
        </is>
      </c>
      <c r="C315" t="inlineStr">
        <is>
          <t>09:06:47</t>
        </is>
      </c>
      <c r="D315" t="inlineStr">
        <is>
          <t>FINNIFTY-FUT</t>
        </is>
      </c>
      <c r="E315" t="inlineStr">
        <is>
          <t>Future</t>
        </is>
      </c>
      <c r="F315" t="inlineStr">
        <is>
          <t>BUY</t>
        </is>
      </c>
      <c r="G315" t="n">
        <v>160</v>
      </c>
      <c r="H315" t="n">
        <v>26057.02</v>
      </c>
      <c r="I315" t="n">
        <v>4169123.2</v>
      </c>
      <c r="J315" t="n">
        <v>833.8200000000001</v>
      </c>
      <c r="K315" t="inlineStr">
        <is>
          <t>BSE</t>
        </is>
      </c>
      <c r="L315" t="inlineStr">
        <is>
          <t>QE-CLEARING</t>
        </is>
      </c>
      <c r="M315" t="inlineStr">
        <is>
          <t>T100314</t>
        </is>
      </c>
    </row>
    <row r="316">
      <c r="A316" t="inlineStr">
        <is>
          <t>T100315</t>
        </is>
      </c>
      <c r="B316" t="inlineStr">
        <is>
          <t>2026-06-30</t>
        </is>
      </c>
      <c r="C316" t="inlineStr">
        <is>
          <t>14:09:07</t>
        </is>
      </c>
      <c r="D316" t="inlineStr">
        <is>
          <t>BANKNIFTY-FUT</t>
        </is>
      </c>
      <c r="E316" t="inlineStr">
        <is>
          <t>Future</t>
        </is>
      </c>
      <c r="F316" t="inlineStr">
        <is>
          <t>SELL</t>
        </is>
      </c>
      <c r="G316" t="n">
        <v>45</v>
      </c>
      <c r="H316" t="n">
        <v>55219.16</v>
      </c>
      <c r="I316" t="n">
        <v>2484862.2</v>
      </c>
      <c r="J316" t="n">
        <v>496.97</v>
      </c>
      <c r="K316" t="inlineStr">
        <is>
          <t>BSE</t>
        </is>
      </c>
      <c r="L316" t="inlineStr">
        <is>
          <t>QE-CLEARING</t>
        </is>
      </c>
      <c r="M316" t="inlineStr">
        <is>
          <t>T100315</t>
        </is>
      </c>
    </row>
    <row r="317">
      <c r="A317" t="inlineStr">
        <is>
          <t>T100316</t>
        </is>
      </c>
      <c r="B317" t="inlineStr">
        <is>
          <t>2026-06-30</t>
        </is>
      </c>
      <c r="C317" t="inlineStr">
        <is>
          <t>15:22:29</t>
        </is>
      </c>
      <c r="D317" t="inlineStr">
        <is>
          <t>FINNIFTY-FUT</t>
        </is>
      </c>
      <c r="E317" t="inlineStr">
        <is>
          <t>Future</t>
        </is>
      </c>
      <c r="F317" t="inlineStr">
        <is>
          <t>BUY</t>
        </is>
      </c>
      <c r="G317" t="n">
        <v>120</v>
      </c>
      <c r="H317" t="n">
        <v>26005.59</v>
      </c>
      <c r="I317" t="n">
        <v>3120670.8</v>
      </c>
      <c r="J317" t="n">
        <v>624.13</v>
      </c>
      <c r="K317" t="inlineStr">
        <is>
          <t>NSE</t>
        </is>
      </c>
      <c r="L317" t="inlineStr">
        <is>
          <t>QE-CLEARING</t>
        </is>
      </c>
      <c r="M317" t="inlineStr">
        <is>
          <t>T100316</t>
        </is>
      </c>
    </row>
    <row r="318">
      <c r="A318" t="inlineStr">
        <is>
          <t>T100317</t>
        </is>
      </c>
      <c r="B318" t="inlineStr">
        <is>
          <t>2026-06-30</t>
        </is>
      </c>
      <c r="C318" t="inlineStr">
        <is>
          <t>15:16:05</t>
        </is>
      </c>
      <c r="D318" t="inlineStr">
        <is>
          <t>BANKNIFTY-FUT</t>
        </is>
      </c>
      <c r="E318" t="inlineStr">
        <is>
          <t>Future</t>
        </is>
      </c>
      <c r="F318" t="inlineStr">
        <is>
          <t>BUY</t>
        </is>
      </c>
      <c r="G318" t="n">
        <v>75</v>
      </c>
      <c r="H318" t="n">
        <v>55266.24</v>
      </c>
      <c r="I318" t="n">
        <v>4144968</v>
      </c>
      <c r="J318" t="n">
        <v>828.99</v>
      </c>
      <c r="K318" t="inlineStr">
        <is>
          <t>NSE</t>
        </is>
      </c>
      <c r="L318" t="inlineStr">
        <is>
          <t>QE-CLEARING</t>
        </is>
      </c>
      <c r="M318" t="inlineStr">
        <is>
          <t>T100317</t>
        </is>
      </c>
    </row>
    <row r="319">
      <c r="A319" t="inlineStr">
        <is>
          <t>T100318</t>
        </is>
      </c>
      <c r="B319" t="inlineStr">
        <is>
          <t>2026-06-30</t>
        </is>
      </c>
      <c r="C319" t="inlineStr">
        <is>
          <t>15:27:55</t>
        </is>
      </c>
      <c r="D319" t="inlineStr">
        <is>
          <t>NIFTY-FUT</t>
        </is>
      </c>
      <c r="E319" t="inlineStr">
        <is>
          <t>Future</t>
        </is>
      </c>
      <c r="F319" t="inlineStr">
        <is>
          <t>SELL</t>
        </is>
      </c>
      <c r="G319" t="n">
        <v>125</v>
      </c>
      <c r="H319" t="n">
        <v>24800.95</v>
      </c>
      <c r="I319" t="n">
        <v>3100118.75</v>
      </c>
      <c r="J319" t="n">
        <v>620.02</v>
      </c>
      <c r="K319" t="inlineStr">
        <is>
          <t>BSE</t>
        </is>
      </c>
      <c r="L319" t="inlineStr">
        <is>
          <t>QE-CLEARING</t>
        </is>
      </c>
      <c r="M319" t="inlineStr">
        <is>
          <t>T100318</t>
        </is>
      </c>
    </row>
    <row r="320">
      <c r="A320" t="inlineStr">
        <is>
          <t>T100319</t>
        </is>
      </c>
      <c r="B320" t="inlineStr">
        <is>
          <t>2026-06-30</t>
        </is>
      </c>
      <c r="C320" t="inlineStr">
        <is>
          <t>14:13:47</t>
        </is>
      </c>
      <c r="D320" t="inlineStr">
        <is>
          <t>BANKNIFTY-FUT</t>
        </is>
      </c>
      <c r="E320" t="inlineStr">
        <is>
          <t>Future</t>
        </is>
      </c>
      <c r="F320" t="inlineStr">
        <is>
          <t>BUY</t>
        </is>
      </c>
      <c r="G320" t="n">
        <v>30</v>
      </c>
      <c r="H320" t="n">
        <v>55357.44</v>
      </c>
      <c r="I320" t="n">
        <v>1660723.2</v>
      </c>
      <c r="J320" t="n">
        <v>332.14</v>
      </c>
      <c r="K320" t="inlineStr">
        <is>
          <t>NSE</t>
        </is>
      </c>
      <c r="L320" t="inlineStr">
        <is>
          <t>QE-CLEARING</t>
        </is>
      </c>
      <c r="M320" t="inlineStr">
        <is>
          <t>T100319</t>
        </is>
      </c>
    </row>
    <row r="321">
      <c r="A321" t="inlineStr">
        <is>
          <t>T100320</t>
        </is>
      </c>
      <c r="B321" t="inlineStr">
        <is>
          <t>2026-06-30</t>
        </is>
      </c>
      <c r="C321" t="inlineStr">
        <is>
          <t>12:58:11</t>
        </is>
      </c>
      <c r="D321" t="inlineStr">
        <is>
          <t>FINNIFTY-FUT</t>
        </is>
      </c>
      <c r="E321" t="inlineStr">
        <is>
          <t>Future</t>
        </is>
      </c>
      <c r="F321" t="inlineStr">
        <is>
          <t>BUY</t>
        </is>
      </c>
      <c r="G321" t="n">
        <v>40</v>
      </c>
      <c r="H321" t="n">
        <v>26052.82</v>
      </c>
      <c r="I321" t="n">
        <v>1042112.8</v>
      </c>
      <c r="J321" t="n">
        <v>208.42</v>
      </c>
      <c r="K321" t="inlineStr">
        <is>
          <t>BSE</t>
        </is>
      </c>
      <c r="L321" t="inlineStr">
        <is>
          <t>QE-CLEARING</t>
        </is>
      </c>
      <c r="M321" t="inlineStr">
        <is>
          <t>T100320</t>
        </is>
      </c>
    </row>
    <row r="322">
      <c r="A322" t="inlineStr">
        <is>
          <t>T100321</t>
        </is>
      </c>
      <c r="B322" t="inlineStr">
        <is>
          <t>2026-06-30</t>
        </is>
      </c>
      <c r="C322" t="inlineStr">
        <is>
          <t>15:38:51</t>
        </is>
      </c>
      <c r="D322" t="inlineStr">
        <is>
          <t>NIFTY-FUT</t>
        </is>
      </c>
      <c r="E322" t="inlineStr">
        <is>
          <t>Future</t>
        </is>
      </c>
      <c r="F322" t="inlineStr">
        <is>
          <t>BUY</t>
        </is>
      </c>
      <c r="G322" t="n">
        <v>50</v>
      </c>
      <c r="H322" t="n">
        <v>24929.75</v>
      </c>
      <c r="I322" t="n">
        <v>1246487.5</v>
      </c>
      <c r="J322" t="n">
        <v>249.3</v>
      </c>
      <c r="K322" t="inlineStr">
        <is>
          <t>BSE</t>
        </is>
      </c>
      <c r="L322" t="inlineStr">
        <is>
          <t>QE-CLEARING</t>
        </is>
      </c>
      <c r="M322" t="inlineStr">
        <is>
          <t>T100321</t>
        </is>
      </c>
    </row>
    <row r="323">
      <c r="A323" t="inlineStr">
        <is>
          <t>T100322</t>
        </is>
      </c>
      <c r="B323" t="inlineStr">
        <is>
          <t>2026-06-30</t>
        </is>
      </c>
      <c r="C323" t="inlineStr">
        <is>
          <t>11:52:56</t>
        </is>
      </c>
      <c r="D323" t="inlineStr">
        <is>
          <t>FINNIFTY-FUT</t>
        </is>
      </c>
      <c r="E323" t="inlineStr">
        <is>
          <t>Future</t>
        </is>
      </c>
      <c r="F323" t="inlineStr">
        <is>
          <t>SELL</t>
        </is>
      </c>
      <c r="G323" t="n">
        <v>320</v>
      </c>
      <c r="H323" t="n">
        <v>26110.54</v>
      </c>
      <c r="I323" t="n">
        <v>8355372.8</v>
      </c>
      <c r="J323" t="n">
        <v>1671.07</v>
      </c>
      <c r="K323" t="inlineStr">
        <is>
          <t>BSE</t>
        </is>
      </c>
      <c r="L323" t="inlineStr">
        <is>
          <t>QE-CLEARING</t>
        </is>
      </c>
      <c r="M323" t="inlineStr">
        <is>
          <t>T100322</t>
        </is>
      </c>
    </row>
    <row r="324">
      <c r="A324" t="inlineStr">
        <is>
          <t>T100323</t>
        </is>
      </c>
      <c r="B324" t="inlineStr">
        <is>
          <t>2026-06-30</t>
        </is>
      </c>
      <c r="C324" t="inlineStr">
        <is>
          <t>10:20:04</t>
        </is>
      </c>
      <c r="D324" t="inlineStr">
        <is>
          <t>FINNIFTY-FUT</t>
        </is>
      </c>
      <c r="E324" t="inlineStr">
        <is>
          <t>Future</t>
        </is>
      </c>
      <c r="F324" t="inlineStr">
        <is>
          <t>BUY</t>
        </is>
      </c>
      <c r="G324" t="n">
        <v>200</v>
      </c>
      <c r="H324" t="n">
        <v>26139.42</v>
      </c>
      <c r="I324" t="n">
        <v>5227884</v>
      </c>
      <c r="J324" t="n">
        <v>1045.58</v>
      </c>
      <c r="K324" t="inlineStr">
        <is>
          <t>BSE</t>
        </is>
      </c>
      <c r="L324" t="inlineStr">
        <is>
          <t>QE-CLEARING</t>
        </is>
      </c>
      <c r="M324" t="inlineStr">
        <is>
          <t>T100323</t>
        </is>
      </c>
    </row>
    <row r="325">
      <c r="A325" t="inlineStr">
        <is>
          <t>T100324</t>
        </is>
      </c>
      <c r="B325" t="inlineStr">
        <is>
          <t>2026-06-30</t>
        </is>
      </c>
      <c r="C325" t="inlineStr">
        <is>
          <t>10:52:41</t>
        </is>
      </c>
      <c r="D325" t="inlineStr">
        <is>
          <t>NIFTY-FUT</t>
        </is>
      </c>
      <c r="E325" t="inlineStr">
        <is>
          <t>Future</t>
        </is>
      </c>
      <c r="F325" t="inlineStr">
        <is>
          <t>BUY</t>
        </is>
      </c>
      <c r="G325" t="n">
        <v>50</v>
      </c>
      <c r="H325" t="n">
        <v>24885.12</v>
      </c>
      <c r="I325" t="n">
        <v>1244256</v>
      </c>
      <c r="J325" t="n">
        <v>248.85</v>
      </c>
      <c r="K325" t="inlineStr">
        <is>
          <t>NSE</t>
        </is>
      </c>
      <c r="L325" t="inlineStr">
        <is>
          <t>QE-CLEARING</t>
        </is>
      </c>
      <c r="M325" t="inlineStr">
        <is>
          <t>T100324</t>
        </is>
      </c>
    </row>
    <row r="326">
      <c r="A326" t="inlineStr">
        <is>
          <t>T100325</t>
        </is>
      </c>
      <c r="B326" t="inlineStr">
        <is>
          <t>2026-06-30</t>
        </is>
      </c>
      <c r="C326" t="inlineStr">
        <is>
          <t>12:02:59</t>
        </is>
      </c>
      <c r="D326" t="inlineStr">
        <is>
          <t>NIFTY-FUT</t>
        </is>
      </c>
      <c r="E326" t="inlineStr">
        <is>
          <t>Future</t>
        </is>
      </c>
      <c r="F326" t="inlineStr">
        <is>
          <t>SELL</t>
        </is>
      </c>
      <c r="G326" t="n">
        <v>25</v>
      </c>
      <c r="H326" t="n">
        <v>24932.77</v>
      </c>
      <c r="I326" t="n">
        <v>623319.25</v>
      </c>
      <c r="J326" t="n">
        <v>124.66</v>
      </c>
      <c r="K326" t="inlineStr">
        <is>
          <t>BSE</t>
        </is>
      </c>
      <c r="L326" t="inlineStr">
        <is>
          <t>QE-CLEARING</t>
        </is>
      </c>
      <c r="M326" t="inlineStr">
        <is>
          <t>T100325</t>
        </is>
      </c>
    </row>
    <row r="327">
      <c r="A327" t="inlineStr">
        <is>
          <t>T100326</t>
        </is>
      </c>
      <c r="B327" t="inlineStr">
        <is>
          <t>2026-06-30</t>
        </is>
      </c>
      <c r="C327" t="inlineStr">
        <is>
          <t>10:18:50</t>
        </is>
      </c>
      <c r="D327" t="inlineStr">
        <is>
          <t>NIFTY-FUT</t>
        </is>
      </c>
      <c r="E327" t="inlineStr">
        <is>
          <t>Future</t>
        </is>
      </c>
      <c r="F327" t="inlineStr">
        <is>
          <t>SELL</t>
        </is>
      </c>
      <c r="G327" t="n">
        <v>50</v>
      </c>
      <c r="H327" t="n">
        <v>24864.39</v>
      </c>
      <c r="I327" t="n">
        <v>1243219.5</v>
      </c>
      <c r="J327" t="n">
        <v>248.64</v>
      </c>
      <c r="K327" t="inlineStr">
        <is>
          <t>BSE</t>
        </is>
      </c>
      <c r="L327" t="inlineStr">
        <is>
          <t>QE-CLEARING</t>
        </is>
      </c>
      <c r="M327" t="inlineStr">
        <is>
          <t>T100326</t>
        </is>
      </c>
    </row>
    <row r="328">
      <c r="A328" t="inlineStr">
        <is>
          <t>T100327</t>
        </is>
      </c>
      <c r="B328" t="inlineStr">
        <is>
          <t>2026-06-30</t>
        </is>
      </c>
      <c r="C328" t="inlineStr">
        <is>
          <t>11:41:19</t>
        </is>
      </c>
      <c r="D328" t="inlineStr">
        <is>
          <t>BANKNIFTY-FUT</t>
        </is>
      </c>
      <c r="E328" t="inlineStr">
        <is>
          <t>Future</t>
        </is>
      </c>
      <c r="F328" t="inlineStr">
        <is>
          <t>SELL</t>
        </is>
      </c>
      <c r="G328" t="n">
        <v>15</v>
      </c>
      <c r="H328" t="n">
        <v>55306.85</v>
      </c>
      <c r="I328" t="n">
        <v>829602.75</v>
      </c>
      <c r="J328" t="n">
        <v>165.92</v>
      </c>
      <c r="K328" t="inlineStr">
        <is>
          <t>NSE</t>
        </is>
      </c>
      <c r="L328" t="inlineStr">
        <is>
          <t>QE-CLEARING</t>
        </is>
      </c>
      <c r="M328" t="inlineStr">
        <is>
          <t>T100327</t>
        </is>
      </c>
    </row>
    <row r="329">
      <c r="A329" t="inlineStr">
        <is>
          <t>T100328</t>
        </is>
      </c>
      <c r="B329" t="inlineStr">
        <is>
          <t>2026-06-30</t>
        </is>
      </c>
      <c r="C329" t="inlineStr">
        <is>
          <t>14:47:42</t>
        </is>
      </c>
      <c r="D329" t="inlineStr">
        <is>
          <t>BANKNIFTY-FUT</t>
        </is>
      </c>
      <c r="E329" t="inlineStr">
        <is>
          <t>Future</t>
        </is>
      </c>
      <c r="F329" t="inlineStr">
        <is>
          <t>BUY</t>
        </is>
      </c>
      <c r="G329" t="n">
        <v>45</v>
      </c>
      <c r="H329" t="n">
        <v>55141.59</v>
      </c>
      <c r="I329" t="n">
        <v>2481371.55</v>
      </c>
      <c r="J329" t="n">
        <v>496.27</v>
      </c>
      <c r="K329" t="inlineStr">
        <is>
          <t>BSE</t>
        </is>
      </c>
      <c r="L329" t="inlineStr">
        <is>
          <t>QE-CLEARING</t>
        </is>
      </c>
      <c r="M329" t="inlineStr">
        <is>
          <t>T100328</t>
        </is>
      </c>
    </row>
    <row r="330">
      <c r="A330" t="inlineStr">
        <is>
          <t>T100329</t>
        </is>
      </c>
      <c r="B330" t="inlineStr">
        <is>
          <t>2026-06-30</t>
        </is>
      </c>
      <c r="C330" t="inlineStr">
        <is>
          <t>15:14:37</t>
        </is>
      </c>
      <c r="D330" t="inlineStr">
        <is>
          <t>BANKNIFTY-FUT</t>
        </is>
      </c>
      <c r="E330" t="inlineStr">
        <is>
          <t>Future</t>
        </is>
      </c>
      <c r="F330" t="inlineStr">
        <is>
          <t>SELL</t>
        </is>
      </c>
      <c r="G330" t="n">
        <v>150</v>
      </c>
      <c r="H330" t="n">
        <v>55394.72</v>
      </c>
      <c r="I330" t="n">
        <v>8309208</v>
      </c>
      <c r="J330" t="n">
        <v>1661.84</v>
      </c>
      <c r="K330" t="inlineStr">
        <is>
          <t>NSE</t>
        </is>
      </c>
      <c r="L330" t="inlineStr">
        <is>
          <t>QE-CLEARING</t>
        </is>
      </c>
      <c r="M330" t="inlineStr">
        <is>
          <t>T100329</t>
        </is>
      </c>
    </row>
    <row r="331">
      <c r="A331" t="inlineStr">
        <is>
          <t>T100330</t>
        </is>
      </c>
      <c r="B331" t="inlineStr">
        <is>
          <t>2026-06-30</t>
        </is>
      </c>
      <c r="C331" t="inlineStr">
        <is>
          <t>15:58:37</t>
        </is>
      </c>
      <c r="D331" t="inlineStr">
        <is>
          <t>BANKNIFTY-FUT</t>
        </is>
      </c>
      <c r="E331" t="inlineStr">
        <is>
          <t>Future</t>
        </is>
      </c>
      <c r="F331" t="inlineStr">
        <is>
          <t>BUY</t>
        </is>
      </c>
      <c r="G331" t="n">
        <v>150</v>
      </c>
      <c r="H331" t="n">
        <v>55111.42</v>
      </c>
      <c r="I331" t="n">
        <v>8266713</v>
      </c>
      <c r="J331" t="n">
        <v>1653.34</v>
      </c>
      <c r="K331" t="inlineStr">
        <is>
          <t>BSE</t>
        </is>
      </c>
      <c r="L331" t="inlineStr">
        <is>
          <t>QE-CLEARING</t>
        </is>
      </c>
      <c r="M331" t="inlineStr">
        <is>
          <t>T100330</t>
        </is>
      </c>
    </row>
    <row r="332">
      <c r="A332" t="inlineStr">
        <is>
          <t>T100331</t>
        </is>
      </c>
      <c r="B332" t="inlineStr">
        <is>
          <t>2026-06-30</t>
        </is>
      </c>
      <c r="C332" t="inlineStr">
        <is>
          <t>10:36:47</t>
        </is>
      </c>
      <c r="D332" t="inlineStr">
        <is>
          <t>BANKNIFTY-FUT</t>
        </is>
      </c>
      <c r="E332" t="inlineStr">
        <is>
          <t>Future</t>
        </is>
      </c>
      <c r="F332" t="inlineStr">
        <is>
          <t>BUY</t>
        </is>
      </c>
      <c r="G332" t="n">
        <v>150</v>
      </c>
      <c r="H332" t="n">
        <v>55342.51</v>
      </c>
      <c r="I332" t="n">
        <v>8301376.5</v>
      </c>
      <c r="J332" t="n">
        <v>1660.28</v>
      </c>
      <c r="K332" t="inlineStr">
        <is>
          <t>NSE</t>
        </is>
      </c>
      <c r="L332" t="inlineStr">
        <is>
          <t>QE-CLEARING</t>
        </is>
      </c>
      <c r="M332" t="inlineStr">
        <is>
          <t>T100331</t>
        </is>
      </c>
    </row>
    <row r="333">
      <c r="A333" t="inlineStr">
        <is>
          <t>T100332</t>
        </is>
      </c>
      <c r="B333" t="inlineStr">
        <is>
          <t>2026-06-30</t>
        </is>
      </c>
      <c r="C333" t="inlineStr">
        <is>
          <t>11:29:44</t>
        </is>
      </c>
      <c r="D333" t="inlineStr">
        <is>
          <t>BANKNIFTY-FUT</t>
        </is>
      </c>
      <c r="E333" t="inlineStr">
        <is>
          <t>Future</t>
        </is>
      </c>
      <c r="F333" t="inlineStr">
        <is>
          <t>SELL</t>
        </is>
      </c>
      <c r="G333" t="n">
        <v>45</v>
      </c>
      <c r="H333" t="n">
        <v>55290.33</v>
      </c>
      <c r="I333" t="n">
        <v>2488064.85</v>
      </c>
      <c r="J333" t="n">
        <v>497.61</v>
      </c>
      <c r="K333" t="inlineStr">
        <is>
          <t>NSE</t>
        </is>
      </c>
      <c r="L333" t="inlineStr">
        <is>
          <t>QE-CLEARING</t>
        </is>
      </c>
      <c r="M333" t="inlineStr">
        <is>
          <t>T100332</t>
        </is>
      </c>
    </row>
    <row r="334">
      <c r="A334" t="inlineStr">
        <is>
          <t>T100333</t>
        </is>
      </c>
      <c r="B334" t="inlineStr">
        <is>
          <t>2026-06-30</t>
        </is>
      </c>
      <c r="C334" t="inlineStr">
        <is>
          <t>11:38:52</t>
        </is>
      </c>
      <c r="D334" t="inlineStr">
        <is>
          <t>FINNIFTY-FUT</t>
        </is>
      </c>
      <c r="E334" t="inlineStr">
        <is>
          <t>Future</t>
        </is>
      </c>
      <c r="F334" t="inlineStr">
        <is>
          <t>BUY</t>
        </is>
      </c>
      <c r="G334" t="n">
        <v>200</v>
      </c>
      <c r="H334" t="n">
        <v>26199.35</v>
      </c>
      <c r="I334" t="n">
        <v>5239870</v>
      </c>
      <c r="J334" t="n">
        <v>1047.97</v>
      </c>
      <c r="K334" t="inlineStr">
        <is>
          <t>BSE</t>
        </is>
      </c>
      <c r="L334" t="inlineStr">
        <is>
          <t>QE-CLEARING</t>
        </is>
      </c>
      <c r="M334" t="inlineStr">
        <is>
          <t>T100333</t>
        </is>
      </c>
    </row>
    <row r="335">
      <c r="A335" t="inlineStr">
        <is>
          <t>T100334</t>
        </is>
      </c>
      <c r="B335" t="inlineStr">
        <is>
          <t>2026-06-30</t>
        </is>
      </c>
      <c r="C335" t="inlineStr">
        <is>
          <t>12:47:44</t>
        </is>
      </c>
      <c r="D335" t="inlineStr">
        <is>
          <t>NIFTY-FUT</t>
        </is>
      </c>
      <c r="E335" t="inlineStr">
        <is>
          <t>Future</t>
        </is>
      </c>
      <c r="F335" t="inlineStr">
        <is>
          <t>SELL</t>
        </is>
      </c>
      <c r="G335" t="n">
        <v>25</v>
      </c>
      <c r="H335" t="n">
        <v>24790.33</v>
      </c>
      <c r="I335" t="n">
        <v>619758.25</v>
      </c>
      <c r="J335" t="n">
        <v>123.95</v>
      </c>
      <c r="K335" t="inlineStr">
        <is>
          <t>BSE</t>
        </is>
      </c>
      <c r="L335" t="inlineStr">
        <is>
          <t>QE-CLEARING</t>
        </is>
      </c>
      <c r="M335" t="inlineStr">
        <is>
          <t>T100334</t>
        </is>
      </c>
    </row>
    <row r="336">
      <c r="A336" t="inlineStr">
        <is>
          <t>T100335</t>
        </is>
      </c>
      <c r="B336" t="inlineStr">
        <is>
          <t>2026-06-30</t>
        </is>
      </c>
      <c r="C336" t="inlineStr">
        <is>
          <t>10:23:09</t>
        </is>
      </c>
      <c r="D336" t="inlineStr">
        <is>
          <t>BANKNIFTY-FUT</t>
        </is>
      </c>
      <c r="E336" t="inlineStr">
        <is>
          <t>Future</t>
        </is>
      </c>
      <c r="F336" t="inlineStr">
        <is>
          <t>BUY</t>
        </is>
      </c>
      <c r="G336" t="n">
        <v>60</v>
      </c>
      <c r="H336" t="n">
        <v>55246</v>
      </c>
      <c r="I336" t="n">
        <v>3314760</v>
      </c>
      <c r="J336" t="n">
        <v>662.95</v>
      </c>
      <c r="K336" t="inlineStr">
        <is>
          <t>NSE</t>
        </is>
      </c>
      <c r="L336" t="inlineStr">
        <is>
          <t>QE-CLEARING</t>
        </is>
      </c>
      <c r="M336" t="inlineStr">
        <is>
          <t>T100335</t>
        </is>
      </c>
    </row>
    <row r="337">
      <c r="A337" t="inlineStr">
        <is>
          <t>T100336</t>
        </is>
      </c>
      <c r="B337" t="inlineStr">
        <is>
          <t>2026-06-30</t>
        </is>
      </c>
      <c r="C337" t="inlineStr">
        <is>
          <t>15:36:39</t>
        </is>
      </c>
      <c r="D337" t="inlineStr">
        <is>
          <t>FINNIFTY-FUT</t>
        </is>
      </c>
      <c r="E337" t="inlineStr">
        <is>
          <t>Future</t>
        </is>
      </c>
      <c r="F337" t="inlineStr">
        <is>
          <t>SELL</t>
        </is>
      </c>
      <c r="G337" t="n">
        <v>80</v>
      </c>
      <c r="H337" t="n">
        <v>26182.84</v>
      </c>
      <c r="I337" t="n">
        <v>2094627.2</v>
      </c>
      <c r="J337" t="n">
        <v>418.93</v>
      </c>
      <c r="K337" t="inlineStr">
        <is>
          <t>BSE</t>
        </is>
      </c>
      <c r="L337" t="inlineStr">
        <is>
          <t>QE-CLEARING</t>
        </is>
      </c>
      <c r="M337" t="inlineStr">
        <is>
          <t>T100336</t>
        </is>
      </c>
    </row>
    <row r="338">
      <c r="A338" t="inlineStr">
        <is>
          <t>T100337</t>
        </is>
      </c>
      <c r="B338" t="inlineStr">
        <is>
          <t>2026-06-30</t>
        </is>
      </c>
      <c r="C338" t="inlineStr">
        <is>
          <t>11:23:04</t>
        </is>
      </c>
      <c r="D338" t="inlineStr">
        <is>
          <t>NIFTY-FUT</t>
        </is>
      </c>
      <c r="E338" t="inlineStr">
        <is>
          <t>Future</t>
        </is>
      </c>
      <c r="F338" t="inlineStr">
        <is>
          <t>BUY</t>
        </is>
      </c>
      <c r="G338" t="n">
        <v>200</v>
      </c>
      <c r="H338" t="n">
        <v>24842.35</v>
      </c>
      <c r="I338" t="n">
        <v>4968470</v>
      </c>
      <c r="J338" t="n">
        <v>993.6900000000001</v>
      </c>
      <c r="K338" t="inlineStr">
        <is>
          <t>BSE</t>
        </is>
      </c>
      <c r="L338" t="inlineStr">
        <is>
          <t>QE-CLEARING</t>
        </is>
      </c>
      <c r="M338" t="inlineStr">
        <is>
          <t>T100337</t>
        </is>
      </c>
    </row>
    <row r="339">
      <c r="A339" t="inlineStr">
        <is>
          <t>T100338</t>
        </is>
      </c>
      <c r="B339" t="inlineStr">
        <is>
          <t>2026-06-30</t>
        </is>
      </c>
      <c r="C339" t="inlineStr">
        <is>
          <t>14:24:17</t>
        </is>
      </c>
      <c r="D339" t="inlineStr">
        <is>
          <t>BANKNIFTY-FUT</t>
        </is>
      </c>
      <c r="E339" t="inlineStr">
        <is>
          <t>Future</t>
        </is>
      </c>
      <c r="F339" t="inlineStr">
        <is>
          <t>SELL</t>
        </is>
      </c>
      <c r="G339" t="n">
        <v>150</v>
      </c>
      <c r="H339" t="n">
        <v>55013.95</v>
      </c>
      <c r="I339" t="n">
        <v>8252092.5</v>
      </c>
      <c r="J339" t="n">
        <v>1650.42</v>
      </c>
      <c r="K339" t="inlineStr">
        <is>
          <t>BSE</t>
        </is>
      </c>
      <c r="L339" t="inlineStr">
        <is>
          <t>QE-CLEARING</t>
        </is>
      </c>
      <c r="M339" t="inlineStr">
        <is>
          <t>T100338</t>
        </is>
      </c>
    </row>
    <row r="340">
      <c r="A340" t="inlineStr">
        <is>
          <t>T100339</t>
        </is>
      </c>
      <c r="B340" t="inlineStr">
        <is>
          <t>2026-06-30</t>
        </is>
      </c>
      <c r="C340" t="inlineStr">
        <is>
          <t>12:16:21</t>
        </is>
      </c>
      <c r="D340" t="inlineStr">
        <is>
          <t>NIFTY-FUT</t>
        </is>
      </c>
      <c r="E340" t="inlineStr">
        <is>
          <t>Future</t>
        </is>
      </c>
      <c r="F340" t="inlineStr">
        <is>
          <t>BUY</t>
        </is>
      </c>
      <c r="G340" t="n">
        <v>25</v>
      </c>
      <c r="H340" t="n">
        <v>24870.31</v>
      </c>
      <c r="I340" t="n">
        <v>621757.75</v>
      </c>
      <c r="J340" t="n">
        <v>124.35</v>
      </c>
      <c r="K340" t="inlineStr">
        <is>
          <t>BSE</t>
        </is>
      </c>
      <c r="L340" t="inlineStr">
        <is>
          <t>QE-CLEARING</t>
        </is>
      </c>
      <c r="M340" t="inlineStr">
        <is>
          <t>T100339</t>
        </is>
      </c>
    </row>
    <row r="341">
      <c r="A341" t="inlineStr">
        <is>
          <t>T100340</t>
        </is>
      </c>
      <c r="B341" t="inlineStr">
        <is>
          <t>2026-06-30</t>
        </is>
      </c>
      <c r="C341" t="inlineStr">
        <is>
          <t>15:29:05</t>
        </is>
      </c>
      <c r="D341" t="inlineStr">
        <is>
          <t>BANKNIFTY-FUT</t>
        </is>
      </c>
      <c r="E341" t="inlineStr">
        <is>
          <t>Future</t>
        </is>
      </c>
      <c r="F341" t="inlineStr">
        <is>
          <t>SELL</t>
        </is>
      </c>
      <c r="G341" t="n">
        <v>60</v>
      </c>
      <c r="H341" t="n">
        <v>55334.4</v>
      </c>
      <c r="I341" t="n">
        <v>3320064</v>
      </c>
      <c r="J341" t="n">
        <v>664.01</v>
      </c>
      <c r="K341" t="inlineStr">
        <is>
          <t>BSE</t>
        </is>
      </c>
      <c r="L341" t="inlineStr">
        <is>
          <t>QE-CLEARING</t>
        </is>
      </c>
      <c r="M341" t="inlineStr">
        <is>
          <t>T100340</t>
        </is>
      </c>
    </row>
    <row r="342">
      <c r="A342" t="inlineStr">
        <is>
          <t>T100341</t>
        </is>
      </c>
      <c r="B342" t="inlineStr">
        <is>
          <t>2026-06-30</t>
        </is>
      </c>
      <c r="C342" t="inlineStr">
        <is>
          <t>15:41:35</t>
        </is>
      </c>
      <c r="D342" t="inlineStr">
        <is>
          <t>FINNIFTY-FUT</t>
        </is>
      </c>
      <c r="E342" t="inlineStr">
        <is>
          <t>Future</t>
        </is>
      </c>
      <c r="F342" t="inlineStr">
        <is>
          <t>SELL</t>
        </is>
      </c>
      <c r="G342" t="n">
        <v>80</v>
      </c>
      <c r="H342" t="n">
        <v>26170.88</v>
      </c>
      <c r="I342" t="n">
        <v>2093670.4</v>
      </c>
      <c r="J342" t="n">
        <v>418.73</v>
      </c>
      <c r="K342" t="inlineStr">
        <is>
          <t>BSE</t>
        </is>
      </c>
      <c r="L342" t="inlineStr">
        <is>
          <t>QE-CLEARING</t>
        </is>
      </c>
      <c r="M342" t="inlineStr">
        <is>
          <t>T100341</t>
        </is>
      </c>
    </row>
    <row r="343">
      <c r="A343" t="inlineStr">
        <is>
          <t>T100342</t>
        </is>
      </c>
      <c r="B343" t="inlineStr">
        <is>
          <t>2026-06-30</t>
        </is>
      </c>
      <c r="C343" t="inlineStr">
        <is>
          <t>14:12:13</t>
        </is>
      </c>
      <c r="D343" t="inlineStr">
        <is>
          <t>NIFTY-FUT</t>
        </is>
      </c>
      <c r="E343" t="inlineStr">
        <is>
          <t>Future</t>
        </is>
      </c>
      <c r="F343" t="inlineStr">
        <is>
          <t>BUY</t>
        </is>
      </c>
      <c r="G343" t="n">
        <v>100</v>
      </c>
      <c r="H343" t="n">
        <v>24815.59</v>
      </c>
      <c r="I343" t="n">
        <v>2481559</v>
      </c>
      <c r="J343" t="n">
        <v>496.31</v>
      </c>
      <c r="K343" t="inlineStr">
        <is>
          <t>BSE</t>
        </is>
      </c>
      <c r="L343" t="inlineStr">
        <is>
          <t>QE-CLEARING</t>
        </is>
      </c>
      <c r="M343" t="inlineStr">
        <is>
          <t>T100342</t>
        </is>
      </c>
    </row>
    <row r="344">
      <c r="A344" t="inlineStr">
        <is>
          <t>T100343</t>
        </is>
      </c>
      <c r="B344" t="inlineStr">
        <is>
          <t>2026-06-30</t>
        </is>
      </c>
      <c r="C344" t="inlineStr">
        <is>
          <t>10:11:59</t>
        </is>
      </c>
      <c r="D344" t="inlineStr">
        <is>
          <t>FINNIFTY-FUT</t>
        </is>
      </c>
      <c r="E344" t="inlineStr">
        <is>
          <t>Future</t>
        </is>
      </c>
      <c r="F344" t="inlineStr">
        <is>
          <t>SELL</t>
        </is>
      </c>
      <c r="G344" t="n">
        <v>160</v>
      </c>
      <c r="H344" t="n">
        <v>26179.34</v>
      </c>
      <c r="I344" t="n">
        <v>4188694.4</v>
      </c>
      <c r="J344" t="n">
        <v>837.74</v>
      </c>
      <c r="K344" t="inlineStr">
        <is>
          <t>BSE</t>
        </is>
      </c>
      <c r="L344" t="inlineStr">
        <is>
          <t>QE-CLEARING</t>
        </is>
      </c>
      <c r="M344" t="inlineStr">
        <is>
          <t>T100343</t>
        </is>
      </c>
    </row>
    <row r="345">
      <c r="A345" t="inlineStr">
        <is>
          <t>T100344</t>
        </is>
      </c>
      <c r="B345" t="inlineStr">
        <is>
          <t>2026-06-30</t>
        </is>
      </c>
      <c r="C345" t="inlineStr">
        <is>
          <t>12:31:01</t>
        </is>
      </c>
      <c r="D345" t="inlineStr">
        <is>
          <t>FINNIFTY-FUT</t>
        </is>
      </c>
      <c r="E345" t="inlineStr">
        <is>
          <t>Future</t>
        </is>
      </c>
      <c r="F345" t="inlineStr">
        <is>
          <t>BUY</t>
        </is>
      </c>
      <c r="G345" t="n">
        <v>400</v>
      </c>
      <c r="H345" t="n">
        <v>26153.63</v>
      </c>
      <c r="I345" t="n">
        <v>10461452</v>
      </c>
      <c r="J345" t="n">
        <v>2092.29</v>
      </c>
      <c r="K345" t="inlineStr">
        <is>
          <t>NSE</t>
        </is>
      </c>
      <c r="L345" t="inlineStr">
        <is>
          <t>QE-CLEARING</t>
        </is>
      </c>
      <c r="M345" t="inlineStr">
        <is>
          <t>T100344</t>
        </is>
      </c>
    </row>
    <row r="346">
      <c r="A346" t="inlineStr">
        <is>
          <t>T100345</t>
        </is>
      </c>
      <c r="B346" t="inlineStr">
        <is>
          <t>2026-06-30</t>
        </is>
      </c>
      <c r="C346" t="inlineStr">
        <is>
          <t>12:16:40</t>
        </is>
      </c>
      <c r="D346" t="inlineStr">
        <is>
          <t>NIFTY-FUT</t>
        </is>
      </c>
      <c r="E346" t="inlineStr">
        <is>
          <t>Future</t>
        </is>
      </c>
      <c r="F346" t="inlineStr">
        <is>
          <t>BUY</t>
        </is>
      </c>
      <c r="G346" t="n">
        <v>125</v>
      </c>
      <c r="H346" t="n">
        <v>24878.63</v>
      </c>
      <c r="I346" t="n">
        <v>3109828.75</v>
      </c>
      <c r="J346" t="n">
        <v>621.97</v>
      </c>
      <c r="K346" t="inlineStr">
        <is>
          <t>BSE</t>
        </is>
      </c>
      <c r="L346" t="inlineStr">
        <is>
          <t>QE-CLEARING</t>
        </is>
      </c>
      <c r="M346" t="inlineStr">
        <is>
          <t>T100345</t>
        </is>
      </c>
    </row>
    <row r="347">
      <c r="A347" t="inlineStr">
        <is>
          <t>T100346</t>
        </is>
      </c>
      <c r="B347" t="inlineStr">
        <is>
          <t>2026-06-30</t>
        </is>
      </c>
      <c r="C347" t="inlineStr">
        <is>
          <t>12:42:38</t>
        </is>
      </c>
      <c r="D347" t="inlineStr">
        <is>
          <t>BANKNIFTY-FUT</t>
        </is>
      </c>
      <c r="E347" t="inlineStr">
        <is>
          <t>Future</t>
        </is>
      </c>
      <c r="F347" t="inlineStr">
        <is>
          <t>BUY</t>
        </is>
      </c>
      <c r="G347" t="n">
        <v>15</v>
      </c>
      <c r="H347" t="n">
        <v>55402.7</v>
      </c>
      <c r="I347" t="n">
        <v>831040.5</v>
      </c>
      <c r="J347" t="n">
        <v>166.21</v>
      </c>
      <c r="K347" t="inlineStr">
        <is>
          <t>NSE</t>
        </is>
      </c>
      <c r="L347" t="inlineStr">
        <is>
          <t>QE-CLEARING</t>
        </is>
      </c>
      <c r="M347" t="inlineStr">
        <is>
          <t>T100346</t>
        </is>
      </c>
    </row>
    <row r="348">
      <c r="A348" t="inlineStr">
        <is>
          <t>T100347</t>
        </is>
      </c>
      <c r="B348" t="inlineStr">
        <is>
          <t>2026-06-30</t>
        </is>
      </c>
      <c r="C348" t="inlineStr">
        <is>
          <t>13:20:41</t>
        </is>
      </c>
      <c r="D348" t="inlineStr">
        <is>
          <t>BANKNIFTY-FUT</t>
        </is>
      </c>
      <c r="E348" t="inlineStr">
        <is>
          <t>Future</t>
        </is>
      </c>
      <c r="F348" t="inlineStr">
        <is>
          <t>BUY</t>
        </is>
      </c>
      <c r="G348" t="n">
        <v>120</v>
      </c>
      <c r="H348" t="n">
        <v>54997.32</v>
      </c>
      <c r="I348" t="n">
        <v>6599678.4</v>
      </c>
      <c r="J348" t="n">
        <v>1319.94</v>
      </c>
      <c r="K348" t="inlineStr">
        <is>
          <t>NSE</t>
        </is>
      </c>
      <c r="L348" t="inlineStr">
        <is>
          <t>QE-CLEARING</t>
        </is>
      </c>
      <c r="M348" t="inlineStr">
        <is>
          <t>T100347</t>
        </is>
      </c>
    </row>
    <row r="349">
      <c r="A349" t="inlineStr">
        <is>
          <t>T100348</t>
        </is>
      </c>
      <c r="B349" t="inlineStr">
        <is>
          <t>2026-06-30</t>
        </is>
      </c>
      <c r="C349" t="inlineStr">
        <is>
          <t>11:52:49</t>
        </is>
      </c>
      <c r="D349" t="inlineStr">
        <is>
          <t>BANKNIFTY-FUT</t>
        </is>
      </c>
      <c r="E349" t="inlineStr">
        <is>
          <t>Future</t>
        </is>
      </c>
      <c r="F349" t="inlineStr">
        <is>
          <t>BUY</t>
        </is>
      </c>
      <c r="G349" t="n">
        <v>150</v>
      </c>
      <c r="H349" t="n">
        <v>55243.12</v>
      </c>
      <c r="I349" t="n">
        <v>8286468</v>
      </c>
      <c r="J349" t="n">
        <v>1657.29</v>
      </c>
      <c r="K349" t="inlineStr">
        <is>
          <t>NSE</t>
        </is>
      </c>
      <c r="L349" t="inlineStr">
        <is>
          <t>QE-CLEARING</t>
        </is>
      </c>
      <c r="M349" t="inlineStr">
        <is>
          <t>T100348</t>
        </is>
      </c>
    </row>
    <row r="350">
      <c r="A350" t="inlineStr">
        <is>
          <t>T100349</t>
        </is>
      </c>
      <c r="B350" t="inlineStr">
        <is>
          <t>2026-06-30</t>
        </is>
      </c>
      <c r="C350" t="inlineStr">
        <is>
          <t>10:27:31</t>
        </is>
      </c>
      <c r="D350" t="inlineStr">
        <is>
          <t>BANKNIFTY-FUT</t>
        </is>
      </c>
      <c r="E350" t="inlineStr">
        <is>
          <t>Future</t>
        </is>
      </c>
      <c r="F350" t="inlineStr">
        <is>
          <t>BUY</t>
        </is>
      </c>
      <c r="G350" t="n">
        <v>150</v>
      </c>
      <c r="H350" t="n">
        <v>54986.04</v>
      </c>
      <c r="I350" t="n">
        <v>8247906</v>
      </c>
      <c r="J350" t="n">
        <v>1649.58</v>
      </c>
      <c r="K350" t="inlineStr">
        <is>
          <t>NSE</t>
        </is>
      </c>
      <c r="L350" t="inlineStr">
        <is>
          <t>QE-CLEARING</t>
        </is>
      </c>
      <c r="M350" t="inlineStr">
        <is>
          <t>T100349</t>
        </is>
      </c>
    </row>
    <row r="351">
      <c r="A351" t="inlineStr">
        <is>
          <t>T100350</t>
        </is>
      </c>
      <c r="B351" t="inlineStr">
        <is>
          <t>2026-06-30</t>
        </is>
      </c>
      <c r="C351" t="inlineStr">
        <is>
          <t>11:51:32</t>
        </is>
      </c>
      <c r="D351" t="inlineStr">
        <is>
          <t>NIFTY-FUT</t>
        </is>
      </c>
      <c r="E351" t="inlineStr">
        <is>
          <t>Future</t>
        </is>
      </c>
      <c r="F351" t="inlineStr">
        <is>
          <t>SELL</t>
        </is>
      </c>
      <c r="G351" t="n">
        <v>75</v>
      </c>
      <c r="H351" t="n">
        <v>24764.8</v>
      </c>
      <c r="I351" t="n">
        <v>1857360</v>
      </c>
      <c r="J351" t="n">
        <v>371.47</v>
      </c>
      <c r="K351" t="inlineStr">
        <is>
          <t>NSE</t>
        </is>
      </c>
      <c r="L351" t="inlineStr">
        <is>
          <t>QE-CLEARING</t>
        </is>
      </c>
      <c r="M351" t="inlineStr">
        <is>
          <t>T100350</t>
        </is>
      </c>
    </row>
    <row r="352">
      <c r="A352" t="inlineStr">
        <is>
          <t>T100351</t>
        </is>
      </c>
      <c r="B352" t="inlineStr">
        <is>
          <t>2026-06-30</t>
        </is>
      </c>
      <c r="C352" t="inlineStr">
        <is>
          <t>14:19:48</t>
        </is>
      </c>
      <c r="D352" t="inlineStr">
        <is>
          <t>FINNIFTY-FUT</t>
        </is>
      </c>
      <c r="E352" t="inlineStr">
        <is>
          <t>Future</t>
        </is>
      </c>
      <c r="F352" t="inlineStr">
        <is>
          <t>BUY</t>
        </is>
      </c>
      <c r="G352" t="n">
        <v>200</v>
      </c>
      <c r="H352" t="n">
        <v>26177.06</v>
      </c>
      <c r="I352" t="n">
        <v>5235412</v>
      </c>
      <c r="J352" t="n">
        <v>1047.08</v>
      </c>
      <c r="K352" t="inlineStr">
        <is>
          <t>NSE</t>
        </is>
      </c>
      <c r="L352" t="inlineStr">
        <is>
          <t>QE-CLEARING</t>
        </is>
      </c>
      <c r="M352" t="inlineStr">
        <is>
          <t>T100351</t>
        </is>
      </c>
    </row>
    <row r="353">
      <c r="A353" t="inlineStr">
        <is>
          <t>T100352</t>
        </is>
      </c>
      <c r="B353" t="inlineStr">
        <is>
          <t>2026-06-30</t>
        </is>
      </c>
      <c r="C353" t="inlineStr">
        <is>
          <t>10:18:50</t>
        </is>
      </c>
      <c r="D353" t="inlineStr">
        <is>
          <t>BANKNIFTY-FUT</t>
        </is>
      </c>
      <c r="E353" t="inlineStr">
        <is>
          <t>Future</t>
        </is>
      </c>
      <c r="F353" t="inlineStr">
        <is>
          <t>SELL</t>
        </is>
      </c>
      <c r="G353" t="n">
        <v>30</v>
      </c>
      <c r="H353" t="n">
        <v>55195.15</v>
      </c>
      <c r="I353" t="n">
        <v>1655854.5</v>
      </c>
      <c r="J353" t="n">
        <v>331.17</v>
      </c>
      <c r="K353" t="inlineStr">
        <is>
          <t>NSE</t>
        </is>
      </c>
      <c r="L353" t="inlineStr">
        <is>
          <t>QE-CLEARING</t>
        </is>
      </c>
      <c r="M353" t="inlineStr">
        <is>
          <t>T100352</t>
        </is>
      </c>
    </row>
    <row r="354">
      <c r="A354" t="inlineStr">
        <is>
          <t>T100353</t>
        </is>
      </c>
      <c r="B354" t="inlineStr">
        <is>
          <t>2026-06-30</t>
        </is>
      </c>
      <c r="C354" t="inlineStr">
        <is>
          <t>11:54:04</t>
        </is>
      </c>
      <c r="D354" t="inlineStr">
        <is>
          <t>BANKNIFTY-FUT</t>
        </is>
      </c>
      <c r="E354" t="inlineStr">
        <is>
          <t>Future</t>
        </is>
      </c>
      <c r="F354" t="inlineStr">
        <is>
          <t>BUY</t>
        </is>
      </c>
      <c r="G354" t="n">
        <v>150</v>
      </c>
      <c r="H354" t="n">
        <v>55340.39</v>
      </c>
      <c r="I354" t="n">
        <v>8301058.5</v>
      </c>
      <c r="J354" t="n">
        <v>1660.21</v>
      </c>
      <c r="K354" t="inlineStr">
        <is>
          <t>NSE</t>
        </is>
      </c>
      <c r="L354" t="inlineStr">
        <is>
          <t>QE-CLEARING</t>
        </is>
      </c>
      <c r="M354" t="inlineStr">
        <is>
          <t>T100353</t>
        </is>
      </c>
    </row>
    <row r="355">
      <c r="A355" t="inlineStr">
        <is>
          <t>T100354</t>
        </is>
      </c>
      <c r="B355" t="inlineStr">
        <is>
          <t>2026-06-30</t>
        </is>
      </c>
      <c r="C355" t="inlineStr">
        <is>
          <t>13:57:00</t>
        </is>
      </c>
      <c r="D355" t="inlineStr">
        <is>
          <t>FINNIFTY-FUT</t>
        </is>
      </c>
      <c r="E355" t="inlineStr">
        <is>
          <t>Future</t>
        </is>
      </c>
      <c r="F355" t="inlineStr">
        <is>
          <t>SELL</t>
        </is>
      </c>
      <c r="G355" t="n">
        <v>200</v>
      </c>
      <c r="H355" t="n">
        <v>26105.14</v>
      </c>
      <c r="I355" t="n">
        <v>5221028</v>
      </c>
      <c r="J355" t="n">
        <v>1044.21</v>
      </c>
      <c r="K355" t="inlineStr">
        <is>
          <t>BSE</t>
        </is>
      </c>
      <c r="L355" t="inlineStr">
        <is>
          <t>QE-CLEARING</t>
        </is>
      </c>
      <c r="M355" t="inlineStr">
        <is>
          <t>T100354</t>
        </is>
      </c>
    </row>
    <row r="356">
      <c r="A356" t="inlineStr">
        <is>
          <t>T100355</t>
        </is>
      </c>
      <c r="B356" t="inlineStr">
        <is>
          <t>2026-06-30</t>
        </is>
      </c>
      <c r="C356" t="inlineStr">
        <is>
          <t>11:25:42</t>
        </is>
      </c>
      <c r="D356" t="inlineStr">
        <is>
          <t>BANKNIFTY-FUT</t>
        </is>
      </c>
      <c r="E356" t="inlineStr">
        <is>
          <t>Future</t>
        </is>
      </c>
      <c r="F356" t="inlineStr">
        <is>
          <t>SELL</t>
        </is>
      </c>
      <c r="G356" t="n">
        <v>150</v>
      </c>
      <c r="H356" t="n">
        <v>55345.07</v>
      </c>
      <c r="I356" t="n">
        <v>8301760.5</v>
      </c>
      <c r="J356" t="n">
        <v>1660.35</v>
      </c>
      <c r="K356" t="inlineStr">
        <is>
          <t>NSE</t>
        </is>
      </c>
      <c r="L356" t="inlineStr">
        <is>
          <t>QE-CLEARING</t>
        </is>
      </c>
      <c r="M356" t="inlineStr">
        <is>
          <t>T100355</t>
        </is>
      </c>
    </row>
    <row r="357">
      <c r="A357" t="inlineStr">
        <is>
          <t>T100356</t>
        </is>
      </c>
      <c r="B357" t="inlineStr">
        <is>
          <t>2026-06-30</t>
        </is>
      </c>
      <c r="C357" t="inlineStr">
        <is>
          <t>09:46:23</t>
        </is>
      </c>
      <c r="D357" t="inlineStr">
        <is>
          <t>FINNIFTY-FUT</t>
        </is>
      </c>
      <c r="E357" t="inlineStr">
        <is>
          <t>Future</t>
        </is>
      </c>
      <c r="F357" t="inlineStr">
        <is>
          <t>BUY</t>
        </is>
      </c>
      <c r="G357" t="n">
        <v>80</v>
      </c>
      <c r="H357" t="n">
        <v>26094.32</v>
      </c>
      <c r="I357" t="n">
        <v>2087545.6</v>
      </c>
      <c r="J357" t="n">
        <v>417.51</v>
      </c>
      <c r="K357" t="inlineStr">
        <is>
          <t>BSE</t>
        </is>
      </c>
      <c r="L357" t="inlineStr">
        <is>
          <t>QE-CLEARING</t>
        </is>
      </c>
      <c r="M357" t="inlineStr">
        <is>
          <t>T100356</t>
        </is>
      </c>
    </row>
    <row r="358">
      <c r="A358" t="inlineStr">
        <is>
          <t>T100357</t>
        </is>
      </c>
      <c r="B358" t="inlineStr">
        <is>
          <t>2026-06-30</t>
        </is>
      </c>
      <c r="C358" t="inlineStr">
        <is>
          <t>12:42:32</t>
        </is>
      </c>
      <c r="D358" t="inlineStr">
        <is>
          <t>FINNIFTY-FUT</t>
        </is>
      </c>
      <c r="E358" t="inlineStr">
        <is>
          <t>Future</t>
        </is>
      </c>
      <c r="F358" t="inlineStr">
        <is>
          <t>BUY</t>
        </is>
      </c>
      <c r="G358" t="n">
        <v>160</v>
      </c>
      <c r="H358" t="n">
        <v>26082.94</v>
      </c>
      <c r="I358" t="n">
        <v>4173270.4</v>
      </c>
      <c r="J358" t="n">
        <v>834.65</v>
      </c>
      <c r="K358" t="inlineStr">
        <is>
          <t>BSE</t>
        </is>
      </c>
      <c r="L358" t="inlineStr">
        <is>
          <t>QE-CLEARING</t>
        </is>
      </c>
      <c r="M358" t="inlineStr">
        <is>
          <t>T100357</t>
        </is>
      </c>
    </row>
    <row r="359">
      <c r="A359" t="inlineStr">
        <is>
          <t>T100358</t>
        </is>
      </c>
      <c r="B359" t="inlineStr">
        <is>
          <t>2026-06-30</t>
        </is>
      </c>
      <c r="C359" t="inlineStr">
        <is>
          <t>14:41:49</t>
        </is>
      </c>
      <c r="D359" t="inlineStr">
        <is>
          <t>BANKNIFTY-FUT</t>
        </is>
      </c>
      <c r="E359" t="inlineStr">
        <is>
          <t>Future</t>
        </is>
      </c>
      <c r="F359" t="inlineStr">
        <is>
          <t>SELL</t>
        </is>
      </c>
      <c r="G359" t="n">
        <v>75</v>
      </c>
      <c r="H359" t="n">
        <v>55008.24</v>
      </c>
      <c r="I359" t="n">
        <v>4125618</v>
      </c>
      <c r="J359" t="n">
        <v>825.12</v>
      </c>
      <c r="K359" t="inlineStr">
        <is>
          <t>BSE</t>
        </is>
      </c>
      <c r="L359" t="inlineStr">
        <is>
          <t>QE-CLEARING</t>
        </is>
      </c>
      <c r="M359" t="inlineStr">
        <is>
          <t>T100358</t>
        </is>
      </c>
    </row>
    <row r="360">
      <c r="A360" t="inlineStr">
        <is>
          <t>T100359</t>
        </is>
      </c>
      <c r="B360" t="inlineStr">
        <is>
          <t>2026-06-30</t>
        </is>
      </c>
      <c r="C360" t="inlineStr">
        <is>
          <t>14:21:45</t>
        </is>
      </c>
      <c r="D360" t="inlineStr">
        <is>
          <t>NIFTY-FUT</t>
        </is>
      </c>
      <c r="E360" t="inlineStr">
        <is>
          <t>Future</t>
        </is>
      </c>
      <c r="F360" t="inlineStr">
        <is>
          <t>BUY</t>
        </is>
      </c>
      <c r="G360" t="n">
        <v>75</v>
      </c>
      <c r="H360" t="n">
        <v>24834.37</v>
      </c>
      <c r="I360" t="n">
        <v>1862577.75</v>
      </c>
      <c r="J360" t="n">
        <v>372.52</v>
      </c>
      <c r="K360" t="inlineStr">
        <is>
          <t>BSE</t>
        </is>
      </c>
      <c r="L360" t="inlineStr">
        <is>
          <t>QE-CLEARING</t>
        </is>
      </c>
      <c r="M360" t="inlineStr">
        <is>
          <t>T100359</t>
        </is>
      </c>
    </row>
    <row r="361">
      <c r="A361" t="inlineStr">
        <is>
          <t>T100360</t>
        </is>
      </c>
      <c r="B361" t="inlineStr">
        <is>
          <t>2026-06-30</t>
        </is>
      </c>
      <c r="C361" t="inlineStr">
        <is>
          <t>14:41:12</t>
        </is>
      </c>
      <c r="D361" t="inlineStr">
        <is>
          <t>NIFTY-FUT</t>
        </is>
      </c>
      <c r="E361" t="inlineStr">
        <is>
          <t>Future</t>
        </is>
      </c>
      <c r="F361" t="inlineStr">
        <is>
          <t>SELL</t>
        </is>
      </c>
      <c r="G361" t="n">
        <v>25</v>
      </c>
      <c r="H361" t="n">
        <v>24928.32</v>
      </c>
      <c r="I361" t="n">
        <v>623208</v>
      </c>
      <c r="J361" t="n">
        <v>124.64</v>
      </c>
      <c r="K361" t="inlineStr">
        <is>
          <t>BSE</t>
        </is>
      </c>
      <c r="L361" t="inlineStr">
        <is>
          <t>QE-CLEARING</t>
        </is>
      </c>
      <c r="M361" t="inlineStr">
        <is>
          <t>T100360</t>
        </is>
      </c>
    </row>
    <row r="362">
      <c r="A362" t="inlineStr">
        <is>
          <t>T100361</t>
        </is>
      </c>
      <c r="B362" t="inlineStr">
        <is>
          <t>2026-06-30</t>
        </is>
      </c>
      <c r="C362" t="inlineStr">
        <is>
          <t>14:13:45</t>
        </is>
      </c>
      <c r="D362" t="inlineStr">
        <is>
          <t>BANKNIFTY-FUT</t>
        </is>
      </c>
      <c r="E362" t="inlineStr">
        <is>
          <t>Future</t>
        </is>
      </c>
      <c r="F362" t="inlineStr">
        <is>
          <t>SELL</t>
        </is>
      </c>
      <c r="G362" t="n">
        <v>150</v>
      </c>
      <c r="H362" t="n">
        <v>55120.29</v>
      </c>
      <c r="I362" t="n">
        <v>8268043.5</v>
      </c>
      <c r="J362" t="n">
        <v>1653.61</v>
      </c>
      <c r="K362" t="inlineStr">
        <is>
          <t>NSE</t>
        </is>
      </c>
      <c r="L362" t="inlineStr">
        <is>
          <t>QE-CLEARING</t>
        </is>
      </c>
      <c r="M362" t="inlineStr">
        <is>
          <t>T100361</t>
        </is>
      </c>
    </row>
    <row r="363">
      <c r="A363" t="inlineStr">
        <is>
          <t>T100362</t>
        </is>
      </c>
      <c r="B363" t="inlineStr">
        <is>
          <t>2026-06-30</t>
        </is>
      </c>
      <c r="C363" t="inlineStr">
        <is>
          <t>15:41:56</t>
        </is>
      </c>
      <c r="D363" t="inlineStr">
        <is>
          <t>NIFTY-FUT</t>
        </is>
      </c>
      <c r="E363" t="inlineStr">
        <is>
          <t>Future</t>
        </is>
      </c>
      <c r="F363" t="inlineStr">
        <is>
          <t>BUY</t>
        </is>
      </c>
      <c r="G363" t="n">
        <v>25</v>
      </c>
      <c r="H363" t="n">
        <v>24911.91</v>
      </c>
      <c r="I363" t="n">
        <v>622797.75</v>
      </c>
      <c r="J363" t="n">
        <v>124.56</v>
      </c>
      <c r="K363" t="inlineStr">
        <is>
          <t>NSE</t>
        </is>
      </c>
      <c r="L363" t="inlineStr">
        <is>
          <t>QE-CLEARING</t>
        </is>
      </c>
      <c r="M363" t="inlineStr">
        <is>
          <t>T100362</t>
        </is>
      </c>
    </row>
    <row r="364">
      <c r="A364" t="inlineStr">
        <is>
          <t>T100363</t>
        </is>
      </c>
      <c r="B364" t="inlineStr">
        <is>
          <t>2026-06-30</t>
        </is>
      </c>
      <c r="C364" t="inlineStr">
        <is>
          <t>14:28:01</t>
        </is>
      </c>
      <c r="D364" t="inlineStr">
        <is>
          <t>BANKNIFTY-FUT</t>
        </is>
      </c>
      <c r="E364" t="inlineStr">
        <is>
          <t>Future</t>
        </is>
      </c>
      <c r="F364" t="inlineStr">
        <is>
          <t>SELL</t>
        </is>
      </c>
      <c r="G364" t="n">
        <v>45</v>
      </c>
      <c r="H364" t="n">
        <v>55112.79</v>
      </c>
      <c r="I364" t="n">
        <v>2480075.55</v>
      </c>
      <c r="J364" t="n">
        <v>496.02</v>
      </c>
      <c r="K364" t="inlineStr">
        <is>
          <t>BSE</t>
        </is>
      </c>
      <c r="L364" t="inlineStr">
        <is>
          <t>QE-CLEARING</t>
        </is>
      </c>
      <c r="M364" t="inlineStr">
        <is>
          <t>T100363</t>
        </is>
      </c>
    </row>
    <row r="365">
      <c r="A365" t="inlineStr">
        <is>
          <t>T100364</t>
        </is>
      </c>
      <c r="B365" t="inlineStr">
        <is>
          <t>2026-06-30</t>
        </is>
      </c>
      <c r="C365" t="inlineStr">
        <is>
          <t>11:53:57</t>
        </is>
      </c>
      <c r="D365" t="inlineStr">
        <is>
          <t>FINNIFTY-FUT</t>
        </is>
      </c>
      <c r="E365" t="inlineStr">
        <is>
          <t>Future</t>
        </is>
      </c>
      <c r="F365" t="inlineStr">
        <is>
          <t>SELL</t>
        </is>
      </c>
      <c r="G365" t="n">
        <v>40</v>
      </c>
      <c r="H365" t="n">
        <v>26090.89</v>
      </c>
      <c r="I365" t="n">
        <v>1043635.6</v>
      </c>
      <c r="J365" t="n">
        <v>208.73</v>
      </c>
      <c r="K365" t="inlineStr">
        <is>
          <t>NSE</t>
        </is>
      </c>
      <c r="L365" t="inlineStr">
        <is>
          <t>QE-CLEARING</t>
        </is>
      </c>
      <c r="M365" t="inlineStr">
        <is>
          <t>T100364</t>
        </is>
      </c>
    </row>
    <row r="366">
      <c r="A366" t="inlineStr">
        <is>
          <t>T100365</t>
        </is>
      </c>
      <c r="B366" t="inlineStr">
        <is>
          <t>2026-06-30</t>
        </is>
      </c>
      <c r="C366" t="inlineStr">
        <is>
          <t>11:20:48</t>
        </is>
      </c>
      <c r="D366" t="inlineStr">
        <is>
          <t>BANKNIFTY-FUT</t>
        </is>
      </c>
      <c r="E366" t="inlineStr">
        <is>
          <t>Future</t>
        </is>
      </c>
      <c r="F366" t="inlineStr">
        <is>
          <t>SELL</t>
        </is>
      </c>
      <c r="G366" t="n">
        <v>60</v>
      </c>
      <c r="H366" t="n">
        <v>55018.17</v>
      </c>
      <c r="I366" t="n">
        <v>3301090.2</v>
      </c>
      <c r="J366" t="n">
        <v>660.22</v>
      </c>
      <c r="K366" t="inlineStr">
        <is>
          <t>NSE</t>
        </is>
      </c>
      <c r="L366" t="inlineStr">
        <is>
          <t>QE-CLEARING</t>
        </is>
      </c>
      <c r="M366" t="inlineStr">
        <is>
          <t>T100365</t>
        </is>
      </c>
    </row>
    <row r="367">
      <c r="A367" t="inlineStr">
        <is>
          <t>T100366</t>
        </is>
      </c>
      <c r="B367" t="inlineStr">
        <is>
          <t>2026-06-30</t>
        </is>
      </c>
      <c r="C367" t="inlineStr">
        <is>
          <t>13:37:24</t>
        </is>
      </c>
      <c r="D367" t="inlineStr">
        <is>
          <t>BANKNIFTY-FUT</t>
        </is>
      </c>
      <c r="E367" t="inlineStr">
        <is>
          <t>Future</t>
        </is>
      </c>
      <c r="F367" t="inlineStr">
        <is>
          <t>BUY</t>
        </is>
      </c>
      <c r="G367" t="n">
        <v>60</v>
      </c>
      <c r="H367" t="n">
        <v>55141.76</v>
      </c>
      <c r="I367" t="n">
        <v>3308505.6</v>
      </c>
      <c r="J367" t="n">
        <v>661.7</v>
      </c>
      <c r="K367" t="inlineStr">
        <is>
          <t>NSE</t>
        </is>
      </c>
      <c r="L367" t="inlineStr">
        <is>
          <t>QE-CLEARING</t>
        </is>
      </c>
      <c r="M367" t="inlineStr">
        <is>
          <t>T100366</t>
        </is>
      </c>
    </row>
    <row r="368">
      <c r="A368" t="inlineStr">
        <is>
          <t>T100367</t>
        </is>
      </c>
      <c r="B368" t="inlineStr">
        <is>
          <t>2026-06-30</t>
        </is>
      </c>
      <c r="C368" t="inlineStr">
        <is>
          <t>15:21:06</t>
        </is>
      </c>
      <c r="D368" t="inlineStr">
        <is>
          <t>NIFTY-FUT</t>
        </is>
      </c>
      <c r="E368" t="inlineStr">
        <is>
          <t>Future</t>
        </is>
      </c>
      <c r="F368" t="inlineStr">
        <is>
          <t>SELL</t>
        </is>
      </c>
      <c r="G368" t="n">
        <v>100</v>
      </c>
      <c r="H368" t="n">
        <v>24796.13</v>
      </c>
      <c r="I368" t="n">
        <v>2479613</v>
      </c>
      <c r="J368" t="n">
        <v>495.92</v>
      </c>
      <c r="K368" t="inlineStr">
        <is>
          <t>BSE</t>
        </is>
      </c>
      <c r="L368" t="inlineStr">
        <is>
          <t>QE-CLEARING</t>
        </is>
      </c>
      <c r="M368" t="inlineStr">
        <is>
          <t>T100367</t>
        </is>
      </c>
    </row>
    <row r="369">
      <c r="A369" t="inlineStr">
        <is>
          <t>T100368</t>
        </is>
      </c>
      <c r="B369" t="inlineStr">
        <is>
          <t>2026-06-30</t>
        </is>
      </c>
      <c r="C369" t="inlineStr">
        <is>
          <t>10:45:06</t>
        </is>
      </c>
      <c r="D369" t="inlineStr">
        <is>
          <t>BANKNIFTY-FUT</t>
        </is>
      </c>
      <c r="E369" t="inlineStr">
        <is>
          <t>Future</t>
        </is>
      </c>
      <c r="F369" t="inlineStr">
        <is>
          <t>BUY</t>
        </is>
      </c>
      <c r="G369" t="n">
        <v>75</v>
      </c>
      <c r="H369" t="n">
        <v>54993.36</v>
      </c>
      <c r="I369" t="n">
        <v>4124502</v>
      </c>
      <c r="J369" t="n">
        <v>824.9</v>
      </c>
      <c r="K369" t="inlineStr">
        <is>
          <t>BSE</t>
        </is>
      </c>
      <c r="L369" t="inlineStr">
        <is>
          <t>QE-CLEARING</t>
        </is>
      </c>
      <c r="M369" t="inlineStr">
        <is>
          <t>T100368</t>
        </is>
      </c>
    </row>
    <row r="370">
      <c r="A370" t="inlineStr">
        <is>
          <t>T100369</t>
        </is>
      </c>
      <c r="B370" t="inlineStr">
        <is>
          <t>2026-06-30</t>
        </is>
      </c>
      <c r="C370" t="inlineStr">
        <is>
          <t>15:28:31</t>
        </is>
      </c>
      <c r="D370" t="inlineStr">
        <is>
          <t>NIFTY-FUT</t>
        </is>
      </c>
      <c r="E370" t="inlineStr">
        <is>
          <t>Future</t>
        </is>
      </c>
      <c r="F370" t="inlineStr">
        <is>
          <t>BUY</t>
        </is>
      </c>
      <c r="G370" t="n">
        <v>250</v>
      </c>
      <c r="H370" t="n">
        <v>24773.2</v>
      </c>
      <c r="I370" t="n">
        <v>6193300</v>
      </c>
      <c r="J370" t="n">
        <v>1238.66</v>
      </c>
      <c r="K370" t="inlineStr">
        <is>
          <t>BSE</t>
        </is>
      </c>
      <c r="L370" t="inlineStr">
        <is>
          <t>QE-CLEARING</t>
        </is>
      </c>
      <c r="M370" t="inlineStr">
        <is>
          <t>T100369</t>
        </is>
      </c>
    </row>
    <row r="371">
      <c r="A371" t="inlineStr">
        <is>
          <t>T100370</t>
        </is>
      </c>
      <c r="B371" t="inlineStr">
        <is>
          <t>2026-06-30</t>
        </is>
      </c>
      <c r="C371" t="inlineStr">
        <is>
          <t>09:00:28</t>
        </is>
      </c>
      <c r="D371" t="inlineStr">
        <is>
          <t>NIFTY-FUT</t>
        </is>
      </c>
      <c r="E371" t="inlineStr">
        <is>
          <t>Future</t>
        </is>
      </c>
      <c r="F371" t="inlineStr">
        <is>
          <t>BUY</t>
        </is>
      </c>
      <c r="G371" t="n">
        <v>250</v>
      </c>
      <c r="H371" t="n">
        <v>24905.22</v>
      </c>
      <c r="I371" t="n">
        <v>6226305</v>
      </c>
      <c r="J371" t="n">
        <v>1245.26</v>
      </c>
      <c r="K371" t="inlineStr">
        <is>
          <t>BSE</t>
        </is>
      </c>
      <c r="L371" t="inlineStr">
        <is>
          <t>QE-CLEARING</t>
        </is>
      </c>
      <c r="M371" t="inlineStr">
        <is>
          <t>T100370</t>
        </is>
      </c>
    </row>
    <row r="372">
      <c r="A372" t="inlineStr">
        <is>
          <t>T100371</t>
        </is>
      </c>
      <c r="B372" t="inlineStr">
        <is>
          <t>2026-06-30</t>
        </is>
      </c>
      <c r="C372" t="inlineStr">
        <is>
          <t>13:53:00</t>
        </is>
      </c>
      <c r="D372" t="inlineStr">
        <is>
          <t>FINNIFTY-FUT</t>
        </is>
      </c>
      <c r="E372" t="inlineStr">
        <is>
          <t>Future</t>
        </is>
      </c>
      <c r="F372" t="inlineStr">
        <is>
          <t>SELL</t>
        </is>
      </c>
      <c r="G372" t="n">
        <v>40</v>
      </c>
      <c r="H372" t="n">
        <v>26118.56</v>
      </c>
      <c r="I372" t="n">
        <v>1044742.4</v>
      </c>
      <c r="J372" t="n">
        <v>208.95</v>
      </c>
      <c r="K372" t="inlineStr">
        <is>
          <t>NSE</t>
        </is>
      </c>
      <c r="L372" t="inlineStr">
        <is>
          <t>QE-CLEARING</t>
        </is>
      </c>
      <c r="M372" t="inlineStr">
        <is>
          <t>T100371</t>
        </is>
      </c>
    </row>
    <row r="373">
      <c r="A373" t="inlineStr">
        <is>
          <t>T100372</t>
        </is>
      </c>
      <c r="B373" t="inlineStr">
        <is>
          <t>2026-06-30</t>
        </is>
      </c>
      <c r="C373" t="inlineStr">
        <is>
          <t>13:05:16</t>
        </is>
      </c>
      <c r="D373" t="inlineStr">
        <is>
          <t>NIFTY-FUT</t>
        </is>
      </c>
      <c r="E373" t="inlineStr">
        <is>
          <t>Future</t>
        </is>
      </c>
      <c r="F373" t="inlineStr">
        <is>
          <t>BUY</t>
        </is>
      </c>
      <c r="G373" t="n">
        <v>50</v>
      </c>
      <c r="H373" t="n">
        <v>24878.19</v>
      </c>
      <c r="I373" t="n">
        <v>1243909.5</v>
      </c>
      <c r="J373" t="n">
        <v>248.78</v>
      </c>
      <c r="K373" t="inlineStr">
        <is>
          <t>NSE</t>
        </is>
      </c>
      <c r="L373" t="inlineStr">
        <is>
          <t>QE-CLEARING</t>
        </is>
      </c>
      <c r="M373" t="inlineStr">
        <is>
          <t>T100372</t>
        </is>
      </c>
    </row>
    <row r="374">
      <c r="A374" t="inlineStr">
        <is>
          <t>T100373</t>
        </is>
      </c>
      <c r="B374" t="inlineStr">
        <is>
          <t>2026-06-30</t>
        </is>
      </c>
      <c r="C374" t="inlineStr">
        <is>
          <t>12:08:15</t>
        </is>
      </c>
      <c r="D374" t="inlineStr">
        <is>
          <t>FINNIFTY-FUT</t>
        </is>
      </c>
      <c r="E374" t="inlineStr">
        <is>
          <t>Future</t>
        </is>
      </c>
      <c r="F374" t="inlineStr">
        <is>
          <t>BUY</t>
        </is>
      </c>
      <c r="G374" t="n">
        <v>200</v>
      </c>
      <c r="H374" t="n">
        <v>26173.22</v>
      </c>
      <c r="I374" t="n">
        <v>5234644</v>
      </c>
      <c r="J374" t="n">
        <v>1046.93</v>
      </c>
      <c r="K374" t="inlineStr">
        <is>
          <t>BSE</t>
        </is>
      </c>
      <c r="L374" t="inlineStr">
        <is>
          <t>QE-CLEARING</t>
        </is>
      </c>
      <c r="M374" t="inlineStr">
        <is>
          <t>T100373</t>
        </is>
      </c>
    </row>
    <row r="375">
      <c r="A375" t="inlineStr">
        <is>
          <t>T100374</t>
        </is>
      </c>
      <c r="B375" t="inlineStr">
        <is>
          <t>2026-06-30</t>
        </is>
      </c>
      <c r="C375" t="inlineStr">
        <is>
          <t>15:57:49</t>
        </is>
      </c>
      <c r="D375" t="inlineStr">
        <is>
          <t>FINNIFTY-FUT</t>
        </is>
      </c>
      <c r="E375" t="inlineStr">
        <is>
          <t>Future</t>
        </is>
      </c>
      <c r="F375" t="inlineStr">
        <is>
          <t>BUY</t>
        </is>
      </c>
      <c r="G375" t="n">
        <v>160</v>
      </c>
      <c r="H375" t="n">
        <v>26049.34</v>
      </c>
      <c r="I375" t="n">
        <v>4167894.4</v>
      </c>
      <c r="J375" t="n">
        <v>833.58</v>
      </c>
      <c r="K375" t="inlineStr">
        <is>
          <t>BSE</t>
        </is>
      </c>
      <c r="L375" t="inlineStr">
        <is>
          <t>QE-CLEARING</t>
        </is>
      </c>
      <c r="M375" t="inlineStr">
        <is>
          <t>T100374</t>
        </is>
      </c>
    </row>
    <row r="376">
      <c r="A376" t="inlineStr">
        <is>
          <t>T100375</t>
        </is>
      </c>
      <c r="B376" t="inlineStr">
        <is>
          <t>2026-06-30</t>
        </is>
      </c>
      <c r="C376" t="inlineStr">
        <is>
          <t>14:22:28</t>
        </is>
      </c>
      <c r="D376" t="inlineStr">
        <is>
          <t>BANKNIFTY-FUT</t>
        </is>
      </c>
      <c r="E376" t="inlineStr">
        <is>
          <t>Future</t>
        </is>
      </c>
      <c r="F376" t="inlineStr">
        <is>
          <t>BUY</t>
        </is>
      </c>
      <c r="G376" t="n">
        <v>30</v>
      </c>
      <c r="H376" t="n">
        <v>55371.75</v>
      </c>
      <c r="I376" t="n">
        <v>1661152.5</v>
      </c>
      <c r="J376" t="n">
        <v>332.23</v>
      </c>
      <c r="K376" t="inlineStr">
        <is>
          <t>BSE</t>
        </is>
      </c>
      <c r="L376" t="inlineStr">
        <is>
          <t>QE-CLEARING</t>
        </is>
      </c>
      <c r="M376" t="inlineStr">
        <is>
          <t>T100375</t>
        </is>
      </c>
    </row>
    <row r="377">
      <c r="A377" t="inlineStr">
        <is>
          <t>T100376</t>
        </is>
      </c>
      <c r="B377" t="inlineStr">
        <is>
          <t>2026-06-30</t>
        </is>
      </c>
      <c r="C377" t="inlineStr">
        <is>
          <t>15:45:48</t>
        </is>
      </c>
      <c r="D377" t="inlineStr">
        <is>
          <t>BANKNIFTY-FUT</t>
        </is>
      </c>
      <c r="E377" t="inlineStr">
        <is>
          <t>Future</t>
        </is>
      </c>
      <c r="F377" t="inlineStr">
        <is>
          <t>BUY</t>
        </is>
      </c>
      <c r="G377" t="n">
        <v>75</v>
      </c>
      <c r="H377" t="n">
        <v>55293</v>
      </c>
      <c r="I377" t="n">
        <v>4146975</v>
      </c>
      <c r="J377" t="n">
        <v>829.4</v>
      </c>
      <c r="K377" t="inlineStr">
        <is>
          <t>BSE</t>
        </is>
      </c>
      <c r="L377" t="inlineStr">
        <is>
          <t>QE-CLEARING</t>
        </is>
      </c>
      <c r="M377" t="inlineStr">
        <is>
          <t>T100376</t>
        </is>
      </c>
    </row>
    <row r="378">
      <c r="A378" t="inlineStr">
        <is>
          <t>T100377</t>
        </is>
      </c>
      <c r="B378" t="inlineStr">
        <is>
          <t>2026-06-30</t>
        </is>
      </c>
      <c r="C378" t="inlineStr">
        <is>
          <t>12:59:27</t>
        </is>
      </c>
      <c r="D378" t="inlineStr">
        <is>
          <t>NIFTY-FUT</t>
        </is>
      </c>
      <c r="E378" t="inlineStr">
        <is>
          <t>Future</t>
        </is>
      </c>
      <c r="F378" t="inlineStr">
        <is>
          <t>BUY</t>
        </is>
      </c>
      <c r="G378" t="n">
        <v>100</v>
      </c>
      <c r="H378" t="n">
        <v>24819.15</v>
      </c>
      <c r="I378" t="n">
        <v>2481915</v>
      </c>
      <c r="J378" t="n">
        <v>496.38</v>
      </c>
      <c r="K378" t="inlineStr">
        <is>
          <t>NSE</t>
        </is>
      </c>
      <c r="L378" t="inlineStr">
        <is>
          <t>QE-CLEARING</t>
        </is>
      </c>
      <c r="M378" t="inlineStr">
        <is>
          <t>T100377</t>
        </is>
      </c>
    </row>
    <row r="379">
      <c r="A379" t="inlineStr">
        <is>
          <t>T100378</t>
        </is>
      </c>
      <c r="B379" t="inlineStr">
        <is>
          <t>2026-06-30</t>
        </is>
      </c>
      <c r="C379" t="inlineStr">
        <is>
          <t>09:35:51</t>
        </is>
      </c>
      <c r="D379" t="inlineStr">
        <is>
          <t>NIFTY-FUT</t>
        </is>
      </c>
      <c r="E379" t="inlineStr">
        <is>
          <t>Future</t>
        </is>
      </c>
      <c r="F379" t="inlineStr">
        <is>
          <t>BUY</t>
        </is>
      </c>
      <c r="G379" t="n">
        <v>25</v>
      </c>
      <c r="H379" t="n">
        <v>24885.58</v>
      </c>
      <c r="I379" t="n">
        <v>622139.5</v>
      </c>
      <c r="J379" t="n">
        <v>124.43</v>
      </c>
      <c r="K379" t="inlineStr">
        <is>
          <t>BSE</t>
        </is>
      </c>
      <c r="L379" t="inlineStr">
        <is>
          <t>QE-CLEARING</t>
        </is>
      </c>
      <c r="M379" t="inlineStr">
        <is>
          <t>T100378</t>
        </is>
      </c>
    </row>
    <row r="380">
      <c r="A380" t="inlineStr">
        <is>
          <t>T100379</t>
        </is>
      </c>
      <c r="B380" t="inlineStr">
        <is>
          <t>2026-06-30</t>
        </is>
      </c>
      <c r="C380" t="inlineStr">
        <is>
          <t>14:57:13</t>
        </is>
      </c>
      <c r="D380" t="inlineStr">
        <is>
          <t>NIFTY-FUT</t>
        </is>
      </c>
      <c r="E380" t="inlineStr">
        <is>
          <t>Future</t>
        </is>
      </c>
      <c r="F380" t="inlineStr">
        <is>
          <t>SELL</t>
        </is>
      </c>
      <c r="G380" t="n">
        <v>250</v>
      </c>
      <c r="H380" t="n">
        <v>24787.99</v>
      </c>
      <c r="I380" t="n">
        <v>6196997.5</v>
      </c>
      <c r="J380" t="n">
        <v>1239.4</v>
      </c>
      <c r="K380" t="inlineStr">
        <is>
          <t>BSE</t>
        </is>
      </c>
      <c r="L380" t="inlineStr">
        <is>
          <t>QE-CLEARING</t>
        </is>
      </c>
      <c r="M380" t="inlineStr">
        <is>
          <t>T100379</t>
        </is>
      </c>
    </row>
    <row r="381">
      <c r="A381" t="inlineStr">
        <is>
          <t>T100380</t>
        </is>
      </c>
      <c r="B381" t="inlineStr">
        <is>
          <t>2026-06-30</t>
        </is>
      </c>
      <c r="C381" t="inlineStr">
        <is>
          <t>11:52:56</t>
        </is>
      </c>
      <c r="D381" t="inlineStr">
        <is>
          <t>BANKNIFTY-FUT</t>
        </is>
      </c>
      <c r="E381" t="inlineStr">
        <is>
          <t>Future</t>
        </is>
      </c>
      <c r="F381" t="inlineStr">
        <is>
          <t>BUY</t>
        </is>
      </c>
      <c r="G381" t="n">
        <v>120</v>
      </c>
      <c r="H381" t="n">
        <v>55062.62</v>
      </c>
      <c r="I381" t="n">
        <v>6607514.4</v>
      </c>
      <c r="J381" t="n">
        <v>1321.5</v>
      </c>
      <c r="K381" t="inlineStr">
        <is>
          <t>BSE</t>
        </is>
      </c>
      <c r="L381" t="inlineStr">
        <is>
          <t>QE-CLEARING</t>
        </is>
      </c>
      <c r="M381" t="inlineStr">
        <is>
          <t>T100380</t>
        </is>
      </c>
    </row>
    <row r="382">
      <c r="A382" t="inlineStr">
        <is>
          <t>T100381</t>
        </is>
      </c>
      <c r="B382" t="inlineStr">
        <is>
          <t>2026-06-30</t>
        </is>
      </c>
      <c r="C382" t="inlineStr">
        <is>
          <t>15:07:57</t>
        </is>
      </c>
      <c r="D382" t="inlineStr">
        <is>
          <t>BANKNIFTY-FUT</t>
        </is>
      </c>
      <c r="E382" t="inlineStr">
        <is>
          <t>Future</t>
        </is>
      </c>
      <c r="F382" t="inlineStr">
        <is>
          <t>BUY</t>
        </is>
      </c>
      <c r="G382" t="n">
        <v>60</v>
      </c>
      <c r="H382" t="n">
        <v>55285.44</v>
      </c>
      <c r="I382" t="n">
        <v>3317126.4</v>
      </c>
      <c r="J382" t="n">
        <v>663.4299999999999</v>
      </c>
      <c r="K382" t="inlineStr">
        <is>
          <t>NSE</t>
        </is>
      </c>
      <c r="L382" t="inlineStr">
        <is>
          <t>QE-CLEARING</t>
        </is>
      </c>
      <c r="M382" t="inlineStr">
        <is>
          <t>T100381</t>
        </is>
      </c>
    </row>
    <row r="383">
      <c r="A383" t="inlineStr">
        <is>
          <t>T100382</t>
        </is>
      </c>
      <c r="B383" t="inlineStr">
        <is>
          <t>2026-06-30</t>
        </is>
      </c>
      <c r="C383" t="inlineStr">
        <is>
          <t>14:02:42</t>
        </is>
      </c>
      <c r="D383" t="inlineStr">
        <is>
          <t>FINNIFTY-FUT</t>
        </is>
      </c>
      <c r="E383" t="inlineStr">
        <is>
          <t>Future</t>
        </is>
      </c>
      <c r="F383" t="inlineStr">
        <is>
          <t>BUY</t>
        </is>
      </c>
      <c r="G383" t="n">
        <v>40</v>
      </c>
      <c r="H383" t="n">
        <v>26083.57</v>
      </c>
      <c r="I383" t="n">
        <v>1043342.8</v>
      </c>
      <c r="J383" t="n">
        <v>208.67</v>
      </c>
      <c r="K383" t="inlineStr">
        <is>
          <t>NSE</t>
        </is>
      </c>
      <c r="L383" t="inlineStr">
        <is>
          <t>QE-CLEARING</t>
        </is>
      </c>
      <c r="M383" t="inlineStr">
        <is>
          <t>T100382</t>
        </is>
      </c>
    </row>
    <row r="384">
      <c r="A384" t="inlineStr">
        <is>
          <t>T100383</t>
        </is>
      </c>
      <c r="B384" t="inlineStr">
        <is>
          <t>2026-06-30</t>
        </is>
      </c>
      <c r="C384" t="inlineStr">
        <is>
          <t>10:29:10</t>
        </is>
      </c>
      <c r="D384" t="inlineStr">
        <is>
          <t>FINNIFTY-FUT</t>
        </is>
      </c>
      <c r="E384" t="inlineStr">
        <is>
          <t>Future</t>
        </is>
      </c>
      <c r="F384" t="inlineStr">
        <is>
          <t>BUY</t>
        </is>
      </c>
      <c r="G384" t="n">
        <v>200</v>
      </c>
      <c r="H384" t="n">
        <v>26069.16</v>
      </c>
      <c r="I384" t="n">
        <v>5213832</v>
      </c>
      <c r="J384" t="n">
        <v>1042.77</v>
      </c>
      <c r="K384" t="inlineStr">
        <is>
          <t>NSE</t>
        </is>
      </c>
      <c r="L384" t="inlineStr">
        <is>
          <t>QE-CLEARING</t>
        </is>
      </c>
      <c r="M384" t="inlineStr">
        <is>
          <t>T100383</t>
        </is>
      </c>
    </row>
    <row r="385">
      <c r="A385" t="inlineStr">
        <is>
          <t>T100384</t>
        </is>
      </c>
      <c r="B385" t="inlineStr">
        <is>
          <t>2026-06-30</t>
        </is>
      </c>
      <c r="C385" t="inlineStr">
        <is>
          <t>10:30:37</t>
        </is>
      </c>
      <c r="D385" t="inlineStr">
        <is>
          <t>FINNIFTY-FUT</t>
        </is>
      </c>
      <c r="E385" t="inlineStr">
        <is>
          <t>Future</t>
        </is>
      </c>
      <c r="F385" t="inlineStr">
        <is>
          <t>BUY</t>
        </is>
      </c>
      <c r="G385" t="n">
        <v>40</v>
      </c>
      <c r="H385" t="n">
        <v>26199.33</v>
      </c>
      <c r="I385" t="n">
        <v>1047973.2</v>
      </c>
      <c r="J385" t="n">
        <v>209.59</v>
      </c>
      <c r="K385" t="inlineStr">
        <is>
          <t>BSE</t>
        </is>
      </c>
      <c r="L385" t="inlineStr">
        <is>
          <t>QE-CLEARING</t>
        </is>
      </c>
      <c r="M385" t="inlineStr">
        <is>
          <t>T100384</t>
        </is>
      </c>
    </row>
    <row r="386">
      <c r="A386" t="inlineStr">
        <is>
          <t>T100385</t>
        </is>
      </c>
      <c r="B386" t="inlineStr">
        <is>
          <t>2026-06-30</t>
        </is>
      </c>
      <c r="C386" t="inlineStr">
        <is>
          <t>11:27:27</t>
        </is>
      </c>
      <c r="D386" t="inlineStr">
        <is>
          <t>NIFTY-FUT</t>
        </is>
      </c>
      <c r="E386" t="inlineStr">
        <is>
          <t>Future</t>
        </is>
      </c>
      <c r="F386" t="inlineStr">
        <is>
          <t>SELL</t>
        </is>
      </c>
      <c r="G386" t="n">
        <v>100</v>
      </c>
      <c r="H386" t="n">
        <v>24889.23</v>
      </c>
      <c r="I386" t="n">
        <v>2488923</v>
      </c>
      <c r="J386" t="n">
        <v>497.78</v>
      </c>
      <c r="K386" t="inlineStr">
        <is>
          <t>BSE</t>
        </is>
      </c>
      <c r="L386" t="inlineStr">
        <is>
          <t>QE-CLEARING</t>
        </is>
      </c>
      <c r="M386" t="inlineStr">
        <is>
          <t>T100385</t>
        </is>
      </c>
    </row>
    <row r="387">
      <c r="A387" t="inlineStr">
        <is>
          <t>T100386</t>
        </is>
      </c>
      <c r="B387" t="inlineStr">
        <is>
          <t>2026-06-30</t>
        </is>
      </c>
      <c r="C387" t="inlineStr">
        <is>
          <t>13:33:39</t>
        </is>
      </c>
      <c r="D387" t="inlineStr">
        <is>
          <t>FINNIFTY-FUT</t>
        </is>
      </c>
      <c r="E387" t="inlineStr">
        <is>
          <t>Future</t>
        </is>
      </c>
      <c r="F387" t="inlineStr">
        <is>
          <t>SELL</t>
        </is>
      </c>
      <c r="G387" t="n">
        <v>400</v>
      </c>
      <c r="H387" t="n">
        <v>26201.05</v>
      </c>
      <c r="I387" t="n">
        <v>10480420</v>
      </c>
      <c r="J387" t="n">
        <v>2096.08</v>
      </c>
      <c r="K387" t="inlineStr">
        <is>
          <t>NSE</t>
        </is>
      </c>
      <c r="L387" t="inlineStr">
        <is>
          <t>QE-CLEARING</t>
        </is>
      </c>
      <c r="M387" t="inlineStr">
        <is>
          <t>T100386</t>
        </is>
      </c>
    </row>
    <row r="388">
      <c r="A388" t="inlineStr">
        <is>
          <t>T100387</t>
        </is>
      </c>
      <c r="B388" t="inlineStr">
        <is>
          <t>2026-06-30</t>
        </is>
      </c>
      <c r="C388" t="inlineStr">
        <is>
          <t>15:55:32</t>
        </is>
      </c>
      <c r="D388" t="inlineStr">
        <is>
          <t>NIFTY-FUT</t>
        </is>
      </c>
      <c r="E388" t="inlineStr">
        <is>
          <t>Future</t>
        </is>
      </c>
      <c r="F388" t="inlineStr">
        <is>
          <t>BUY</t>
        </is>
      </c>
      <c r="G388" t="n">
        <v>200</v>
      </c>
      <c r="H388" t="n">
        <v>24877.03</v>
      </c>
      <c r="I388" t="n">
        <v>4975406</v>
      </c>
      <c r="J388" t="n">
        <v>995.08</v>
      </c>
      <c r="K388" t="inlineStr">
        <is>
          <t>NSE</t>
        </is>
      </c>
      <c r="L388" t="inlineStr">
        <is>
          <t>QE-CLEARING</t>
        </is>
      </c>
      <c r="M388" t="inlineStr">
        <is>
          <t>T100387</t>
        </is>
      </c>
    </row>
    <row r="389">
      <c r="A389" t="inlineStr">
        <is>
          <t>T100388</t>
        </is>
      </c>
      <c r="B389" t="inlineStr">
        <is>
          <t>2026-06-30</t>
        </is>
      </c>
      <c r="C389" t="inlineStr">
        <is>
          <t>11:21:56</t>
        </is>
      </c>
      <c r="D389" t="inlineStr">
        <is>
          <t>BANKNIFTY-FUT</t>
        </is>
      </c>
      <c r="E389" t="inlineStr">
        <is>
          <t>Future</t>
        </is>
      </c>
      <c r="F389" t="inlineStr">
        <is>
          <t>BUY</t>
        </is>
      </c>
      <c r="G389" t="n">
        <v>120</v>
      </c>
      <c r="H389" t="n">
        <v>55387.96</v>
      </c>
      <c r="I389" t="n">
        <v>6646555.2</v>
      </c>
      <c r="J389" t="n">
        <v>1329.31</v>
      </c>
      <c r="K389" t="inlineStr">
        <is>
          <t>BSE</t>
        </is>
      </c>
      <c r="L389" t="inlineStr">
        <is>
          <t>QE-CLEARING</t>
        </is>
      </c>
      <c r="M389" t="inlineStr">
        <is>
          <t>T100388</t>
        </is>
      </c>
    </row>
    <row r="390">
      <c r="A390" t="inlineStr">
        <is>
          <t>T100389</t>
        </is>
      </c>
      <c r="B390" t="inlineStr">
        <is>
          <t>2026-06-30</t>
        </is>
      </c>
      <c r="C390" t="inlineStr">
        <is>
          <t>12:30:49</t>
        </is>
      </c>
      <c r="D390" t="inlineStr">
        <is>
          <t>FINNIFTY-FUT</t>
        </is>
      </c>
      <c r="E390" t="inlineStr">
        <is>
          <t>Future</t>
        </is>
      </c>
      <c r="F390" t="inlineStr">
        <is>
          <t>SELL</t>
        </is>
      </c>
      <c r="G390" t="n">
        <v>400</v>
      </c>
      <c r="H390" t="n">
        <v>26146.99</v>
      </c>
      <c r="I390" t="n">
        <v>10458796</v>
      </c>
      <c r="J390" t="n">
        <v>2091.76</v>
      </c>
      <c r="K390" t="inlineStr">
        <is>
          <t>BSE</t>
        </is>
      </c>
      <c r="L390" t="inlineStr">
        <is>
          <t>QE-CLEARING</t>
        </is>
      </c>
      <c r="M390" t="inlineStr">
        <is>
          <t>T100389</t>
        </is>
      </c>
    </row>
    <row r="391">
      <c r="A391" t="inlineStr">
        <is>
          <t>T100390</t>
        </is>
      </c>
      <c r="B391" t="inlineStr">
        <is>
          <t>2026-06-30</t>
        </is>
      </c>
      <c r="C391" t="inlineStr">
        <is>
          <t>14:03:44</t>
        </is>
      </c>
      <c r="D391" t="inlineStr">
        <is>
          <t>FINNIFTY-FUT</t>
        </is>
      </c>
      <c r="E391" t="inlineStr">
        <is>
          <t>Future</t>
        </is>
      </c>
      <c r="F391" t="inlineStr">
        <is>
          <t>SELL</t>
        </is>
      </c>
      <c r="G391" t="n">
        <v>320</v>
      </c>
      <c r="H391" t="n">
        <v>26105.4</v>
      </c>
      <c r="I391" t="n">
        <v>8353728</v>
      </c>
      <c r="J391" t="n">
        <v>1670.75</v>
      </c>
      <c r="K391" t="inlineStr">
        <is>
          <t>NSE</t>
        </is>
      </c>
      <c r="L391" t="inlineStr">
        <is>
          <t>QE-CLEARING</t>
        </is>
      </c>
      <c r="M391" t="inlineStr">
        <is>
          <t>T100390</t>
        </is>
      </c>
    </row>
    <row r="392">
      <c r="A392" t="inlineStr">
        <is>
          <t>T100391</t>
        </is>
      </c>
      <c r="B392" t="inlineStr">
        <is>
          <t>2026-06-30</t>
        </is>
      </c>
      <c r="C392" t="inlineStr">
        <is>
          <t>15:35:40</t>
        </is>
      </c>
      <c r="D392" t="inlineStr">
        <is>
          <t>BANKNIFTY-55500-PE</t>
        </is>
      </c>
      <c r="E392" t="inlineStr">
        <is>
          <t>Option</t>
        </is>
      </c>
      <c r="F392" t="inlineStr">
        <is>
          <t>SELL</t>
        </is>
      </c>
      <c r="G392" t="n">
        <v>150</v>
      </c>
      <c r="H392" t="n">
        <v>387.63</v>
      </c>
      <c r="I392" t="n">
        <v>58144.5</v>
      </c>
      <c r="J392" t="n">
        <v>29.07</v>
      </c>
      <c r="K392" t="inlineStr">
        <is>
          <t>BSE</t>
        </is>
      </c>
      <c r="L392" t="inlineStr">
        <is>
          <t>QE-CLEARING</t>
        </is>
      </c>
      <c r="M392" t="inlineStr">
        <is>
          <t>T100391</t>
        </is>
      </c>
    </row>
    <row r="393">
      <c r="A393" t="inlineStr">
        <is>
          <t>T100392</t>
        </is>
      </c>
      <c r="B393" t="inlineStr">
        <is>
          <t>2026-06-30</t>
        </is>
      </c>
      <c r="C393" t="inlineStr">
        <is>
          <t>13:44:45</t>
        </is>
      </c>
      <c r="D393" t="inlineStr">
        <is>
          <t>NIFTY-24800-CE</t>
        </is>
      </c>
      <c r="E393" t="inlineStr">
        <is>
          <t>Option</t>
        </is>
      </c>
      <c r="F393" t="inlineStr">
        <is>
          <t>SELL</t>
        </is>
      </c>
      <c r="G393" t="n">
        <v>75</v>
      </c>
      <c r="H393" t="n">
        <v>181.97</v>
      </c>
      <c r="I393" t="n">
        <v>13647.75</v>
      </c>
      <c r="J393" t="n">
        <v>6.82</v>
      </c>
      <c r="K393" t="inlineStr">
        <is>
          <t>BSE</t>
        </is>
      </c>
      <c r="L393" t="inlineStr">
        <is>
          <t>QE-CLEARING</t>
        </is>
      </c>
      <c r="M393" t="inlineStr">
        <is>
          <t>T100392</t>
        </is>
      </c>
    </row>
    <row r="394">
      <c r="A394" t="inlineStr">
        <is>
          <t>T100393</t>
        </is>
      </c>
      <c r="B394" t="inlineStr">
        <is>
          <t>2026-06-30</t>
        </is>
      </c>
      <c r="C394" t="inlineStr">
        <is>
          <t>15:56:40</t>
        </is>
      </c>
      <c r="D394" t="inlineStr">
        <is>
          <t>NIFTY-25000-PE</t>
        </is>
      </c>
      <c r="E394" t="inlineStr">
        <is>
          <t>Option</t>
        </is>
      </c>
      <c r="F394" t="inlineStr">
        <is>
          <t>SELL</t>
        </is>
      </c>
      <c r="G394" t="n">
        <v>100</v>
      </c>
      <c r="H394" t="n">
        <v>145.83</v>
      </c>
      <c r="I394" t="n">
        <v>14583</v>
      </c>
      <c r="J394" t="n">
        <v>7.29</v>
      </c>
      <c r="K394" t="inlineStr">
        <is>
          <t>NSE</t>
        </is>
      </c>
      <c r="L394" t="inlineStr">
        <is>
          <t>QE-CLEARING</t>
        </is>
      </c>
      <c r="M394" t="inlineStr">
        <is>
          <t>T100393</t>
        </is>
      </c>
    </row>
    <row r="395">
      <c r="A395" t="inlineStr">
        <is>
          <t>T100394</t>
        </is>
      </c>
      <c r="B395" t="inlineStr">
        <is>
          <t>2026-06-30</t>
        </is>
      </c>
      <c r="C395" t="inlineStr">
        <is>
          <t>09:03:10</t>
        </is>
      </c>
      <c r="D395" t="inlineStr">
        <is>
          <t>BANKNIFTY-55000-CE</t>
        </is>
      </c>
      <c r="E395" t="inlineStr">
        <is>
          <t>Option</t>
        </is>
      </c>
      <c r="F395" t="inlineStr">
        <is>
          <t>BUY</t>
        </is>
      </c>
      <c r="G395" t="n">
        <v>45</v>
      </c>
      <c r="H395" t="n">
        <v>409.28</v>
      </c>
      <c r="I395" t="n">
        <v>18417.6</v>
      </c>
      <c r="J395" t="n">
        <v>9.210000000000001</v>
      </c>
      <c r="K395" t="inlineStr">
        <is>
          <t>BSE</t>
        </is>
      </c>
      <c r="L395" t="inlineStr">
        <is>
          <t>QE-CLEARING</t>
        </is>
      </c>
      <c r="M395" t="inlineStr">
        <is>
          <t>T100394</t>
        </is>
      </c>
    </row>
    <row r="396">
      <c r="A396" t="inlineStr">
        <is>
          <t>T100395</t>
        </is>
      </c>
      <c r="B396" t="inlineStr">
        <is>
          <t>2026-06-30</t>
        </is>
      </c>
      <c r="C396" t="inlineStr">
        <is>
          <t>12:05:38</t>
        </is>
      </c>
      <c r="D396" t="inlineStr">
        <is>
          <t>NIFTY-25000-PE</t>
        </is>
      </c>
      <c r="E396" t="inlineStr">
        <is>
          <t>Option</t>
        </is>
      </c>
      <c r="F396" t="inlineStr">
        <is>
          <t>BUY</t>
        </is>
      </c>
      <c r="G396" t="n">
        <v>75</v>
      </c>
      <c r="H396" t="n">
        <v>146.16</v>
      </c>
      <c r="I396" t="n">
        <v>10962</v>
      </c>
      <c r="J396" t="n">
        <v>5.48</v>
      </c>
      <c r="K396" t="inlineStr">
        <is>
          <t>BSE</t>
        </is>
      </c>
      <c r="L396" t="inlineStr">
        <is>
          <t>QE-CLEARING</t>
        </is>
      </c>
      <c r="M396" t="inlineStr">
        <is>
          <t>T100395</t>
        </is>
      </c>
    </row>
    <row r="397">
      <c r="A397" t="inlineStr">
        <is>
          <t>T100396</t>
        </is>
      </c>
      <c r="B397" t="inlineStr">
        <is>
          <t>2026-06-30</t>
        </is>
      </c>
      <c r="C397" t="inlineStr">
        <is>
          <t>09:09:12</t>
        </is>
      </c>
      <c r="D397" t="inlineStr">
        <is>
          <t>BANKNIFTY-55500-PE</t>
        </is>
      </c>
      <c r="E397" t="inlineStr">
        <is>
          <t>Option</t>
        </is>
      </c>
      <c r="F397" t="inlineStr">
        <is>
          <t>SELL</t>
        </is>
      </c>
      <c r="G397" t="n">
        <v>120</v>
      </c>
      <c r="H397" t="n">
        <v>387.83</v>
      </c>
      <c r="I397" t="n">
        <v>46539.6</v>
      </c>
      <c r="J397" t="n">
        <v>23.27</v>
      </c>
      <c r="K397" t="inlineStr">
        <is>
          <t>BSE</t>
        </is>
      </c>
      <c r="L397" t="inlineStr">
        <is>
          <t>QE-CLEARING</t>
        </is>
      </c>
      <c r="M397" t="inlineStr">
        <is>
          <t>T100396</t>
        </is>
      </c>
    </row>
    <row r="398">
      <c r="A398" t="inlineStr">
        <is>
          <t>T100397</t>
        </is>
      </c>
      <c r="B398" t="inlineStr">
        <is>
          <t>2026-06-30</t>
        </is>
      </c>
      <c r="C398" t="inlineStr">
        <is>
          <t>13:07:46</t>
        </is>
      </c>
      <c r="D398" t="inlineStr">
        <is>
          <t>NIFTY-24800-CE</t>
        </is>
      </c>
      <c r="E398" t="inlineStr">
        <is>
          <t>Option</t>
        </is>
      </c>
      <c r="F398" t="inlineStr">
        <is>
          <t>SELL</t>
        </is>
      </c>
      <c r="G398" t="n">
        <v>200</v>
      </c>
      <c r="H398" t="n">
        <v>181.37</v>
      </c>
      <c r="I398" t="n">
        <v>36274</v>
      </c>
      <c r="J398" t="n">
        <v>18.14</v>
      </c>
      <c r="K398" t="inlineStr">
        <is>
          <t>BSE</t>
        </is>
      </c>
      <c r="L398" t="inlineStr">
        <is>
          <t>QE-CLEARING</t>
        </is>
      </c>
      <c r="M398" t="inlineStr">
        <is>
          <t>T100397</t>
        </is>
      </c>
    </row>
    <row r="399">
      <c r="A399" t="inlineStr">
        <is>
          <t>T100398</t>
        </is>
      </c>
      <c r="B399" t="inlineStr">
        <is>
          <t>2026-06-30</t>
        </is>
      </c>
      <c r="C399" t="inlineStr">
        <is>
          <t>09:05:01</t>
        </is>
      </c>
      <c r="D399" t="inlineStr">
        <is>
          <t>BANKNIFTY-55500-PE</t>
        </is>
      </c>
      <c r="E399" t="inlineStr">
        <is>
          <t>Option</t>
        </is>
      </c>
      <c r="F399" t="inlineStr">
        <is>
          <t>SELL</t>
        </is>
      </c>
      <c r="G399" t="n">
        <v>75</v>
      </c>
      <c r="H399" t="n">
        <v>387.22</v>
      </c>
      <c r="I399" t="n">
        <v>29041.5</v>
      </c>
      <c r="J399" t="n">
        <v>14.52</v>
      </c>
      <c r="K399" t="inlineStr">
        <is>
          <t>BSE</t>
        </is>
      </c>
      <c r="L399" t="inlineStr">
        <is>
          <t>QE-CLEARING</t>
        </is>
      </c>
      <c r="M399" t="inlineStr">
        <is>
          <t>T100398</t>
        </is>
      </c>
    </row>
    <row r="400">
      <c r="A400" t="inlineStr">
        <is>
          <t>T100399</t>
        </is>
      </c>
      <c r="B400" t="inlineStr">
        <is>
          <t>2026-06-30</t>
        </is>
      </c>
      <c r="C400" t="inlineStr">
        <is>
          <t>09:24:38</t>
        </is>
      </c>
      <c r="D400" t="inlineStr">
        <is>
          <t>NIFTY-25000-PE</t>
        </is>
      </c>
      <c r="E400" t="inlineStr">
        <is>
          <t>Option</t>
        </is>
      </c>
      <c r="F400" t="inlineStr">
        <is>
          <t>SELL</t>
        </is>
      </c>
      <c r="G400" t="n">
        <v>250</v>
      </c>
      <c r="H400" t="n">
        <v>145.68</v>
      </c>
      <c r="I400" t="n">
        <v>36420</v>
      </c>
      <c r="J400" t="n">
        <v>18.21</v>
      </c>
      <c r="K400" t="inlineStr">
        <is>
          <t>NSE</t>
        </is>
      </c>
      <c r="L400" t="inlineStr">
        <is>
          <t>QE-CLEARING</t>
        </is>
      </c>
      <c r="M400" t="inlineStr">
        <is>
          <t>T100399</t>
        </is>
      </c>
    </row>
    <row r="401">
      <c r="A401" t="inlineStr">
        <is>
          <t>T100400</t>
        </is>
      </c>
      <c r="B401" t="inlineStr">
        <is>
          <t>2026-06-30</t>
        </is>
      </c>
      <c r="C401" t="inlineStr">
        <is>
          <t>11:36:25</t>
        </is>
      </c>
      <c r="D401" t="inlineStr">
        <is>
          <t>BANKNIFTY-55000-CE</t>
        </is>
      </c>
      <c r="E401" t="inlineStr">
        <is>
          <t>Option</t>
        </is>
      </c>
      <c r="F401" t="inlineStr">
        <is>
          <t>BUY</t>
        </is>
      </c>
      <c r="G401" t="n">
        <v>60</v>
      </c>
      <c r="H401" t="n">
        <v>409.01</v>
      </c>
      <c r="I401" t="n">
        <v>24540.6</v>
      </c>
      <c r="J401" t="n">
        <v>12.27</v>
      </c>
      <c r="K401" t="inlineStr">
        <is>
          <t>BSE</t>
        </is>
      </c>
      <c r="L401" t="inlineStr">
        <is>
          <t>QE-CLEARING</t>
        </is>
      </c>
      <c r="M401" t="inlineStr">
        <is>
          <t>T100400</t>
        </is>
      </c>
    </row>
    <row r="402">
      <c r="A402" t="inlineStr">
        <is>
          <t>T100401</t>
        </is>
      </c>
      <c r="B402" t="inlineStr">
        <is>
          <t>2026-06-30</t>
        </is>
      </c>
      <c r="C402" t="inlineStr">
        <is>
          <t>11:16:10</t>
        </is>
      </c>
      <c r="D402" t="inlineStr">
        <is>
          <t>NIFTY-25000-PE</t>
        </is>
      </c>
      <c r="E402" t="inlineStr">
        <is>
          <t>Option</t>
        </is>
      </c>
      <c r="F402" t="inlineStr">
        <is>
          <t>BUY</t>
        </is>
      </c>
      <c r="G402" t="n">
        <v>125</v>
      </c>
      <c r="H402" t="n">
        <v>146.18</v>
      </c>
      <c r="I402" t="n">
        <v>18272.5</v>
      </c>
      <c r="J402" t="n">
        <v>9.140000000000001</v>
      </c>
      <c r="K402" t="inlineStr">
        <is>
          <t>BSE</t>
        </is>
      </c>
      <c r="L402" t="inlineStr">
        <is>
          <t>QE-CLEARING</t>
        </is>
      </c>
      <c r="M402" t="inlineStr">
        <is>
          <t>T100401</t>
        </is>
      </c>
    </row>
    <row r="403">
      <c r="A403" t="inlineStr">
        <is>
          <t>T100402</t>
        </is>
      </c>
      <c r="B403" t="inlineStr">
        <is>
          <t>2026-06-30</t>
        </is>
      </c>
      <c r="C403" t="inlineStr">
        <is>
          <t>11:29:58</t>
        </is>
      </c>
      <c r="D403" t="inlineStr">
        <is>
          <t>BANKNIFTY-55000-CE</t>
        </is>
      </c>
      <c r="E403" t="inlineStr">
        <is>
          <t>Option</t>
        </is>
      </c>
      <c r="F403" t="inlineStr">
        <is>
          <t>SELL</t>
        </is>
      </c>
      <c r="G403" t="n">
        <v>30</v>
      </c>
      <c r="H403" t="n">
        <v>409.64</v>
      </c>
      <c r="I403" t="n">
        <v>12289.2</v>
      </c>
      <c r="J403" t="n">
        <v>6.14</v>
      </c>
      <c r="K403" t="inlineStr">
        <is>
          <t>BSE</t>
        </is>
      </c>
      <c r="L403" t="inlineStr">
        <is>
          <t>QE-CLEARING</t>
        </is>
      </c>
      <c r="M403" t="inlineStr">
        <is>
          <t>T100402</t>
        </is>
      </c>
    </row>
    <row r="404">
      <c r="A404" t="inlineStr">
        <is>
          <t>T100403</t>
        </is>
      </c>
      <c r="B404" t="inlineStr">
        <is>
          <t>2026-06-30</t>
        </is>
      </c>
      <c r="C404" t="inlineStr">
        <is>
          <t>10:59:21</t>
        </is>
      </c>
      <c r="D404" t="inlineStr">
        <is>
          <t>NIFTY-25000-PE</t>
        </is>
      </c>
      <c r="E404" t="inlineStr">
        <is>
          <t>Option</t>
        </is>
      </c>
      <c r="F404" t="inlineStr">
        <is>
          <t>SELL</t>
        </is>
      </c>
      <c r="G404" t="n">
        <v>125</v>
      </c>
      <c r="H404" t="n">
        <v>145.75</v>
      </c>
      <c r="I404" t="n">
        <v>18218.75</v>
      </c>
      <c r="J404" t="n">
        <v>9.109999999999999</v>
      </c>
      <c r="K404" t="inlineStr">
        <is>
          <t>NSE</t>
        </is>
      </c>
      <c r="L404" t="inlineStr">
        <is>
          <t>QE-CLEARING</t>
        </is>
      </c>
      <c r="M404" t="inlineStr">
        <is>
          <t>T100403</t>
        </is>
      </c>
    </row>
    <row r="405">
      <c r="A405" t="inlineStr">
        <is>
          <t>T100404</t>
        </is>
      </c>
      <c r="B405" t="inlineStr">
        <is>
          <t>2026-06-30</t>
        </is>
      </c>
      <c r="C405" t="inlineStr">
        <is>
          <t>15:29:15</t>
        </is>
      </c>
      <c r="D405" t="inlineStr">
        <is>
          <t>NIFTY-24800-CE</t>
        </is>
      </c>
      <c r="E405" t="inlineStr">
        <is>
          <t>Option</t>
        </is>
      </c>
      <c r="F405" t="inlineStr">
        <is>
          <t>BUY</t>
        </is>
      </c>
      <c r="G405" t="n">
        <v>100</v>
      </c>
      <c r="H405" t="n">
        <v>181.32</v>
      </c>
      <c r="I405" t="n">
        <v>18132</v>
      </c>
      <c r="J405" t="n">
        <v>9.07</v>
      </c>
      <c r="K405" t="inlineStr">
        <is>
          <t>BSE</t>
        </is>
      </c>
      <c r="L405" t="inlineStr">
        <is>
          <t>QE-CLEARING</t>
        </is>
      </c>
      <c r="M405" t="inlineStr">
        <is>
          <t>T100404</t>
        </is>
      </c>
    </row>
    <row r="406">
      <c r="A406" t="inlineStr">
        <is>
          <t>T100405</t>
        </is>
      </c>
      <c r="B406" t="inlineStr">
        <is>
          <t>2026-06-30</t>
        </is>
      </c>
      <c r="C406" t="inlineStr">
        <is>
          <t>13:56:56</t>
        </is>
      </c>
      <c r="D406" t="inlineStr">
        <is>
          <t>BANKNIFTY-55500-PE</t>
        </is>
      </c>
      <c r="E406" t="inlineStr">
        <is>
          <t>Option</t>
        </is>
      </c>
      <c r="F406" t="inlineStr">
        <is>
          <t>BUY</t>
        </is>
      </c>
      <c r="G406" t="n">
        <v>75</v>
      </c>
      <c r="H406" t="n">
        <v>388.78</v>
      </c>
      <c r="I406" t="n">
        <v>29158.5</v>
      </c>
      <c r="J406" t="n">
        <v>14.58</v>
      </c>
      <c r="K406" t="inlineStr">
        <is>
          <t>BSE</t>
        </is>
      </c>
      <c r="L406" t="inlineStr">
        <is>
          <t>QE-CLEARING</t>
        </is>
      </c>
      <c r="M406" t="inlineStr">
        <is>
          <t>T100405</t>
        </is>
      </c>
    </row>
    <row r="407">
      <c r="A407" t="inlineStr">
        <is>
          <t>T100406</t>
        </is>
      </c>
      <c r="B407" t="inlineStr">
        <is>
          <t>2026-06-30</t>
        </is>
      </c>
      <c r="C407" t="inlineStr">
        <is>
          <t>11:50:34</t>
        </is>
      </c>
      <c r="D407" t="inlineStr">
        <is>
          <t>NIFTY-24800-CE</t>
        </is>
      </c>
      <c r="E407" t="inlineStr">
        <is>
          <t>Option</t>
        </is>
      </c>
      <c r="F407" t="inlineStr">
        <is>
          <t>SELL</t>
        </is>
      </c>
      <c r="G407" t="n">
        <v>50</v>
      </c>
      <c r="H407" t="n">
        <v>181.56</v>
      </c>
      <c r="I407" t="n">
        <v>9078</v>
      </c>
      <c r="J407" t="n">
        <v>4.54</v>
      </c>
      <c r="K407" t="inlineStr">
        <is>
          <t>NSE</t>
        </is>
      </c>
      <c r="L407" t="inlineStr">
        <is>
          <t>QE-CLEARING</t>
        </is>
      </c>
      <c r="M407" t="inlineStr">
        <is>
          <t>T100406</t>
        </is>
      </c>
    </row>
    <row r="408">
      <c r="A408" t="inlineStr">
        <is>
          <t>T100407</t>
        </is>
      </c>
      <c r="B408" t="inlineStr">
        <is>
          <t>2026-06-30</t>
        </is>
      </c>
      <c r="C408" t="inlineStr">
        <is>
          <t>14:02:03</t>
        </is>
      </c>
      <c r="D408" t="inlineStr">
        <is>
          <t>NIFTY-24800-CE</t>
        </is>
      </c>
      <c r="E408" t="inlineStr">
        <is>
          <t>Option</t>
        </is>
      </c>
      <c r="F408" t="inlineStr">
        <is>
          <t>BUY</t>
        </is>
      </c>
      <c r="G408" t="n">
        <v>50</v>
      </c>
      <c r="H408" t="n">
        <v>182.42</v>
      </c>
      <c r="I408" t="n">
        <v>9121</v>
      </c>
      <c r="J408" t="n">
        <v>4.56</v>
      </c>
      <c r="K408" t="inlineStr">
        <is>
          <t>NSE</t>
        </is>
      </c>
      <c r="L408" t="inlineStr">
        <is>
          <t>QE-CLEARING</t>
        </is>
      </c>
      <c r="M408" t="inlineStr">
        <is>
          <t>T100407</t>
        </is>
      </c>
    </row>
    <row r="409">
      <c r="A409" t="inlineStr">
        <is>
          <t>T100408</t>
        </is>
      </c>
      <c r="B409" t="inlineStr">
        <is>
          <t>2026-06-30</t>
        </is>
      </c>
      <c r="C409" t="inlineStr">
        <is>
          <t>15:39:34</t>
        </is>
      </c>
      <c r="D409" t="inlineStr">
        <is>
          <t>BANKNIFTY-55000-CE</t>
        </is>
      </c>
      <c r="E409" t="inlineStr">
        <is>
          <t>Option</t>
        </is>
      </c>
      <c r="F409" t="inlineStr">
        <is>
          <t>BUY</t>
        </is>
      </c>
      <c r="G409" t="n">
        <v>60</v>
      </c>
      <c r="H409" t="n">
        <v>411.07</v>
      </c>
      <c r="I409" t="n">
        <v>24664.2</v>
      </c>
      <c r="J409" t="n">
        <v>12.33</v>
      </c>
      <c r="K409" t="inlineStr">
        <is>
          <t>BSE</t>
        </is>
      </c>
      <c r="L409" t="inlineStr">
        <is>
          <t>QE-CLEARING</t>
        </is>
      </c>
      <c r="M409" t="inlineStr">
        <is>
          <t>T100408</t>
        </is>
      </c>
    </row>
    <row r="410">
      <c r="A410" t="inlineStr">
        <is>
          <t>T100409</t>
        </is>
      </c>
      <c r="B410" t="inlineStr">
        <is>
          <t>2026-06-30</t>
        </is>
      </c>
      <c r="C410" t="inlineStr">
        <is>
          <t>09:35:49</t>
        </is>
      </c>
      <c r="D410" t="inlineStr">
        <is>
          <t>BANKNIFTY-55500-PE</t>
        </is>
      </c>
      <c r="E410" t="inlineStr">
        <is>
          <t>Option</t>
        </is>
      </c>
      <c r="F410" t="inlineStr">
        <is>
          <t>BUY</t>
        </is>
      </c>
      <c r="G410" t="n">
        <v>150</v>
      </c>
      <c r="H410" t="n">
        <v>388.4</v>
      </c>
      <c r="I410" t="n">
        <v>58260</v>
      </c>
      <c r="J410" t="n">
        <v>29.13</v>
      </c>
      <c r="K410" t="inlineStr">
        <is>
          <t>NSE</t>
        </is>
      </c>
      <c r="L410" t="inlineStr">
        <is>
          <t>QE-CLEARING</t>
        </is>
      </c>
      <c r="M410" t="inlineStr">
        <is>
          <t>T100409</t>
        </is>
      </c>
    </row>
    <row r="411">
      <c r="A411" t="inlineStr">
        <is>
          <t>T100410</t>
        </is>
      </c>
      <c r="B411" t="inlineStr">
        <is>
          <t>2026-06-30</t>
        </is>
      </c>
      <c r="C411" t="inlineStr">
        <is>
          <t>10:35:55</t>
        </is>
      </c>
      <c r="D411" t="inlineStr">
        <is>
          <t>BANKNIFTY-55500-PE</t>
        </is>
      </c>
      <c r="E411" t="inlineStr">
        <is>
          <t>Option</t>
        </is>
      </c>
      <c r="F411" t="inlineStr">
        <is>
          <t>BUY</t>
        </is>
      </c>
      <c r="G411" t="n">
        <v>75</v>
      </c>
      <c r="H411" t="n">
        <v>388.4</v>
      </c>
      <c r="I411" t="n">
        <v>29130</v>
      </c>
      <c r="J411" t="n">
        <v>14.56</v>
      </c>
      <c r="K411" t="inlineStr">
        <is>
          <t>BSE</t>
        </is>
      </c>
      <c r="L411" t="inlineStr">
        <is>
          <t>QE-CLEARING</t>
        </is>
      </c>
      <c r="M411" t="inlineStr">
        <is>
          <t>T100410</t>
        </is>
      </c>
    </row>
    <row r="412">
      <c r="A412" t="inlineStr">
        <is>
          <t>T100411</t>
        </is>
      </c>
      <c r="B412" t="inlineStr">
        <is>
          <t>2026-06-30</t>
        </is>
      </c>
      <c r="C412" t="inlineStr">
        <is>
          <t>10:28:23</t>
        </is>
      </c>
      <c r="D412" t="inlineStr">
        <is>
          <t>NIFTY-25000-PE</t>
        </is>
      </c>
      <c r="E412" t="inlineStr">
        <is>
          <t>Option</t>
        </is>
      </c>
      <c r="F412" t="inlineStr">
        <is>
          <t>SELL</t>
        </is>
      </c>
      <c r="G412" t="n">
        <v>100</v>
      </c>
      <c r="H412" t="n">
        <v>145.66</v>
      </c>
      <c r="I412" t="n">
        <v>14566</v>
      </c>
      <c r="J412" t="n">
        <v>7.28</v>
      </c>
      <c r="K412" t="inlineStr">
        <is>
          <t>BSE</t>
        </is>
      </c>
      <c r="L412" t="inlineStr">
        <is>
          <t>QE-CLEARING</t>
        </is>
      </c>
      <c r="M412" t="inlineStr">
        <is>
          <t>T100411</t>
        </is>
      </c>
    </row>
    <row r="413">
      <c r="A413" t="inlineStr">
        <is>
          <t>T100412</t>
        </is>
      </c>
      <c r="B413" t="inlineStr">
        <is>
          <t>2026-06-30</t>
        </is>
      </c>
      <c r="C413" t="inlineStr">
        <is>
          <t>10:49:33</t>
        </is>
      </c>
      <c r="D413" t="inlineStr">
        <is>
          <t>NIFTY-25000-PE</t>
        </is>
      </c>
      <c r="E413" t="inlineStr">
        <is>
          <t>Option</t>
        </is>
      </c>
      <c r="F413" t="inlineStr">
        <is>
          <t>SELL</t>
        </is>
      </c>
      <c r="G413" t="n">
        <v>200</v>
      </c>
      <c r="H413" t="n">
        <v>146.38</v>
      </c>
      <c r="I413" t="n">
        <v>29276</v>
      </c>
      <c r="J413" t="n">
        <v>14.64</v>
      </c>
      <c r="K413" t="inlineStr">
        <is>
          <t>NSE</t>
        </is>
      </c>
      <c r="L413" t="inlineStr">
        <is>
          <t>QE-CLEARING</t>
        </is>
      </c>
      <c r="M413" t="inlineStr">
        <is>
          <t>T100412</t>
        </is>
      </c>
    </row>
    <row r="414">
      <c r="A414" t="inlineStr">
        <is>
          <t>T100413</t>
        </is>
      </c>
      <c r="B414" t="inlineStr">
        <is>
          <t>2026-06-30</t>
        </is>
      </c>
      <c r="C414" t="inlineStr">
        <is>
          <t>09:30:56</t>
        </is>
      </c>
      <c r="D414" t="inlineStr">
        <is>
          <t>BANKNIFTY-55500-PE</t>
        </is>
      </c>
      <c r="E414" t="inlineStr">
        <is>
          <t>Option</t>
        </is>
      </c>
      <c r="F414" t="inlineStr">
        <is>
          <t>BUY</t>
        </is>
      </c>
      <c r="G414" t="n">
        <v>45</v>
      </c>
      <c r="H414" t="n">
        <v>388.35</v>
      </c>
      <c r="I414" t="n">
        <v>17475.75</v>
      </c>
      <c r="J414" t="n">
        <v>8.74</v>
      </c>
      <c r="K414" t="inlineStr">
        <is>
          <t>BSE</t>
        </is>
      </c>
      <c r="L414" t="inlineStr">
        <is>
          <t>QE-CLEARING</t>
        </is>
      </c>
      <c r="M414" t="inlineStr">
        <is>
          <t>T100413</t>
        </is>
      </c>
    </row>
    <row r="415">
      <c r="A415" t="inlineStr">
        <is>
          <t>T100414</t>
        </is>
      </c>
      <c r="B415" t="inlineStr">
        <is>
          <t>2026-06-30</t>
        </is>
      </c>
      <c r="C415" t="inlineStr">
        <is>
          <t>11:49:50</t>
        </is>
      </c>
      <c r="D415" t="inlineStr">
        <is>
          <t>BANKNIFTY-55500-PE</t>
        </is>
      </c>
      <c r="E415" t="inlineStr">
        <is>
          <t>Option</t>
        </is>
      </c>
      <c r="F415" t="inlineStr">
        <is>
          <t>SELL</t>
        </is>
      </c>
      <c r="G415" t="n">
        <v>120</v>
      </c>
      <c r="H415" t="n">
        <v>387.49</v>
      </c>
      <c r="I415" t="n">
        <v>46498.8</v>
      </c>
      <c r="J415" t="n">
        <v>23.25</v>
      </c>
      <c r="K415" t="inlineStr">
        <is>
          <t>BSE</t>
        </is>
      </c>
      <c r="L415" t="inlineStr">
        <is>
          <t>QE-CLEARING</t>
        </is>
      </c>
      <c r="M415" t="inlineStr">
        <is>
          <t>T100414</t>
        </is>
      </c>
    </row>
    <row r="416">
      <c r="A416" t="inlineStr">
        <is>
          <t>T100415</t>
        </is>
      </c>
      <c r="B416" t="inlineStr">
        <is>
          <t>2026-06-30</t>
        </is>
      </c>
      <c r="C416" t="inlineStr">
        <is>
          <t>13:19:35</t>
        </is>
      </c>
      <c r="D416" t="inlineStr">
        <is>
          <t>NIFTY-25000-PE</t>
        </is>
      </c>
      <c r="E416" t="inlineStr">
        <is>
          <t>Option</t>
        </is>
      </c>
      <c r="F416" t="inlineStr">
        <is>
          <t>BUY</t>
        </is>
      </c>
      <c r="G416" t="n">
        <v>25</v>
      </c>
      <c r="H416" t="n">
        <v>145.92</v>
      </c>
      <c r="I416" t="n">
        <v>3648</v>
      </c>
      <c r="J416" t="n">
        <v>1.82</v>
      </c>
      <c r="K416" t="inlineStr">
        <is>
          <t>BSE</t>
        </is>
      </c>
      <c r="L416" t="inlineStr">
        <is>
          <t>QE-CLEARING</t>
        </is>
      </c>
      <c r="M416" t="inlineStr">
        <is>
          <t>T100415</t>
        </is>
      </c>
    </row>
    <row r="417">
      <c r="A417" t="inlineStr">
        <is>
          <t>T100416</t>
        </is>
      </c>
      <c r="B417" t="inlineStr">
        <is>
          <t>2026-06-30</t>
        </is>
      </c>
      <c r="C417" t="inlineStr">
        <is>
          <t>15:55:07</t>
        </is>
      </c>
      <c r="D417" t="inlineStr">
        <is>
          <t>NIFTY-24800-CE</t>
        </is>
      </c>
      <c r="E417" t="inlineStr">
        <is>
          <t>Option</t>
        </is>
      </c>
      <c r="F417" t="inlineStr">
        <is>
          <t>BUY</t>
        </is>
      </c>
      <c r="G417" t="n">
        <v>100</v>
      </c>
      <c r="H417" t="n">
        <v>181.69</v>
      </c>
      <c r="I417" t="n">
        <v>18169</v>
      </c>
      <c r="J417" t="n">
        <v>9.08</v>
      </c>
      <c r="K417" t="inlineStr">
        <is>
          <t>NSE</t>
        </is>
      </c>
      <c r="L417" t="inlineStr">
        <is>
          <t>QE-CLEARING</t>
        </is>
      </c>
      <c r="M417" t="inlineStr">
        <is>
          <t>T100416</t>
        </is>
      </c>
    </row>
    <row r="418">
      <c r="A418" t="inlineStr">
        <is>
          <t>T100417</t>
        </is>
      </c>
      <c r="B418" t="inlineStr">
        <is>
          <t>2026-06-30</t>
        </is>
      </c>
      <c r="C418" t="inlineStr">
        <is>
          <t>15:56:07</t>
        </is>
      </c>
      <c r="D418" t="inlineStr">
        <is>
          <t>NIFTY-25000-PE</t>
        </is>
      </c>
      <c r="E418" t="inlineStr">
        <is>
          <t>Option</t>
        </is>
      </c>
      <c r="F418" t="inlineStr">
        <is>
          <t>SELL</t>
        </is>
      </c>
      <c r="G418" t="n">
        <v>250</v>
      </c>
      <c r="H418" t="n">
        <v>146.03</v>
      </c>
      <c r="I418" t="n">
        <v>36507.5</v>
      </c>
      <c r="J418" t="n">
        <v>18.25</v>
      </c>
      <c r="K418" t="inlineStr">
        <is>
          <t>NSE</t>
        </is>
      </c>
      <c r="L418" t="inlineStr">
        <is>
          <t>QE-CLEARING</t>
        </is>
      </c>
      <c r="M418" t="inlineStr">
        <is>
          <t>T100417</t>
        </is>
      </c>
    </row>
    <row r="419">
      <c r="A419" t="inlineStr">
        <is>
          <t>T100418</t>
        </is>
      </c>
      <c r="B419" t="inlineStr">
        <is>
          <t>2026-06-30</t>
        </is>
      </c>
      <c r="C419" t="inlineStr">
        <is>
          <t>15:33:35</t>
        </is>
      </c>
      <c r="D419" t="inlineStr">
        <is>
          <t>BANKNIFTY-55000-CE</t>
        </is>
      </c>
      <c r="E419" t="inlineStr">
        <is>
          <t>Option</t>
        </is>
      </c>
      <c r="F419" t="inlineStr">
        <is>
          <t>BUY</t>
        </is>
      </c>
      <c r="G419" t="n">
        <v>60</v>
      </c>
      <c r="H419" t="n">
        <v>410.41</v>
      </c>
      <c r="I419" t="n">
        <v>24624.6</v>
      </c>
      <c r="J419" t="n">
        <v>12.31</v>
      </c>
      <c r="K419" t="inlineStr">
        <is>
          <t>BSE</t>
        </is>
      </c>
      <c r="L419" t="inlineStr">
        <is>
          <t>QE-CLEARING</t>
        </is>
      </c>
      <c r="M419" t="inlineStr">
        <is>
          <t>T100418</t>
        </is>
      </c>
    </row>
    <row r="420">
      <c r="A420" t="inlineStr">
        <is>
          <t>T100419</t>
        </is>
      </c>
      <c r="B420" t="inlineStr">
        <is>
          <t>2026-06-30</t>
        </is>
      </c>
      <c r="C420" t="inlineStr">
        <is>
          <t>13:34:30</t>
        </is>
      </c>
      <c r="D420" t="inlineStr">
        <is>
          <t>NIFTY-25000-PE</t>
        </is>
      </c>
      <c r="E420" t="inlineStr">
        <is>
          <t>Option</t>
        </is>
      </c>
      <c r="F420" t="inlineStr">
        <is>
          <t>SELL</t>
        </is>
      </c>
      <c r="G420" t="n">
        <v>100</v>
      </c>
      <c r="H420" t="n">
        <v>145.77</v>
      </c>
      <c r="I420" t="n">
        <v>14577</v>
      </c>
      <c r="J420" t="n">
        <v>7.29</v>
      </c>
      <c r="K420" t="inlineStr">
        <is>
          <t>BSE</t>
        </is>
      </c>
      <c r="L420" t="inlineStr">
        <is>
          <t>QE-CLEARING</t>
        </is>
      </c>
      <c r="M420" t="inlineStr">
        <is>
          <t>T100419</t>
        </is>
      </c>
    </row>
    <row r="421">
      <c r="A421" t="inlineStr">
        <is>
          <t>T100420</t>
        </is>
      </c>
      <c r="B421" t="inlineStr">
        <is>
          <t>2026-06-30</t>
        </is>
      </c>
      <c r="C421" t="inlineStr">
        <is>
          <t>14:23:15</t>
        </is>
      </c>
      <c r="D421" t="inlineStr">
        <is>
          <t>NIFTY-25000-PE</t>
        </is>
      </c>
      <c r="E421" t="inlineStr">
        <is>
          <t>Option</t>
        </is>
      </c>
      <c r="F421" t="inlineStr">
        <is>
          <t>BUY</t>
        </is>
      </c>
      <c r="G421" t="n">
        <v>25</v>
      </c>
      <c r="H421" t="n">
        <v>146.27</v>
      </c>
      <c r="I421" t="n">
        <v>3656.75</v>
      </c>
      <c r="J421" t="n">
        <v>1.83</v>
      </c>
      <c r="K421" t="inlineStr">
        <is>
          <t>BSE</t>
        </is>
      </c>
      <c r="L421" t="inlineStr">
        <is>
          <t>QE-CLEARING</t>
        </is>
      </c>
      <c r="M421" t="inlineStr">
        <is>
          <t>T100420</t>
        </is>
      </c>
    </row>
    <row r="422">
      <c r="A422" t="inlineStr">
        <is>
          <t>T100421</t>
        </is>
      </c>
      <c r="B422" t="inlineStr">
        <is>
          <t>2026-06-30</t>
        </is>
      </c>
      <c r="C422" t="inlineStr">
        <is>
          <t>15:41:00</t>
        </is>
      </c>
      <c r="D422" t="inlineStr">
        <is>
          <t>NIFTY-25000-PE</t>
        </is>
      </c>
      <c r="E422" t="inlineStr">
        <is>
          <t>Option</t>
        </is>
      </c>
      <c r="F422" t="inlineStr">
        <is>
          <t>SELL</t>
        </is>
      </c>
      <c r="G422" t="n">
        <v>75</v>
      </c>
      <c r="H422" t="n">
        <v>145.82</v>
      </c>
      <c r="I422" t="n">
        <v>10936.5</v>
      </c>
      <c r="J422" t="n">
        <v>5.47</v>
      </c>
      <c r="K422" t="inlineStr">
        <is>
          <t>BSE</t>
        </is>
      </c>
      <c r="L422" t="inlineStr">
        <is>
          <t>QE-CLEARING</t>
        </is>
      </c>
      <c r="M422" t="inlineStr">
        <is>
          <t>T100421</t>
        </is>
      </c>
    </row>
    <row r="423">
      <c r="A423" t="inlineStr">
        <is>
          <t>T100422</t>
        </is>
      </c>
      <c r="B423" t="inlineStr">
        <is>
          <t>2026-06-30</t>
        </is>
      </c>
      <c r="C423" t="inlineStr">
        <is>
          <t>12:32:17</t>
        </is>
      </c>
      <c r="D423" t="inlineStr">
        <is>
          <t>NIFTY-24800-CE</t>
        </is>
      </c>
      <c r="E423" t="inlineStr">
        <is>
          <t>Option</t>
        </is>
      </c>
      <c r="F423" t="inlineStr">
        <is>
          <t>SELL</t>
        </is>
      </c>
      <c r="G423" t="n">
        <v>25</v>
      </c>
      <c r="H423" t="n">
        <v>181.65</v>
      </c>
      <c r="I423" t="n">
        <v>4541.25</v>
      </c>
      <c r="J423" t="n">
        <v>2.27</v>
      </c>
      <c r="K423" t="inlineStr">
        <is>
          <t>NSE</t>
        </is>
      </c>
      <c r="L423" t="inlineStr">
        <is>
          <t>QE-CLEARING</t>
        </is>
      </c>
      <c r="M423" t="inlineStr">
        <is>
          <t>T100422</t>
        </is>
      </c>
    </row>
    <row r="424">
      <c r="A424" t="inlineStr">
        <is>
          <t>T100423</t>
        </is>
      </c>
      <c r="B424" t="inlineStr">
        <is>
          <t>2026-06-30</t>
        </is>
      </c>
      <c r="C424" t="inlineStr">
        <is>
          <t>09:55:37</t>
        </is>
      </c>
      <c r="D424" t="inlineStr">
        <is>
          <t>NIFTY-24800-CE</t>
        </is>
      </c>
      <c r="E424" t="inlineStr">
        <is>
          <t>Option</t>
        </is>
      </c>
      <c r="F424" t="inlineStr">
        <is>
          <t>SELL</t>
        </is>
      </c>
      <c r="G424" t="n">
        <v>125</v>
      </c>
      <c r="H424" t="n">
        <v>182.22</v>
      </c>
      <c r="I424" t="n">
        <v>22777.5</v>
      </c>
      <c r="J424" t="n">
        <v>11.39</v>
      </c>
      <c r="K424" t="inlineStr">
        <is>
          <t>NSE</t>
        </is>
      </c>
      <c r="L424" t="inlineStr">
        <is>
          <t>QE-CLEARING</t>
        </is>
      </c>
      <c r="M424" t="inlineStr">
        <is>
          <t>T100423</t>
        </is>
      </c>
    </row>
    <row r="425">
      <c r="A425" t="inlineStr">
        <is>
          <t>T100424</t>
        </is>
      </c>
      <c r="B425" t="inlineStr">
        <is>
          <t>2026-06-30</t>
        </is>
      </c>
      <c r="C425" t="inlineStr">
        <is>
          <t>09:17:27</t>
        </is>
      </c>
      <c r="D425" t="inlineStr">
        <is>
          <t>NIFTY-25000-PE</t>
        </is>
      </c>
      <c r="E425" t="inlineStr">
        <is>
          <t>Option</t>
        </is>
      </c>
      <c r="F425" t="inlineStr">
        <is>
          <t>BUY</t>
        </is>
      </c>
      <c r="G425" t="n">
        <v>75</v>
      </c>
      <c r="H425" t="n">
        <v>146.36</v>
      </c>
      <c r="I425" t="n">
        <v>10977</v>
      </c>
      <c r="J425" t="n">
        <v>5.49</v>
      </c>
      <c r="K425" t="inlineStr">
        <is>
          <t>NSE</t>
        </is>
      </c>
      <c r="L425" t="inlineStr">
        <is>
          <t>QE-CLEARING</t>
        </is>
      </c>
      <c r="M425" t="inlineStr">
        <is>
          <t>T100424</t>
        </is>
      </c>
    </row>
    <row r="426">
      <c r="A426" t="inlineStr">
        <is>
          <t>T100425</t>
        </is>
      </c>
      <c r="B426" t="inlineStr">
        <is>
          <t>2026-06-30</t>
        </is>
      </c>
      <c r="C426" t="inlineStr">
        <is>
          <t>15:55:16</t>
        </is>
      </c>
      <c r="D426" t="inlineStr">
        <is>
          <t>BANKNIFTY-55500-PE</t>
        </is>
      </c>
      <c r="E426" t="inlineStr">
        <is>
          <t>Option</t>
        </is>
      </c>
      <c r="F426" t="inlineStr">
        <is>
          <t>SELL</t>
        </is>
      </c>
      <c r="G426" t="n">
        <v>120</v>
      </c>
      <c r="H426" t="n">
        <v>389.22</v>
      </c>
      <c r="I426" t="n">
        <v>46706.4</v>
      </c>
      <c r="J426" t="n">
        <v>23.35</v>
      </c>
      <c r="K426" t="inlineStr">
        <is>
          <t>BSE</t>
        </is>
      </c>
      <c r="L426" t="inlineStr">
        <is>
          <t>QE-CLEARING</t>
        </is>
      </c>
      <c r="M426" t="inlineStr">
        <is>
          <t>T100425</t>
        </is>
      </c>
    </row>
    <row r="427">
      <c r="A427" t="inlineStr">
        <is>
          <t>T100426</t>
        </is>
      </c>
      <c r="B427" t="inlineStr">
        <is>
          <t>2026-06-30</t>
        </is>
      </c>
      <c r="C427" t="inlineStr">
        <is>
          <t>13:12:33</t>
        </is>
      </c>
      <c r="D427" t="inlineStr">
        <is>
          <t>NIFTY-24800-CE</t>
        </is>
      </c>
      <c r="E427" t="inlineStr">
        <is>
          <t>Option</t>
        </is>
      </c>
      <c r="F427" t="inlineStr">
        <is>
          <t>SELL</t>
        </is>
      </c>
      <c r="G427" t="n">
        <v>75</v>
      </c>
      <c r="H427" t="n">
        <v>182.27</v>
      </c>
      <c r="I427" t="n">
        <v>13670.25</v>
      </c>
      <c r="J427" t="n">
        <v>6.84</v>
      </c>
      <c r="K427" t="inlineStr">
        <is>
          <t>NSE</t>
        </is>
      </c>
      <c r="L427" t="inlineStr">
        <is>
          <t>QE-CLEARING</t>
        </is>
      </c>
      <c r="M427" t="inlineStr">
        <is>
          <t>T100426</t>
        </is>
      </c>
    </row>
    <row r="428">
      <c r="A428" t="inlineStr">
        <is>
          <t>T100427</t>
        </is>
      </c>
      <c r="B428" t="inlineStr">
        <is>
          <t>2026-06-30</t>
        </is>
      </c>
      <c r="C428" t="inlineStr">
        <is>
          <t>12:03:07</t>
        </is>
      </c>
      <c r="D428" t="inlineStr">
        <is>
          <t>NIFTY-24800-CE</t>
        </is>
      </c>
      <c r="E428" t="inlineStr">
        <is>
          <t>Option</t>
        </is>
      </c>
      <c r="F428" t="inlineStr">
        <is>
          <t>SELL</t>
        </is>
      </c>
      <c r="G428" t="n">
        <v>25</v>
      </c>
      <c r="H428" t="n">
        <v>182.54</v>
      </c>
      <c r="I428" t="n">
        <v>4563.5</v>
      </c>
      <c r="J428" t="n">
        <v>2.28</v>
      </c>
      <c r="K428" t="inlineStr">
        <is>
          <t>NSE</t>
        </is>
      </c>
      <c r="L428" t="inlineStr">
        <is>
          <t>QE-CLEARING</t>
        </is>
      </c>
      <c r="M428" t="inlineStr">
        <is>
          <t>T100427</t>
        </is>
      </c>
    </row>
    <row r="429">
      <c r="A429" t="inlineStr">
        <is>
          <t>T100428</t>
        </is>
      </c>
      <c r="B429" t="inlineStr">
        <is>
          <t>2026-06-30</t>
        </is>
      </c>
      <c r="C429" t="inlineStr">
        <is>
          <t>14:31:32</t>
        </is>
      </c>
      <c r="D429" t="inlineStr">
        <is>
          <t>NIFTY-24800-CE</t>
        </is>
      </c>
      <c r="E429" t="inlineStr">
        <is>
          <t>Option</t>
        </is>
      </c>
      <c r="F429" t="inlineStr">
        <is>
          <t>SELL</t>
        </is>
      </c>
      <c r="G429" t="n">
        <v>200</v>
      </c>
      <c r="H429" t="n">
        <v>181.78</v>
      </c>
      <c r="I429" t="n">
        <v>36356</v>
      </c>
      <c r="J429" t="n">
        <v>18.18</v>
      </c>
      <c r="K429" t="inlineStr">
        <is>
          <t>NSE</t>
        </is>
      </c>
      <c r="L429" t="inlineStr">
        <is>
          <t>QE-CLEARING</t>
        </is>
      </c>
      <c r="M429" t="inlineStr">
        <is>
          <t>T100428</t>
        </is>
      </c>
    </row>
    <row r="430">
      <c r="A430" t="inlineStr">
        <is>
          <t>T100429</t>
        </is>
      </c>
      <c r="B430" t="inlineStr">
        <is>
          <t>2026-06-30</t>
        </is>
      </c>
      <c r="C430" t="inlineStr">
        <is>
          <t>14:28:11</t>
        </is>
      </c>
      <c r="D430" t="inlineStr">
        <is>
          <t>BANKNIFTY-55500-PE</t>
        </is>
      </c>
      <c r="E430" t="inlineStr">
        <is>
          <t>Option</t>
        </is>
      </c>
      <c r="F430" t="inlineStr">
        <is>
          <t>BUY</t>
        </is>
      </c>
      <c r="G430" t="n">
        <v>45</v>
      </c>
      <c r="H430" t="n">
        <v>389.22</v>
      </c>
      <c r="I430" t="n">
        <v>17514.9</v>
      </c>
      <c r="J430" t="n">
        <v>8.76</v>
      </c>
      <c r="K430" t="inlineStr">
        <is>
          <t>BSE</t>
        </is>
      </c>
      <c r="L430" t="inlineStr">
        <is>
          <t>QE-CLEARING</t>
        </is>
      </c>
      <c r="M430" t="inlineStr">
        <is>
          <t>T100429</t>
        </is>
      </c>
    </row>
    <row r="431">
      <c r="A431" t="inlineStr">
        <is>
          <t>T100430</t>
        </is>
      </c>
      <c r="B431" t="inlineStr">
        <is>
          <t>2026-06-30</t>
        </is>
      </c>
      <c r="C431" t="inlineStr">
        <is>
          <t>14:09:17</t>
        </is>
      </c>
      <c r="D431" t="inlineStr">
        <is>
          <t>BANKNIFTY-55500-PE</t>
        </is>
      </c>
      <c r="E431" t="inlineStr">
        <is>
          <t>Option</t>
        </is>
      </c>
      <c r="F431" t="inlineStr">
        <is>
          <t>SELL</t>
        </is>
      </c>
      <c r="G431" t="n">
        <v>15</v>
      </c>
      <c r="H431" t="n">
        <v>388.92</v>
      </c>
      <c r="I431" t="n">
        <v>5833.8</v>
      </c>
      <c r="J431" t="n">
        <v>2.92</v>
      </c>
      <c r="K431" t="inlineStr">
        <is>
          <t>NSE</t>
        </is>
      </c>
      <c r="L431" t="inlineStr">
        <is>
          <t>QE-CLEARING</t>
        </is>
      </c>
      <c r="M431" t="inlineStr">
        <is>
          <t>T100430</t>
        </is>
      </c>
    </row>
    <row r="432">
      <c r="A432" t="inlineStr">
        <is>
          <t>T100431</t>
        </is>
      </c>
      <c r="B432" t="inlineStr">
        <is>
          <t>2026-06-30</t>
        </is>
      </c>
      <c r="C432" t="inlineStr">
        <is>
          <t>10:14:02</t>
        </is>
      </c>
      <c r="D432" t="inlineStr">
        <is>
          <t>NIFTY-24800-CE</t>
        </is>
      </c>
      <c r="E432" t="inlineStr">
        <is>
          <t>Option</t>
        </is>
      </c>
      <c r="F432" t="inlineStr">
        <is>
          <t>BUY</t>
        </is>
      </c>
      <c r="G432" t="n">
        <v>125</v>
      </c>
      <c r="H432" t="n">
        <v>182.59</v>
      </c>
      <c r="I432" t="n">
        <v>22823.75</v>
      </c>
      <c r="J432" t="n">
        <v>11.41</v>
      </c>
      <c r="K432" t="inlineStr">
        <is>
          <t>NSE</t>
        </is>
      </c>
      <c r="L432" t="inlineStr">
        <is>
          <t>QE-CLEARING</t>
        </is>
      </c>
      <c r="M432" t="inlineStr">
        <is>
          <t>T100431</t>
        </is>
      </c>
    </row>
    <row r="433">
      <c r="A433" t="inlineStr">
        <is>
          <t>T100432</t>
        </is>
      </c>
      <c r="B433" t="inlineStr">
        <is>
          <t>2026-06-30</t>
        </is>
      </c>
      <c r="C433" t="inlineStr">
        <is>
          <t>11:00:46</t>
        </is>
      </c>
      <c r="D433" t="inlineStr">
        <is>
          <t>NIFTY-25000-PE</t>
        </is>
      </c>
      <c r="E433" t="inlineStr">
        <is>
          <t>Option</t>
        </is>
      </c>
      <c r="F433" t="inlineStr">
        <is>
          <t>BUY</t>
        </is>
      </c>
      <c r="G433" t="n">
        <v>100</v>
      </c>
      <c r="H433" t="n">
        <v>145.7</v>
      </c>
      <c r="I433" t="n">
        <v>14570</v>
      </c>
      <c r="J433" t="n">
        <v>7.29</v>
      </c>
      <c r="K433" t="inlineStr">
        <is>
          <t>NSE</t>
        </is>
      </c>
      <c r="L433" t="inlineStr">
        <is>
          <t>QE-CLEARING</t>
        </is>
      </c>
      <c r="M433" t="inlineStr">
        <is>
          <t>T100432</t>
        </is>
      </c>
    </row>
    <row r="434">
      <c r="A434" t="inlineStr">
        <is>
          <t>T100433</t>
        </is>
      </c>
      <c r="B434" t="inlineStr">
        <is>
          <t>2026-06-30</t>
        </is>
      </c>
      <c r="C434" t="inlineStr">
        <is>
          <t>15:05:25</t>
        </is>
      </c>
      <c r="D434" t="inlineStr">
        <is>
          <t>BANKNIFTY-55500-PE</t>
        </is>
      </c>
      <c r="E434" t="inlineStr">
        <is>
          <t>Option</t>
        </is>
      </c>
      <c r="F434" t="inlineStr">
        <is>
          <t>SELL</t>
        </is>
      </c>
      <c r="G434" t="n">
        <v>75</v>
      </c>
      <c r="H434" t="n">
        <v>386.52</v>
      </c>
      <c r="I434" t="n">
        <v>28989</v>
      </c>
      <c r="J434" t="n">
        <v>14.49</v>
      </c>
      <c r="K434" t="inlineStr">
        <is>
          <t>BSE</t>
        </is>
      </c>
      <c r="L434" t="inlineStr">
        <is>
          <t>QE-CLEARING</t>
        </is>
      </c>
      <c r="M434" t="inlineStr">
        <is>
          <t>T100433</t>
        </is>
      </c>
    </row>
    <row r="435">
      <c r="A435" t="inlineStr">
        <is>
          <t>T100434</t>
        </is>
      </c>
      <c r="B435" t="inlineStr">
        <is>
          <t>2026-06-30</t>
        </is>
      </c>
      <c r="C435" t="inlineStr">
        <is>
          <t>12:59:49</t>
        </is>
      </c>
      <c r="D435" t="inlineStr">
        <is>
          <t>BANKNIFTY-55500-PE</t>
        </is>
      </c>
      <c r="E435" t="inlineStr">
        <is>
          <t>Option</t>
        </is>
      </c>
      <c r="F435" t="inlineStr">
        <is>
          <t>BUY</t>
        </is>
      </c>
      <c r="G435" t="n">
        <v>60</v>
      </c>
      <c r="H435" t="n">
        <v>389.26</v>
      </c>
      <c r="I435" t="n">
        <v>23355.6</v>
      </c>
      <c r="J435" t="n">
        <v>11.68</v>
      </c>
      <c r="K435" t="inlineStr">
        <is>
          <t>BSE</t>
        </is>
      </c>
      <c r="L435" t="inlineStr">
        <is>
          <t>QE-CLEARING</t>
        </is>
      </c>
      <c r="M435" t="inlineStr">
        <is>
          <t>T100434</t>
        </is>
      </c>
    </row>
    <row r="436">
      <c r="A436" t="inlineStr">
        <is>
          <t>T100435</t>
        </is>
      </c>
      <c r="B436" t="inlineStr">
        <is>
          <t>2026-06-30</t>
        </is>
      </c>
      <c r="C436" t="inlineStr">
        <is>
          <t>12:33:27</t>
        </is>
      </c>
      <c r="D436" t="inlineStr">
        <is>
          <t>NIFTY-24800-CE</t>
        </is>
      </c>
      <c r="E436" t="inlineStr">
        <is>
          <t>Option</t>
        </is>
      </c>
      <c r="F436" t="inlineStr">
        <is>
          <t>BUY</t>
        </is>
      </c>
      <c r="G436" t="n">
        <v>75</v>
      </c>
      <c r="H436" t="n">
        <v>181.79</v>
      </c>
      <c r="I436" t="n">
        <v>13634.25</v>
      </c>
      <c r="J436" t="n">
        <v>6.82</v>
      </c>
      <c r="K436" t="inlineStr">
        <is>
          <t>NSE</t>
        </is>
      </c>
      <c r="L436" t="inlineStr">
        <is>
          <t>QE-CLEARING</t>
        </is>
      </c>
      <c r="M436" t="inlineStr">
        <is>
          <t>T100435</t>
        </is>
      </c>
    </row>
    <row r="437">
      <c r="A437" t="inlineStr">
        <is>
          <t>T100436</t>
        </is>
      </c>
      <c r="B437" t="inlineStr">
        <is>
          <t>2026-06-30</t>
        </is>
      </c>
      <c r="C437" t="inlineStr">
        <is>
          <t>12:34:27</t>
        </is>
      </c>
      <c r="D437" t="inlineStr">
        <is>
          <t>NIFTY-24800-CE</t>
        </is>
      </c>
      <c r="E437" t="inlineStr">
        <is>
          <t>Option</t>
        </is>
      </c>
      <c r="F437" t="inlineStr">
        <is>
          <t>SELL</t>
        </is>
      </c>
      <c r="G437" t="n">
        <v>25</v>
      </c>
      <c r="H437" t="n">
        <v>181.88</v>
      </c>
      <c r="I437" t="n">
        <v>4547</v>
      </c>
      <c r="J437" t="n">
        <v>2.27</v>
      </c>
      <c r="K437" t="inlineStr">
        <is>
          <t>BSE</t>
        </is>
      </c>
      <c r="L437" t="inlineStr">
        <is>
          <t>QE-CLEARING</t>
        </is>
      </c>
      <c r="M437" t="inlineStr">
        <is>
          <t>T100436</t>
        </is>
      </c>
    </row>
    <row r="438">
      <c r="A438" t="inlineStr">
        <is>
          <t>T100437</t>
        </is>
      </c>
      <c r="B438" t="inlineStr">
        <is>
          <t>2026-06-30</t>
        </is>
      </c>
      <c r="C438" t="inlineStr">
        <is>
          <t>11:27:24</t>
        </is>
      </c>
      <c r="D438" t="inlineStr">
        <is>
          <t>BANKNIFTY-55000-CE</t>
        </is>
      </c>
      <c r="E438" t="inlineStr">
        <is>
          <t>Option</t>
        </is>
      </c>
      <c r="F438" t="inlineStr">
        <is>
          <t>BUY</t>
        </is>
      </c>
      <c r="G438" t="n">
        <v>120</v>
      </c>
      <c r="H438" t="n">
        <v>410.74</v>
      </c>
      <c r="I438" t="n">
        <v>49288.8</v>
      </c>
      <c r="J438" t="n">
        <v>24.64</v>
      </c>
      <c r="K438" t="inlineStr">
        <is>
          <t>BSE</t>
        </is>
      </c>
      <c r="L438" t="inlineStr">
        <is>
          <t>QE-CLEARING</t>
        </is>
      </c>
      <c r="M438" t="inlineStr">
        <is>
          <t>T100437</t>
        </is>
      </c>
    </row>
    <row r="439">
      <c r="A439" t="inlineStr">
        <is>
          <t>T100438</t>
        </is>
      </c>
      <c r="B439" t="inlineStr">
        <is>
          <t>2026-06-30</t>
        </is>
      </c>
      <c r="C439" t="inlineStr">
        <is>
          <t>12:43:18</t>
        </is>
      </c>
      <c r="D439" t="inlineStr">
        <is>
          <t>BANKNIFTY-55000-CE</t>
        </is>
      </c>
      <c r="E439" t="inlineStr">
        <is>
          <t>Option</t>
        </is>
      </c>
      <c r="F439" t="inlineStr">
        <is>
          <t>BUY</t>
        </is>
      </c>
      <c r="G439" t="n">
        <v>120</v>
      </c>
      <c r="H439" t="n">
        <v>408.54</v>
      </c>
      <c r="I439" t="n">
        <v>49024.8</v>
      </c>
      <c r="J439" t="n">
        <v>24.51</v>
      </c>
      <c r="K439" t="inlineStr">
        <is>
          <t>NSE</t>
        </is>
      </c>
      <c r="L439" t="inlineStr">
        <is>
          <t>QE-CLEARING</t>
        </is>
      </c>
      <c r="M439" t="inlineStr">
        <is>
          <t>T100438</t>
        </is>
      </c>
    </row>
    <row r="440">
      <c r="A440" t="inlineStr">
        <is>
          <t>T100439</t>
        </is>
      </c>
      <c r="B440" t="inlineStr">
        <is>
          <t>2026-06-30</t>
        </is>
      </c>
      <c r="C440" t="inlineStr">
        <is>
          <t>11:14:58</t>
        </is>
      </c>
      <c r="D440" t="inlineStr">
        <is>
          <t>BANKNIFTY-55500-PE</t>
        </is>
      </c>
      <c r="E440" t="inlineStr">
        <is>
          <t>Option</t>
        </is>
      </c>
      <c r="F440" t="inlineStr">
        <is>
          <t>SELL</t>
        </is>
      </c>
      <c r="G440" t="n">
        <v>75</v>
      </c>
      <c r="H440" t="n">
        <v>387.22</v>
      </c>
      <c r="I440" t="n">
        <v>29041.5</v>
      </c>
      <c r="J440" t="n">
        <v>14.52</v>
      </c>
      <c r="K440" t="inlineStr">
        <is>
          <t>BSE</t>
        </is>
      </c>
      <c r="L440" t="inlineStr">
        <is>
          <t>QE-CLEARING</t>
        </is>
      </c>
      <c r="M440" t="inlineStr">
        <is>
          <t>T100439</t>
        </is>
      </c>
    </row>
    <row r="441">
      <c r="A441" t="inlineStr">
        <is>
          <t>T100440</t>
        </is>
      </c>
      <c r="B441" t="inlineStr">
        <is>
          <t>2026-06-30</t>
        </is>
      </c>
      <c r="C441" t="inlineStr">
        <is>
          <t>09:22:37</t>
        </is>
      </c>
      <c r="D441" t="inlineStr">
        <is>
          <t>BANKNIFTY-55000-CE</t>
        </is>
      </c>
      <c r="E441" t="inlineStr">
        <is>
          <t>Option</t>
        </is>
      </c>
      <c r="F441" t="inlineStr">
        <is>
          <t>BUY</t>
        </is>
      </c>
      <c r="G441" t="n">
        <v>45</v>
      </c>
      <c r="H441" t="n">
        <v>411.05</v>
      </c>
      <c r="I441" t="n">
        <v>18497.25</v>
      </c>
      <c r="J441" t="n">
        <v>9.25</v>
      </c>
      <c r="K441" t="inlineStr">
        <is>
          <t>NSE</t>
        </is>
      </c>
      <c r="L441" t="inlineStr">
        <is>
          <t>QE-CLEARING</t>
        </is>
      </c>
      <c r="M441" t="inlineStr">
        <is>
          <t>T100440</t>
        </is>
      </c>
    </row>
    <row r="442">
      <c r="A442" t="inlineStr">
        <is>
          <t>T100441</t>
        </is>
      </c>
      <c r="B442" t="inlineStr">
        <is>
          <t>2026-06-30</t>
        </is>
      </c>
      <c r="C442" t="inlineStr">
        <is>
          <t>15:17:31</t>
        </is>
      </c>
      <c r="D442" t="inlineStr">
        <is>
          <t>NIFTY-24800-CE</t>
        </is>
      </c>
      <c r="E442" t="inlineStr">
        <is>
          <t>Option</t>
        </is>
      </c>
      <c r="F442" t="inlineStr">
        <is>
          <t>BUY</t>
        </is>
      </c>
      <c r="G442" t="n">
        <v>125</v>
      </c>
      <c r="H442" t="n">
        <v>181.84</v>
      </c>
      <c r="I442" t="n">
        <v>22730</v>
      </c>
      <c r="J442" t="n">
        <v>11.37</v>
      </c>
      <c r="K442" t="inlineStr">
        <is>
          <t>BSE</t>
        </is>
      </c>
      <c r="L442" t="inlineStr">
        <is>
          <t>QE-CLEARING</t>
        </is>
      </c>
      <c r="M442" t="inlineStr">
        <is>
          <t>T100441</t>
        </is>
      </c>
    </row>
    <row r="443">
      <c r="A443" t="inlineStr">
        <is>
          <t>T100442</t>
        </is>
      </c>
      <c r="B443" t="inlineStr">
        <is>
          <t>2026-06-30</t>
        </is>
      </c>
      <c r="C443" t="inlineStr">
        <is>
          <t>09:06:44</t>
        </is>
      </c>
      <c r="D443" t="inlineStr">
        <is>
          <t>BANKNIFTY-55500-PE</t>
        </is>
      </c>
      <c r="E443" t="inlineStr">
        <is>
          <t>Option</t>
        </is>
      </c>
      <c r="F443" t="inlineStr">
        <is>
          <t>BUY</t>
        </is>
      </c>
      <c r="G443" t="n">
        <v>30</v>
      </c>
      <c r="H443" t="n">
        <v>387.95</v>
      </c>
      <c r="I443" t="n">
        <v>11638.5</v>
      </c>
      <c r="J443" t="n">
        <v>5.82</v>
      </c>
      <c r="K443" t="inlineStr">
        <is>
          <t>NSE</t>
        </is>
      </c>
      <c r="L443" t="inlineStr">
        <is>
          <t>QE-CLEARING</t>
        </is>
      </c>
      <c r="M443" t="inlineStr">
        <is>
          <t>T100442</t>
        </is>
      </c>
    </row>
    <row r="444">
      <c r="A444" t="inlineStr">
        <is>
          <t>T100443</t>
        </is>
      </c>
      <c r="B444" t="inlineStr">
        <is>
          <t>2026-06-30</t>
        </is>
      </c>
      <c r="C444" t="inlineStr">
        <is>
          <t>12:53:52</t>
        </is>
      </c>
      <c r="D444" t="inlineStr">
        <is>
          <t>BANKNIFTY-55500-PE</t>
        </is>
      </c>
      <c r="E444" t="inlineStr">
        <is>
          <t>Option</t>
        </is>
      </c>
      <c r="F444" t="inlineStr">
        <is>
          <t>BUY</t>
        </is>
      </c>
      <c r="G444" t="n">
        <v>45</v>
      </c>
      <c r="H444" t="n">
        <v>386.55</v>
      </c>
      <c r="I444" t="n">
        <v>17394.75</v>
      </c>
      <c r="J444" t="n">
        <v>8.699999999999999</v>
      </c>
      <c r="K444" t="inlineStr">
        <is>
          <t>NSE</t>
        </is>
      </c>
      <c r="L444" t="inlineStr">
        <is>
          <t>QE-CLEARING</t>
        </is>
      </c>
      <c r="M444" t="inlineStr">
        <is>
          <t>T100443</t>
        </is>
      </c>
    </row>
    <row r="445">
      <c r="A445" t="inlineStr">
        <is>
          <t>T100444</t>
        </is>
      </c>
      <c r="B445" t="inlineStr">
        <is>
          <t>2026-06-30</t>
        </is>
      </c>
      <c r="C445" t="inlineStr">
        <is>
          <t>13:07:21</t>
        </is>
      </c>
      <c r="D445" t="inlineStr">
        <is>
          <t>NIFTY-25000-PE</t>
        </is>
      </c>
      <c r="E445" t="inlineStr">
        <is>
          <t>Option</t>
        </is>
      </c>
      <c r="F445" t="inlineStr">
        <is>
          <t>SELL</t>
        </is>
      </c>
      <c r="G445" t="n">
        <v>75</v>
      </c>
      <c r="H445" t="n">
        <v>145.73</v>
      </c>
      <c r="I445" t="n">
        <v>10929.75</v>
      </c>
      <c r="J445" t="n">
        <v>5.46</v>
      </c>
      <c r="K445" t="inlineStr">
        <is>
          <t>BSE</t>
        </is>
      </c>
      <c r="L445" t="inlineStr">
        <is>
          <t>QE-CLEARING</t>
        </is>
      </c>
      <c r="M445" t="inlineStr">
        <is>
          <t>T100444</t>
        </is>
      </c>
    </row>
    <row r="446">
      <c r="A446" t="inlineStr">
        <is>
          <t>T100445</t>
        </is>
      </c>
      <c r="B446" t="inlineStr">
        <is>
          <t>2026-06-30</t>
        </is>
      </c>
      <c r="C446" t="inlineStr">
        <is>
          <t>13:04:16</t>
        </is>
      </c>
      <c r="D446" t="inlineStr">
        <is>
          <t>NIFTY-24800-CE</t>
        </is>
      </c>
      <c r="E446" t="inlineStr">
        <is>
          <t>Option</t>
        </is>
      </c>
      <c r="F446" t="inlineStr">
        <is>
          <t>SELL</t>
        </is>
      </c>
      <c r="G446" t="n">
        <v>100</v>
      </c>
      <c r="H446" t="n">
        <v>182.33</v>
      </c>
      <c r="I446" t="n">
        <v>18233</v>
      </c>
      <c r="J446" t="n">
        <v>9.119999999999999</v>
      </c>
      <c r="K446" t="inlineStr">
        <is>
          <t>BSE</t>
        </is>
      </c>
      <c r="L446" t="inlineStr">
        <is>
          <t>QE-CLEARING</t>
        </is>
      </c>
      <c r="M446" t="inlineStr">
        <is>
          <t>T100445</t>
        </is>
      </c>
    </row>
    <row r="447">
      <c r="A447" t="inlineStr">
        <is>
          <t>T100446</t>
        </is>
      </c>
      <c r="B447" t="inlineStr">
        <is>
          <t>2026-06-30</t>
        </is>
      </c>
      <c r="C447" t="inlineStr">
        <is>
          <t>15:47:37</t>
        </is>
      </c>
      <c r="D447" t="inlineStr">
        <is>
          <t>BANKNIFTY-55000-CE</t>
        </is>
      </c>
      <c r="E447" t="inlineStr">
        <is>
          <t>Option</t>
        </is>
      </c>
      <c r="F447" t="inlineStr">
        <is>
          <t>BUY</t>
        </is>
      </c>
      <c r="G447" t="n">
        <v>120</v>
      </c>
      <c r="H447" t="n">
        <v>409.7</v>
      </c>
      <c r="I447" t="n">
        <v>49164</v>
      </c>
      <c r="J447" t="n">
        <v>24.58</v>
      </c>
      <c r="K447" t="inlineStr">
        <is>
          <t>BSE</t>
        </is>
      </c>
      <c r="L447" t="inlineStr">
        <is>
          <t>QE-CLEARING</t>
        </is>
      </c>
      <c r="M447" t="inlineStr">
        <is>
          <t>T100446</t>
        </is>
      </c>
    </row>
    <row r="448">
      <c r="A448" t="inlineStr">
        <is>
          <t>T100447</t>
        </is>
      </c>
      <c r="B448" t="inlineStr">
        <is>
          <t>2026-06-30</t>
        </is>
      </c>
      <c r="C448" t="inlineStr">
        <is>
          <t>10:10:22</t>
        </is>
      </c>
      <c r="D448" t="inlineStr">
        <is>
          <t>BANKNIFTY-55500-PE</t>
        </is>
      </c>
      <c r="E448" t="inlineStr">
        <is>
          <t>Option</t>
        </is>
      </c>
      <c r="F448" t="inlineStr">
        <is>
          <t>SELL</t>
        </is>
      </c>
      <c r="G448" t="n">
        <v>30</v>
      </c>
      <c r="H448" t="n">
        <v>388.93</v>
      </c>
      <c r="I448" t="n">
        <v>11667.9</v>
      </c>
      <c r="J448" t="n">
        <v>5.83</v>
      </c>
      <c r="K448" t="inlineStr">
        <is>
          <t>NSE</t>
        </is>
      </c>
      <c r="L448" t="inlineStr">
        <is>
          <t>QE-CLEARING</t>
        </is>
      </c>
      <c r="M448" t="inlineStr">
        <is>
          <t>T100447</t>
        </is>
      </c>
    </row>
    <row r="449">
      <c r="A449" t="inlineStr">
        <is>
          <t>T100448</t>
        </is>
      </c>
      <c r="B449" t="inlineStr">
        <is>
          <t>2026-06-30</t>
        </is>
      </c>
      <c r="C449" t="inlineStr">
        <is>
          <t>14:35:58</t>
        </is>
      </c>
      <c r="D449" t="inlineStr">
        <is>
          <t>NIFTY-25000-PE</t>
        </is>
      </c>
      <c r="E449" t="inlineStr">
        <is>
          <t>Option</t>
        </is>
      </c>
      <c r="F449" t="inlineStr">
        <is>
          <t>BUY</t>
        </is>
      </c>
      <c r="G449" t="n">
        <v>50</v>
      </c>
      <c r="H449" t="n">
        <v>145.56</v>
      </c>
      <c r="I449" t="n">
        <v>7278</v>
      </c>
      <c r="J449" t="n">
        <v>3.64</v>
      </c>
      <c r="K449" t="inlineStr">
        <is>
          <t>NSE</t>
        </is>
      </c>
      <c r="L449" t="inlineStr">
        <is>
          <t>QE-CLEARING</t>
        </is>
      </c>
      <c r="M449" t="inlineStr">
        <is>
          <t>T100448</t>
        </is>
      </c>
    </row>
    <row r="450">
      <c r="A450" t="inlineStr">
        <is>
          <t>T100449</t>
        </is>
      </c>
      <c r="B450" t="inlineStr">
        <is>
          <t>2026-06-30</t>
        </is>
      </c>
      <c r="C450" t="inlineStr">
        <is>
          <t>12:06:53</t>
        </is>
      </c>
      <c r="D450" t="inlineStr">
        <is>
          <t>BANKNIFTY-55500-PE</t>
        </is>
      </c>
      <c r="E450" t="inlineStr">
        <is>
          <t>Option</t>
        </is>
      </c>
      <c r="F450" t="inlineStr">
        <is>
          <t>BUY</t>
        </is>
      </c>
      <c r="G450" t="n">
        <v>75</v>
      </c>
      <c r="H450" t="n">
        <v>387.37</v>
      </c>
      <c r="I450" t="n">
        <v>29052.75</v>
      </c>
      <c r="J450" t="n">
        <v>14.53</v>
      </c>
      <c r="K450" t="inlineStr">
        <is>
          <t>NSE</t>
        </is>
      </c>
      <c r="L450" t="inlineStr">
        <is>
          <t>QE-CLEARING</t>
        </is>
      </c>
      <c r="M450" t="inlineStr">
        <is>
          <t>T100449</t>
        </is>
      </c>
    </row>
    <row r="451">
      <c r="A451" t="inlineStr">
        <is>
          <t>T100450</t>
        </is>
      </c>
      <c r="B451" t="inlineStr">
        <is>
          <t>2026-06-30</t>
        </is>
      </c>
      <c r="C451" t="inlineStr">
        <is>
          <t>14:30:29</t>
        </is>
      </c>
      <c r="D451" t="inlineStr">
        <is>
          <t>NIFTY-25000-PE</t>
        </is>
      </c>
      <c r="E451" t="inlineStr">
        <is>
          <t>Option</t>
        </is>
      </c>
      <c r="F451" t="inlineStr">
        <is>
          <t>BUY</t>
        </is>
      </c>
      <c r="G451" t="n">
        <v>200</v>
      </c>
      <c r="H451" t="n">
        <v>146.18</v>
      </c>
      <c r="I451" t="n">
        <v>29236</v>
      </c>
      <c r="J451" t="n">
        <v>14.62</v>
      </c>
      <c r="K451" t="inlineStr">
        <is>
          <t>NSE</t>
        </is>
      </c>
      <c r="L451" t="inlineStr">
        <is>
          <t>QE-CLEARING</t>
        </is>
      </c>
      <c r="M451" t="inlineStr">
        <is>
          <t>T100450</t>
        </is>
      </c>
    </row>
    <row r="452">
      <c r="A452" t="inlineStr">
        <is>
          <t>T100451</t>
        </is>
      </c>
      <c r="B452" t="inlineStr">
        <is>
          <t>2026-06-30</t>
        </is>
      </c>
      <c r="C452" t="inlineStr">
        <is>
          <t>12:58:29</t>
        </is>
      </c>
      <c r="D452" t="inlineStr">
        <is>
          <t>BANKNIFTY-55500-PE</t>
        </is>
      </c>
      <c r="E452" t="inlineStr">
        <is>
          <t>Option</t>
        </is>
      </c>
      <c r="F452" t="inlineStr">
        <is>
          <t>SELL</t>
        </is>
      </c>
      <c r="G452" t="n">
        <v>75</v>
      </c>
      <c r="H452" t="n">
        <v>387.11</v>
      </c>
      <c r="I452" t="n">
        <v>29033.25</v>
      </c>
      <c r="J452" t="n">
        <v>14.52</v>
      </c>
      <c r="K452" t="inlineStr">
        <is>
          <t>NSE</t>
        </is>
      </c>
      <c r="L452" t="inlineStr">
        <is>
          <t>QE-CLEARING</t>
        </is>
      </c>
      <c r="M452" t="inlineStr">
        <is>
          <t>T100451</t>
        </is>
      </c>
    </row>
    <row r="453">
      <c r="A453" t="inlineStr">
        <is>
          <t>T100452</t>
        </is>
      </c>
      <c r="B453" t="inlineStr">
        <is>
          <t>2026-06-30</t>
        </is>
      </c>
      <c r="C453" t="inlineStr">
        <is>
          <t>13:03:40</t>
        </is>
      </c>
      <c r="D453" t="inlineStr">
        <is>
          <t>NIFTY-24800-CE</t>
        </is>
      </c>
      <c r="E453" t="inlineStr">
        <is>
          <t>Option</t>
        </is>
      </c>
      <c r="F453" t="inlineStr">
        <is>
          <t>BUY</t>
        </is>
      </c>
      <c r="G453" t="n">
        <v>50</v>
      </c>
      <c r="H453" t="n">
        <v>182.2</v>
      </c>
      <c r="I453" t="n">
        <v>9110</v>
      </c>
      <c r="J453" t="n">
        <v>4.55</v>
      </c>
      <c r="K453" t="inlineStr">
        <is>
          <t>BSE</t>
        </is>
      </c>
      <c r="L453" t="inlineStr">
        <is>
          <t>QE-CLEARING</t>
        </is>
      </c>
      <c r="M453" t="inlineStr">
        <is>
          <t>T100452</t>
        </is>
      </c>
    </row>
    <row r="454">
      <c r="A454" t="inlineStr">
        <is>
          <t>T100453</t>
        </is>
      </c>
      <c r="B454" t="inlineStr">
        <is>
          <t>2026-06-30</t>
        </is>
      </c>
      <c r="C454" t="inlineStr">
        <is>
          <t>11:08:02</t>
        </is>
      </c>
      <c r="D454" t="inlineStr">
        <is>
          <t>NIFTY-24800-CE</t>
        </is>
      </c>
      <c r="E454" t="inlineStr">
        <is>
          <t>Option</t>
        </is>
      </c>
      <c r="F454" t="inlineStr">
        <is>
          <t>SELL</t>
        </is>
      </c>
      <c r="G454" t="n">
        <v>50</v>
      </c>
      <c r="H454" t="n">
        <v>181.69</v>
      </c>
      <c r="I454" t="n">
        <v>9084.5</v>
      </c>
      <c r="J454" t="n">
        <v>4.54</v>
      </c>
      <c r="K454" t="inlineStr">
        <is>
          <t>NSE</t>
        </is>
      </c>
      <c r="L454" t="inlineStr">
        <is>
          <t>QE-CLEARING</t>
        </is>
      </c>
      <c r="M454" t="inlineStr">
        <is>
          <t>T100453</t>
        </is>
      </c>
    </row>
    <row r="455">
      <c r="A455" t="inlineStr">
        <is>
          <t>T100454</t>
        </is>
      </c>
      <c r="B455" t="inlineStr">
        <is>
          <t>2026-06-30</t>
        </is>
      </c>
      <c r="C455" t="inlineStr">
        <is>
          <t>10:15:48</t>
        </is>
      </c>
      <c r="D455" t="inlineStr">
        <is>
          <t>BANKNIFTY-55500-PE</t>
        </is>
      </c>
      <c r="E455" t="inlineStr">
        <is>
          <t>Option</t>
        </is>
      </c>
      <c r="F455" t="inlineStr">
        <is>
          <t>SELL</t>
        </is>
      </c>
      <c r="G455" t="n">
        <v>30</v>
      </c>
      <c r="H455" t="n">
        <v>388.67</v>
      </c>
      <c r="I455" t="n">
        <v>11660.1</v>
      </c>
      <c r="J455" t="n">
        <v>5.83</v>
      </c>
      <c r="K455" t="inlineStr">
        <is>
          <t>NSE</t>
        </is>
      </c>
      <c r="L455" t="inlineStr">
        <is>
          <t>QE-CLEARING</t>
        </is>
      </c>
      <c r="M455" t="inlineStr">
        <is>
          <t>T100454</t>
        </is>
      </c>
    </row>
    <row r="456">
      <c r="A456" t="inlineStr">
        <is>
          <t>T100455</t>
        </is>
      </c>
      <c r="B456" t="inlineStr">
        <is>
          <t>2026-06-30</t>
        </is>
      </c>
      <c r="C456" t="inlineStr">
        <is>
          <t>11:59:43</t>
        </is>
      </c>
      <c r="D456" t="inlineStr">
        <is>
          <t>NIFTY-24800-CE</t>
        </is>
      </c>
      <c r="E456" t="inlineStr">
        <is>
          <t>Option</t>
        </is>
      </c>
      <c r="F456" t="inlineStr">
        <is>
          <t>SELL</t>
        </is>
      </c>
      <c r="G456" t="n">
        <v>125</v>
      </c>
      <c r="H456" t="n">
        <v>181.37</v>
      </c>
      <c r="I456" t="n">
        <v>22671.25</v>
      </c>
      <c r="J456" t="n">
        <v>11.34</v>
      </c>
      <c r="K456" t="inlineStr">
        <is>
          <t>BSE</t>
        </is>
      </c>
      <c r="L456" t="inlineStr">
        <is>
          <t>QE-CLEARING</t>
        </is>
      </c>
      <c r="M456" t="inlineStr">
        <is>
          <t>T100455</t>
        </is>
      </c>
    </row>
    <row r="457">
      <c r="A457" t="inlineStr">
        <is>
          <t>T100456</t>
        </is>
      </c>
      <c r="B457" t="inlineStr">
        <is>
          <t>2026-06-30</t>
        </is>
      </c>
      <c r="C457" t="inlineStr">
        <is>
          <t>11:53:15</t>
        </is>
      </c>
      <c r="D457" t="inlineStr">
        <is>
          <t>NIFTY-25000-PE</t>
        </is>
      </c>
      <c r="E457" t="inlineStr">
        <is>
          <t>Option</t>
        </is>
      </c>
      <c r="F457" t="inlineStr">
        <is>
          <t>SELL</t>
        </is>
      </c>
      <c r="G457" t="n">
        <v>200</v>
      </c>
      <c r="H457" t="n">
        <v>145.68</v>
      </c>
      <c r="I457" t="n">
        <v>29136</v>
      </c>
      <c r="J457" t="n">
        <v>14.57</v>
      </c>
      <c r="K457" t="inlineStr">
        <is>
          <t>BSE</t>
        </is>
      </c>
      <c r="L457" t="inlineStr">
        <is>
          <t>QE-CLEARING</t>
        </is>
      </c>
      <c r="M457" t="inlineStr">
        <is>
          <t>T100456</t>
        </is>
      </c>
    </row>
    <row r="458">
      <c r="A458" t="inlineStr">
        <is>
          <t>T100457</t>
        </is>
      </c>
      <c r="B458" t="inlineStr">
        <is>
          <t>2026-06-30</t>
        </is>
      </c>
      <c r="C458" t="inlineStr">
        <is>
          <t>13:04:22</t>
        </is>
      </c>
      <c r="D458" t="inlineStr">
        <is>
          <t>BANKNIFTY-55000-CE</t>
        </is>
      </c>
      <c r="E458" t="inlineStr">
        <is>
          <t>Option</t>
        </is>
      </c>
      <c r="F458" t="inlineStr">
        <is>
          <t>SELL</t>
        </is>
      </c>
      <c r="G458" t="n">
        <v>60</v>
      </c>
      <c r="H458" t="n">
        <v>410.38</v>
      </c>
      <c r="I458" t="n">
        <v>24622.8</v>
      </c>
      <c r="J458" t="n">
        <v>12.31</v>
      </c>
      <c r="K458" t="inlineStr">
        <is>
          <t>BSE</t>
        </is>
      </c>
      <c r="L458" t="inlineStr">
        <is>
          <t>QE-CLEARING</t>
        </is>
      </c>
      <c r="M458" t="inlineStr">
        <is>
          <t>T100457</t>
        </is>
      </c>
    </row>
    <row r="459">
      <c r="A459" t="inlineStr">
        <is>
          <t>T100458</t>
        </is>
      </c>
      <c r="B459" t="inlineStr">
        <is>
          <t>2026-06-30</t>
        </is>
      </c>
      <c r="C459" t="inlineStr">
        <is>
          <t>13:05:04</t>
        </is>
      </c>
      <c r="D459" t="inlineStr">
        <is>
          <t>NIFTY-24800-CE</t>
        </is>
      </c>
      <c r="E459" t="inlineStr">
        <is>
          <t>Option</t>
        </is>
      </c>
      <c r="F459" t="inlineStr">
        <is>
          <t>BUY</t>
        </is>
      </c>
      <c r="G459" t="n">
        <v>250</v>
      </c>
      <c r="H459" t="n">
        <v>182.71</v>
      </c>
      <c r="I459" t="n">
        <v>45677.5</v>
      </c>
      <c r="J459" t="n">
        <v>22.84</v>
      </c>
      <c r="K459" t="inlineStr">
        <is>
          <t>NSE</t>
        </is>
      </c>
      <c r="L459" t="inlineStr">
        <is>
          <t>QE-CLEARING</t>
        </is>
      </c>
      <c r="M459" t="inlineStr">
        <is>
          <t>T100458</t>
        </is>
      </c>
    </row>
    <row r="460">
      <c r="A460" t="inlineStr">
        <is>
          <t>T100459</t>
        </is>
      </c>
      <c r="B460" t="inlineStr">
        <is>
          <t>2026-06-30</t>
        </is>
      </c>
      <c r="C460" t="inlineStr">
        <is>
          <t>13:58:18</t>
        </is>
      </c>
      <c r="D460" t="inlineStr">
        <is>
          <t>BANKNIFTY-55500-PE</t>
        </is>
      </c>
      <c r="E460" t="inlineStr">
        <is>
          <t>Option</t>
        </is>
      </c>
      <c r="F460" t="inlineStr">
        <is>
          <t>BUY</t>
        </is>
      </c>
      <c r="G460" t="n">
        <v>60</v>
      </c>
      <c r="H460" t="n">
        <v>389.39</v>
      </c>
      <c r="I460" t="n">
        <v>23363.4</v>
      </c>
      <c r="J460" t="n">
        <v>11.68</v>
      </c>
      <c r="K460" t="inlineStr">
        <is>
          <t>NSE</t>
        </is>
      </c>
      <c r="L460" t="inlineStr">
        <is>
          <t>QE-CLEARING</t>
        </is>
      </c>
      <c r="M460" t="inlineStr">
        <is>
          <t>T100459</t>
        </is>
      </c>
    </row>
    <row r="461">
      <c r="A461" t="inlineStr">
        <is>
          <t>T100460</t>
        </is>
      </c>
      <c r="B461" t="inlineStr">
        <is>
          <t>2026-06-30</t>
        </is>
      </c>
      <c r="C461" t="inlineStr">
        <is>
          <t>09:40:37</t>
        </is>
      </c>
      <c r="D461" t="inlineStr">
        <is>
          <t>NIFTY-24800-CE</t>
        </is>
      </c>
      <c r="E461" t="inlineStr">
        <is>
          <t>Option</t>
        </is>
      </c>
      <c r="F461" t="inlineStr">
        <is>
          <t>BUY</t>
        </is>
      </c>
      <c r="G461" t="n">
        <v>75</v>
      </c>
      <c r="H461" t="n">
        <v>182.42</v>
      </c>
      <c r="I461" t="n">
        <v>13681.5</v>
      </c>
      <c r="J461" t="n">
        <v>6.84</v>
      </c>
      <c r="K461" t="inlineStr">
        <is>
          <t>NSE</t>
        </is>
      </c>
      <c r="L461" t="inlineStr">
        <is>
          <t>QE-CLEARING</t>
        </is>
      </c>
      <c r="M461" t="inlineStr">
        <is>
          <t>T100460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8" t="inlineStr">
        <is>
          <t>TradeID</t>
        </is>
      </c>
      <c r="B1" s="8" t="inlineStr">
        <is>
          <t>TradeDate</t>
        </is>
      </c>
      <c r="C1" s="8" t="inlineStr">
        <is>
          <t>TradeTime</t>
        </is>
      </c>
      <c r="D1" s="8" t="inlineStr">
        <is>
          <t>Symbol</t>
        </is>
      </c>
      <c r="E1" s="8" t="inlineStr">
        <is>
          <t>AssetClass</t>
        </is>
      </c>
      <c r="F1" s="8" t="inlineStr">
        <is>
          <t>Side</t>
        </is>
      </c>
      <c r="G1" s="8" t="inlineStr">
        <is>
          <t>Quantity</t>
        </is>
      </c>
      <c r="H1" s="8" t="inlineStr">
        <is>
          <t>Price</t>
        </is>
      </c>
      <c r="I1" s="8" t="inlineStr">
        <is>
          <t>GrossNotional</t>
        </is>
      </c>
      <c r="J1" s="8" t="inlineStr">
        <is>
          <t>Fees</t>
        </is>
      </c>
      <c r="K1" s="8" t="inlineStr">
        <is>
          <t>Venue</t>
        </is>
      </c>
      <c r="L1" s="8" t="inlineStr">
        <is>
          <t>ClearingMember</t>
        </is>
      </c>
      <c r="M1" s="8" t="inlineStr">
        <is>
          <t>Key</t>
        </is>
      </c>
    </row>
    <row r="2">
      <c r="A2" t="inlineStr">
        <is>
          <t>T100001</t>
        </is>
      </c>
      <c r="B2" t="inlineStr">
        <is>
          <t>2026-06-30</t>
        </is>
      </c>
      <c r="C2" t="inlineStr">
        <is>
          <t>09:19:04</t>
        </is>
      </c>
      <c r="D2" t="inlineStr">
        <is>
          <t>HINDUNILVR</t>
        </is>
      </c>
      <c r="E2" t="inlineStr">
        <is>
          <t>Equity</t>
        </is>
      </c>
      <c r="F2" t="inlineStr">
        <is>
          <t>SELL</t>
        </is>
      </c>
      <c r="G2" t="n">
        <v>300</v>
      </c>
      <c r="H2" t="n">
        <v>2366.59</v>
      </c>
      <c r="I2" t="n">
        <v>709977</v>
      </c>
      <c r="J2" t="n">
        <v>248.49</v>
      </c>
      <c r="K2" t="inlineStr">
        <is>
          <t>NSE</t>
        </is>
      </c>
      <c r="L2" t="inlineStr">
        <is>
          <t>QE-CLEARING</t>
        </is>
      </c>
      <c r="M2" t="inlineStr">
        <is>
          <t>T100001</t>
        </is>
      </c>
    </row>
    <row r="3">
      <c r="A3" t="inlineStr">
        <is>
          <t>T100002</t>
        </is>
      </c>
      <c r="B3" t="inlineStr">
        <is>
          <t>2026-06-30</t>
        </is>
      </c>
      <c r="C3" t="inlineStr">
        <is>
          <t>10:54:01</t>
        </is>
      </c>
      <c r="D3" t="inlineStr">
        <is>
          <t>HDFCBANK</t>
        </is>
      </c>
      <c r="E3" t="inlineStr">
        <is>
          <t>Equity</t>
        </is>
      </c>
      <c r="F3" t="inlineStr">
        <is>
          <t>SELL</t>
        </is>
      </c>
      <c r="G3" t="n">
        <v>250</v>
      </c>
      <c r="H3" t="n">
        <v>1681.46</v>
      </c>
      <c r="I3" t="n">
        <v>420365</v>
      </c>
      <c r="J3" t="n">
        <v>147.13</v>
      </c>
      <c r="K3" t="inlineStr">
        <is>
          <t>NSE</t>
        </is>
      </c>
      <c r="L3" t="inlineStr">
        <is>
          <t>QE-CLEARING</t>
        </is>
      </c>
      <c r="M3" t="inlineStr">
        <is>
          <t>T100002</t>
        </is>
      </c>
    </row>
    <row r="4">
      <c r="A4" t="inlineStr">
        <is>
          <t>T100003</t>
        </is>
      </c>
      <c r="B4" t="inlineStr">
        <is>
          <t>2026-06-30</t>
        </is>
      </c>
      <c r="C4" t="inlineStr">
        <is>
          <t>13:12:42</t>
        </is>
      </c>
      <c r="D4" t="inlineStr">
        <is>
          <t>HINDUNILVR</t>
        </is>
      </c>
      <c r="E4" t="inlineStr">
        <is>
          <t>Equity</t>
        </is>
      </c>
      <c r="F4" t="inlineStr">
        <is>
          <t>SELL</t>
        </is>
      </c>
      <c r="G4" t="n">
        <v>50</v>
      </c>
      <c r="H4" t="n">
        <v>2356.8</v>
      </c>
      <c r="I4" t="n">
        <v>117840</v>
      </c>
      <c r="J4" t="n">
        <v>41.24</v>
      </c>
      <c r="K4" t="inlineStr">
        <is>
          <t>BSE</t>
        </is>
      </c>
      <c r="L4" t="inlineStr">
        <is>
          <t>QE-CLEARING</t>
        </is>
      </c>
      <c r="M4" t="inlineStr">
        <is>
          <t>T100003</t>
        </is>
      </c>
    </row>
    <row r="5">
      <c r="A5" t="inlineStr">
        <is>
          <t>T100004</t>
        </is>
      </c>
      <c r="B5" t="inlineStr">
        <is>
          <t>2026-06-30</t>
        </is>
      </c>
      <c r="C5" t="inlineStr">
        <is>
          <t>09:28:33</t>
        </is>
      </c>
      <c r="D5" t="inlineStr">
        <is>
          <t>MARUTI</t>
        </is>
      </c>
      <c r="E5" t="inlineStr">
        <is>
          <t>Equity</t>
        </is>
      </c>
      <c r="F5" t="inlineStr">
        <is>
          <t>BUY</t>
        </is>
      </c>
      <c r="G5" t="n">
        <v>75</v>
      </c>
      <c r="H5" t="n">
        <v>12605.02</v>
      </c>
      <c r="I5" t="n">
        <v>945376.5</v>
      </c>
      <c r="J5" t="n">
        <v>330.88</v>
      </c>
      <c r="K5" t="inlineStr">
        <is>
          <t>BSE</t>
        </is>
      </c>
      <c r="L5" t="inlineStr">
        <is>
          <t>QE-CLEARING</t>
        </is>
      </c>
      <c r="M5" t="inlineStr">
        <is>
          <t>T100004</t>
        </is>
      </c>
    </row>
    <row r="6">
      <c r="A6" t="inlineStr">
        <is>
          <t>T100005</t>
        </is>
      </c>
      <c r="B6" t="inlineStr">
        <is>
          <t>2026-06-30</t>
        </is>
      </c>
      <c r="C6" t="inlineStr">
        <is>
          <t>11:18:51</t>
        </is>
      </c>
      <c r="D6" t="inlineStr">
        <is>
          <t>ITC</t>
        </is>
      </c>
      <c r="E6" t="inlineStr">
        <is>
          <t>Equity</t>
        </is>
      </c>
      <c r="F6" t="inlineStr">
        <is>
          <t>BUY</t>
        </is>
      </c>
      <c r="G6" t="n">
        <v>200</v>
      </c>
      <c r="H6" t="n">
        <v>447.27</v>
      </c>
      <c r="I6" t="n">
        <v>89454</v>
      </c>
      <c r="J6" t="n">
        <v>31.31</v>
      </c>
      <c r="K6" t="inlineStr">
        <is>
          <t>BSE</t>
        </is>
      </c>
      <c r="L6" t="inlineStr">
        <is>
          <t>QE-CLEARING</t>
        </is>
      </c>
      <c r="M6" t="inlineStr">
        <is>
          <t>T100005</t>
        </is>
      </c>
    </row>
    <row r="7">
      <c r="A7" t="inlineStr">
        <is>
          <t>T100006</t>
        </is>
      </c>
      <c r="B7" t="inlineStr">
        <is>
          <t>2026-06-30</t>
        </is>
      </c>
      <c r="C7" t="inlineStr">
        <is>
          <t>10:53:38</t>
        </is>
      </c>
      <c r="D7" t="inlineStr">
        <is>
          <t>BHARTIARTL</t>
        </is>
      </c>
      <c r="E7" t="inlineStr">
        <is>
          <t>Equity</t>
        </is>
      </c>
      <c r="F7" t="inlineStr">
        <is>
          <t>SELL</t>
        </is>
      </c>
      <c r="G7" t="n">
        <v>150</v>
      </c>
      <c r="H7" t="n">
        <v>1584.58</v>
      </c>
      <c r="I7" t="n">
        <v>237687</v>
      </c>
      <c r="J7" t="n">
        <v>83.19</v>
      </c>
      <c r="K7" t="inlineStr">
        <is>
          <t>NSE</t>
        </is>
      </c>
      <c r="L7" t="inlineStr">
        <is>
          <t>QE-CLEARING</t>
        </is>
      </c>
      <c r="M7" t="inlineStr">
        <is>
          <t>T100006</t>
        </is>
      </c>
    </row>
    <row r="8">
      <c r="A8" t="inlineStr">
        <is>
          <t>T100007</t>
        </is>
      </c>
      <c r="B8" t="inlineStr">
        <is>
          <t>2026-06-30</t>
        </is>
      </c>
      <c r="C8" t="inlineStr">
        <is>
          <t>15:55:39</t>
        </is>
      </c>
      <c r="D8" t="inlineStr">
        <is>
          <t>KOTAKBANK</t>
        </is>
      </c>
      <c r="E8" t="inlineStr">
        <is>
          <t>Equity</t>
        </is>
      </c>
      <c r="F8" t="inlineStr">
        <is>
          <t>SELL</t>
        </is>
      </c>
      <c r="G8" t="n">
        <v>200</v>
      </c>
      <c r="H8" t="n">
        <v>1787.84</v>
      </c>
      <c r="I8" t="n">
        <v>357568</v>
      </c>
      <c r="J8" t="n">
        <v>125.15</v>
      </c>
      <c r="K8" t="inlineStr">
        <is>
          <t>BSE</t>
        </is>
      </c>
      <c r="L8" t="inlineStr">
        <is>
          <t>QE-CLEARING</t>
        </is>
      </c>
      <c r="M8" t="inlineStr">
        <is>
          <t>T100007</t>
        </is>
      </c>
    </row>
    <row r="9">
      <c r="A9" t="inlineStr">
        <is>
          <t>T100008</t>
        </is>
      </c>
      <c r="B9" t="inlineStr">
        <is>
          <t>2026-06-30</t>
        </is>
      </c>
      <c r="C9" t="inlineStr">
        <is>
          <t>11:07:14</t>
        </is>
      </c>
      <c r="D9" t="inlineStr">
        <is>
          <t>RELIANCE</t>
        </is>
      </c>
      <c r="E9" t="inlineStr">
        <is>
          <t>Equity</t>
        </is>
      </c>
      <c r="F9" t="inlineStr">
        <is>
          <t>SELL</t>
        </is>
      </c>
      <c r="G9" t="n">
        <v>75</v>
      </c>
      <c r="H9" t="n">
        <v>1424.09</v>
      </c>
      <c r="I9" t="n">
        <v>106806.75</v>
      </c>
      <c r="J9" t="n">
        <v>37.38</v>
      </c>
      <c r="K9" t="inlineStr">
        <is>
          <t>NSE</t>
        </is>
      </c>
      <c r="L9" t="inlineStr">
        <is>
          <t>QE-CLEARING</t>
        </is>
      </c>
      <c r="M9" t="inlineStr">
        <is>
          <t>T100008</t>
        </is>
      </c>
    </row>
    <row r="10">
      <c r="A10" t="inlineStr">
        <is>
          <t>T100009</t>
        </is>
      </c>
      <c r="B10" t="inlineStr">
        <is>
          <t>2026-06-30</t>
        </is>
      </c>
      <c r="C10" t="inlineStr">
        <is>
          <t>10:41:48</t>
        </is>
      </c>
      <c r="D10" t="inlineStr">
        <is>
          <t>ITC</t>
        </is>
      </c>
      <c r="E10" t="inlineStr">
        <is>
          <t>Equity</t>
        </is>
      </c>
      <c r="F10" t="inlineStr">
        <is>
          <t>BUY</t>
        </is>
      </c>
      <c r="G10" t="n">
        <v>200</v>
      </c>
      <c r="H10" t="n">
        <v>446.63</v>
      </c>
      <c r="I10" t="n">
        <v>89326</v>
      </c>
      <c r="J10" t="n">
        <v>31.26</v>
      </c>
      <c r="K10" t="inlineStr">
        <is>
          <t>NSE</t>
        </is>
      </c>
      <c r="L10" t="inlineStr">
        <is>
          <t>QE-CLEARING</t>
        </is>
      </c>
      <c r="M10" t="inlineStr">
        <is>
          <t>T100009</t>
        </is>
      </c>
    </row>
    <row r="11">
      <c r="A11" t="inlineStr">
        <is>
          <t>T100010</t>
        </is>
      </c>
      <c r="B11" t="inlineStr">
        <is>
          <t>2026-06-30</t>
        </is>
      </c>
      <c r="C11" t="inlineStr">
        <is>
          <t>11:48:51</t>
        </is>
      </c>
      <c r="D11" t="inlineStr">
        <is>
          <t>SBIN</t>
        </is>
      </c>
      <c r="E11" t="inlineStr">
        <is>
          <t>Equity</t>
        </is>
      </c>
      <c r="F11" t="inlineStr">
        <is>
          <t>BUY</t>
        </is>
      </c>
      <c r="G11" t="n">
        <v>500</v>
      </c>
      <c r="H11" t="n">
        <v>815.39</v>
      </c>
      <c r="I11" t="n">
        <v>407695</v>
      </c>
      <c r="J11" t="n">
        <v>142.69</v>
      </c>
      <c r="K11" t="inlineStr">
        <is>
          <t>BSE</t>
        </is>
      </c>
      <c r="L11" t="inlineStr">
        <is>
          <t>QE-CLEARING</t>
        </is>
      </c>
      <c r="M11" t="inlineStr">
        <is>
          <t>T100010</t>
        </is>
      </c>
    </row>
    <row r="12">
      <c r="A12" t="inlineStr">
        <is>
          <t>T100011</t>
        </is>
      </c>
      <c r="B12" t="inlineStr">
        <is>
          <t>2026-06-30</t>
        </is>
      </c>
      <c r="C12" t="inlineStr">
        <is>
          <t>12:29:09</t>
        </is>
      </c>
      <c r="D12" t="inlineStr">
        <is>
          <t>RELIANCE</t>
        </is>
      </c>
      <c r="E12" t="inlineStr">
        <is>
          <t>Equity</t>
        </is>
      </c>
      <c r="F12" t="inlineStr">
        <is>
          <t>BUY</t>
        </is>
      </c>
      <c r="G12" t="n">
        <v>200</v>
      </c>
      <c r="H12" t="n">
        <v>1418.74</v>
      </c>
      <c r="I12" t="n">
        <v>283748</v>
      </c>
      <c r="J12" t="n">
        <v>99.31</v>
      </c>
      <c r="K12" t="inlineStr">
        <is>
          <t>BSE</t>
        </is>
      </c>
      <c r="L12" t="inlineStr">
        <is>
          <t>QE-CLEARING</t>
        </is>
      </c>
      <c r="M12" t="inlineStr">
        <is>
          <t>T100011</t>
        </is>
      </c>
    </row>
    <row r="13">
      <c r="A13" t="inlineStr">
        <is>
          <t>T100012</t>
        </is>
      </c>
      <c r="B13" t="inlineStr">
        <is>
          <t>2026-06-30</t>
        </is>
      </c>
      <c r="C13" t="inlineStr">
        <is>
          <t>11:44:38</t>
        </is>
      </c>
      <c r="D13" t="inlineStr">
        <is>
          <t>INFY</t>
        </is>
      </c>
      <c r="E13" t="inlineStr">
        <is>
          <t>Equity</t>
        </is>
      </c>
      <c r="F13" t="inlineStr">
        <is>
          <t>SELL</t>
        </is>
      </c>
      <c r="G13" t="n">
        <v>50</v>
      </c>
      <c r="H13" t="n">
        <v>1558.76</v>
      </c>
      <c r="I13" t="n">
        <v>77938</v>
      </c>
      <c r="J13" t="n">
        <v>27.28</v>
      </c>
      <c r="K13" t="inlineStr">
        <is>
          <t>BSE</t>
        </is>
      </c>
      <c r="L13" t="inlineStr">
        <is>
          <t>QE-CLEARING</t>
        </is>
      </c>
      <c r="M13" t="inlineStr">
        <is>
          <t>T100012</t>
        </is>
      </c>
    </row>
    <row r="14">
      <c r="A14" t="inlineStr">
        <is>
          <t>T100013</t>
        </is>
      </c>
      <c r="B14" t="inlineStr">
        <is>
          <t>2026-06-30</t>
        </is>
      </c>
      <c r="C14" t="inlineStr">
        <is>
          <t>11:07:00</t>
        </is>
      </c>
      <c r="D14" t="inlineStr">
        <is>
          <t>SUNPHARMA</t>
        </is>
      </c>
      <c r="E14" t="inlineStr">
        <is>
          <t>Equity</t>
        </is>
      </c>
      <c r="F14" t="inlineStr">
        <is>
          <t>BUY</t>
        </is>
      </c>
      <c r="G14" t="n">
        <v>500</v>
      </c>
      <c r="H14" t="n">
        <v>1726.41</v>
      </c>
      <c r="I14" t="n">
        <v>863205</v>
      </c>
      <c r="J14" t="n">
        <v>302.12</v>
      </c>
      <c r="K14" t="inlineStr">
        <is>
          <t>NSE</t>
        </is>
      </c>
      <c r="L14" t="inlineStr">
        <is>
          <t>QE-CLEARING</t>
        </is>
      </c>
      <c r="M14" t="inlineStr">
        <is>
          <t>T100013</t>
        </is>
      </c>
    </row>
    <row r="15">
      <c r="A15" t="inlineStr">
        <is>
          <t>T100014</t>
        </is>
      </c>
      <c r="B15" t="inlineStr">
        <is>
          <t>2026-06-30</t>
        </is>
      </c>
      <c r="C15" t="inlineStr">
        <is>
          <t>09:44:46</t>
        </is>
      </c>
      <c r="D15" t="inlineStr">
        <is>
          <t>TATAMOTORS</t>
        </is>
      </c>
      <c r="E15" t="inlineStr">
        <is>
          <t>Equity</t>
        </is>
      </c>
      <c r="F15" t="inlineStr">
        <is>
          <t>BUY</t>
        </is>
      </c>
      <c r="G15" t="n">
        <v>50</v>
      </c>
      <c r="H15" t="n">
        <v>982.34</v>
      </c>
      <c r="I15" t="n">
        <v>49117</v>
      </c>
      <c r="J15" t="n">
        <v>17.19</v>
      </c>
      <c r="K15" t="inlineStr">
        <is>
          <t>BSE</t>
        </is>
      </c>
      <c r="L15" t="inlineStr">
        <is>
          <t>QE-CLEARING</t>
        </is>
      </c>
      <c r="M15" t="inlineStr">
        <is>
          <t>T100014</t>
        </is>
      </c>
    </row>
    <row r="16">
      <c r="A16" t="inlineStr">
        <is>
          <t>T100015</t>
        </is>
      </c>
      <c r="B16" t="inlineStr">
        <is>
          <t>2026-06-30</t>
        </is>
      </c>
      <c r="C16" t="inlineStr">
        <is>
          <t>12:04:44</t>
        </is>
      </c>
      <c r="D16" t="inlineStr">
        <is>
          <t>KOTAKBANK</t>
        </is>
      </c>
      <c r="E16" t="inlineStr">
        <is>
          <t>Equity</t>
        </is>
      </c>
      <c r="F16" t="inlineStr">
        <is>
          <t>SELL</t>
        </is>
      </c>
      <c r="G16" t="n">
        <v>150</v>
      </c>
      <c r="H16" t="n">
        <v>1788.7</v>
      </c>
      <c r="I16" t="n">
        <v>268305</v>
      </c>
      <c r="J16" t="n">
        <v>93.91</v>
      </c>
      <c r="K16" t="inlineStr">
        <is>
          <t>BSE</t>
        </is>
      </c>
      <c r="L16" t="inlineStr">
        <is>
          <t>QE-CLEARING</t>
        </is>
      </c>
      <c r="M16" t="inlineStr">
        <is>
          <t>T100015</t>
        </is>
      </c>
    </row>
    <row r="17">
      <c r="A17" t="inlineStr">
        <is>
          <t>T100016</t>
        </is>
      </c>
      <c r="B17" t="inlineStr">
        <is>
          <t>2026-06-30</t>
        </is>
      </c>
      <c r="C17" t="inlineStr">
        <is>
          <t>10:02:17</t>
        </is>
      </c>
      <c r="D17" t="inlineStr">
        <is>
          <t>HINDUNILVR</t>
        </is>
      </c>
      <c r="E17" t="inlineStr">
        <is>
          <t>Equity</t>
        </is>
      </c>
      <c r="F17" t="inlineStr">
        <is>
          <t>BUY</t>
        </is>
      </c>
      <c r="G17" t="n">
        <v>150</v>
      </c>
      <c r="H17" t="n">
        <v>2362.07</v>
      </c>
      <c r="I17" t="n">
        <v>354310.5</v>
      </c>
      <c r="J17" t="n">
        <v>124.01</v>
      </c>
      <c r="K17" t="inlineStr">
        <is>
          <t>BSE</t>
        </is>
      </c>
      <c r="L17" t="inlineStr">
        <is>
          <t>QE-CLEARING</t>
        </is>
      </c>
      <c r="M17" t="inlineStr">
        <is>
          <t>T100016</t>
        </is>
      </c>
    </row>
    <row r="18">
      <c r="A18" t="inlineStr">
        <is>
          <t>T100017</t>
        </is>
      </c>
      <c r="B18" t="inlineStr">
        <is>
          <t>2026-06-30</t>
        </is>
      </c>
      <c r="C18" t="inlineStr">
        <is>
          <t>14:16:52</t>
        </is>
      </c>
      <c r="D18" t="inlineStr">
        <is>
          <t>TCS</t>
        </is>
      </c>
      <c r="E18" t="inlineStr">
        <is>
          <t>Equity</t>
        </is>
      </c>
      <c r="F18" t="inlineStr">
        <is>
          <t>BUY</t>
        </is>
      </c>
      <c r="G18" t="n">
        <v>300</v>
      </c>
      <c r="H18" t="n">
        <v>3894.51</v>
      </c>
      <c r="I18" t="n">
        <v>1168353</v>
      </c>
      <c r="J18" t="n">
        <v>408.92</v>
      </c>
      <c r="K18" t="inlineStr">
        <is>
          <t>BSE</t>
        </is>
      </c>
      <c r="L18" t="inlineStr">
        <is>
          <t>QE-CLEARING</t>
        </is>
      </c>
      <c r="M18" t="inlineStr">
        <is>
          <t>T100017</t>
        </is>
      </c>
    </row>
    <row r="19">
      <c r="A19" t="inlineStr">
        <is>
          <t>T100018</t>
        </is>
      </c>
      <c r="B19" t="inlineStr">
        <is>
          <t>2026-06-30</t>
        </is>
      </c>
      <c r="C19" t="inlineStr">
        <is>
          <t>10:06:57</t>
        </is>
      </c>
      <c r="D19" t="inlineStr">
        <is>
          <t>ITC</t>
        </is>
      </c>
      <c r="E19" t="inlineStr">
        <is>
          <t>Equity</t>
        </is>
      </c>
      <c r="F19" t="inlineStr">
        <is>
          <t>SELL</t>
        </is>
      </c>
      <c r="G19" t="n">
        <v>75</v>
      </c>
      <c r="H19" t="n">
        <v>447.76</v>
      </c>
      <c r="I19" t="n">
        <v>33582</v>
      </c>
      <c r="J19" t="n">
        <v>11.75</v>
      </c>
      <c r="K19" t="inlineStr">
        <is>
          <t>NSE</t>
        </is>
      </c>
      <c r="L19" t="inlineStr">
        <is>
          <t>QE-CLEARING</t>
        </is>
      </c>
      <c r="M19" t="inlineStr">
        <is>
          <t>T100018</t>
        </is>
      </c>
    </row>
    <row r="20">
      <c r="A20" t="inlineStr">
        <is>
          <t>T100019</t>
        </is>
      </c>
      <c r="B20" t="inlineStr">
        <is>
          <t>2026-06-30</t>
        </is>
      </c>
      <c r="C20" t="inlineStr">
        <is>
          <t>14:44:46</t>
        </is>
      </c>
      <c r="D20" t="inlineStr">
        <is>
          <t>TATAMOTORS</t>
        </is>
      </c>
      <c r="E20" t="inlineStr">
        <is>
          <t>Equity</t>
        </is>
      </c>
      <c r="F20" t="inlineStr">
        <is>
          <t>BUY</t>
        </is>
      </c>
      <c r="G20" t="n">
        <v>300</v>
      </c>
      <c r="H20" t="n">
        <v>985.76</v>
      </c>
      <c r="I20" t="n">
        <v>295728</v>
      </c>
      <c r="J20" t="n">
        <v>103.5</v>
      </c>
      <c r="K20" t="inlineStr">
        <is>
          <t>NSE</t>
        </is>
      </c>
      <c r="L20" t="inlineStr">
        <is>
          <t>QE-CLEARING</t>
        </is>
      </c>
      <c r="M20" t="inlineStr">
        <is>
          <t>T100019</t>
        </is>
      </c>
    </row>
    <row r="21">
      <c r="A21" t="inlineStr">
        <is>
          <t>T100020</t>
        </is>
      </c>
      <c r="B21" t="inlineStr">
        <is>
          <t>2026-06-30</t>
        </is>
      </c>
      <c r="C21" t="inlineStr">
        <is>
          <t>11:06:04</t>
        </is>
      </c>
      <c r="D21" t="inlineStr">
        <is>
          <t>HINDUNILVR</t>
        </is>
      </c>
      <c r="E21" t="inlineStr">
        <is>
          <t>Equity</t>
        </is>
      </c>
      <c r="F21" t="inlineStr">
        <is>
          <t>BUY</t>
        </is>
      </c>
      <c r="G21" t="n">
        <v>75</v>
      </c>
      <c r="H21" t="n">
        <v>2355.69</v>
      </c>
      <c r="I21" t="n">
        <v>176676.75</v>
      </c>
      <c r="J21" t="n">
        <v>61.84</v>
      </c>
      <c r="K21" t="inlineStr">
        <is>
          <t>NSE</t>
        </is>
      </c>
      <c r="L21" t="inlineStr">
        <is>
          <t>QE-CLEARING</t>
        </is>
      </c>
      <c r="M21" t="inlineStr">
        <is>
          <t>T100020</t>
        </is>
      </c>
    </row>
    <row r="22">
      <c r="A22" t="inlineStr">
        <is>
          <t>T100021</t>
        </is>
      </c>
      <c r="B22" t="inlineStr">
        <is>
          <t>2026-06-30</t>
        </is>
      </c>
      <c r="C22" t="inlineStr">
        <is>
          <t>09:19:29</t>
        </is>
      </c>
      <c r="D22" t="inlineStr">
        <is>
          <t>ICICIBANK</t>
        </is>
      </c>
      <c r="E22" t="inlineStr">
        <is>
          <t>Equity</t>
        </is>
      </c>
      <c r="F22" t="inlineStr">
        <is>
          <t>SELL</t>
        </is>
      </c>
      <c r="G22" t="n">
        <v>500</v>
      </c>
      <c r="H22" t="n">
        <v>1242.12</v>
      </c>
      <c r="I22" t="n">
        <v>621060</v>
      </c>
      <c r="J22" t="n">
        <v>217.37</v>
      </c>
      <c r="K22" t="inlineStr">
        <is>
          <t>NSE</t>
        </is>
      </c>
      <c r="L22" t="inlineStr">
        <is>
          <t>QE-CLEARING</t>
        </is>
      </c>
      <c r="M22" t="inlineStr">
        <is>
          <t>T100021</t>
        </is>
      </c>
    </row>
    <row r="23">
      <c r="A23" t="inlineStr">
        <is>
          <t>T100022</t>
        </is>
      </c>
      <c r="B23" t="inlineStr">
        <is>
          <t>2026-06-30</t>
        </is>
      </c>
      <c r="C23" t="inlineStr">
        <is>
          <t>11:08:54</t>
        </is>
      </c>
      <c r="D23" t="inlineStr">
        <is>
          <t>KOTAKBANK</t>
        </is>
      </c>
      <c r="E23" t="inlineStr">
        <is>
          <t>Equity</t>
        </is>
      </c>
      <c r="F23" t="inlineStr">
        <is>
          <t>BUY</t>
        </is>
      </c>
      <c r="G23" t="n">
        <v>500</v>
      </c>
      <c r="H23" t="n">
        <v>1789.76</v>
      </c>
      <c r="I23" t="n">
        <v>894880</v>
      </c>
      <c r="J23" t="n">
        <v>313.21</v>
      </c>
      <c r="K23" t="inlineStr">
        <is>
          <t>BSE</t>
        </is>
      </c>
      <c r="L23" t="inlineStr">
        <is>
          <t>QE-CLEARING</t>
        </is>
      </c>
      <c r="M23" t="inlineStr">
        <is>
          <t>T100022</t>
        </is>
      </c>
    </row>
    <row r="24">
      <c r="A24" t="inlineStr">
        <is>
          <t>T100023</t>
        </is>
      </c>
      <c r="B24" t="inlineStr">
        <is>
          <t>2026-06-30</t>
        </is>
      </c>
      <c r="C24" t="inlineStr">
        <is>
          <t>13:36:50</t>
        </is>
      </c>
      <c r="D24" t="inlineStr">
        <is>
          <t>LT</t>
        </is>
      </c>
      <c r="E24" t="inlineStr">
        <is>
          <t>Equity</t>
        </is>
      </c>
      <c r="F24" t="inlineStr">
        <is>
          <t>BUY</t>
        </is>
      </c>
      <c r="G24" t="n">
        <v>250</v>
      </c>
      <c r="H24" t="n">
        <v>3619.7</v>
      </c>
      <c r="I24" t="n">
        <v>904925</v>
      </c>
      <c r="J24" t="n">
        <v>316.72</v>
      </c>
      <c r="K24" t="inlineStr">
        <is>
          <t>NSE</t>
        </is>
      </c>
      <c r="L24" t="inlineStr">
        <is>
          <t>QE-CLEARING</t>
        </is>
      </c>
      <c r="M24" t="inlineStr">
        <is>
          <t>T100023</t>
        </is>
      </c>
    </row>
    <row r="25">
      <c r="A25" t="inlineStr">
        <is>
          <t>T100024</t>
        </is>
      </c>
      <c r="B25" t="inlineStr">
        <is>
          <t>2026-06-30</t>
        </is>
      </c>
      <c r="C25" t="inlineStr">
        <is>
          <t>09:49:35</t>
        </is>
      </c>
      <c r="D25" t="inlineStr">
        <is>
          <t>RELIANCE</t>
        </is>
      </c>
      <c r="E25" t="inlineStr">
        <is>
          <t>Equity</t>
        </is>
      </c>
      <c r="F25" t="inlineStr">
        <is>
          <t>BUY</t>
        </is>
      </c>
      <c r="G25" t="n">
        <v>50</v>
      </c>
      <c r="H25" t="n">
        <v>1417.53</v>
      </c>
      <c r="I25" t="n">
        <v>70876.5</v>
      </c>
      <c r="J25" t="n">
        <v>24.81</v>
      </c>
      <c r="K25" t="inlineStr">
        <is>
          <t>BSE</t>
        </is>
      </c>
      <c r="L25" t="inlineStr">
        <is>
          <t>QE-CLEARING</t>
        </is>
      </c>
      <c r="M25" t="inlineStr">
        <is>
          <t>T100024</t>
        </is>
      </c>
    </row>
    <row r="26">
      <c r="A26" t="inlineStr">
        <is>
          <t>T100025</t>
        </is>
      </c>
      <c r="B26" t="inlineStr">
        <is>
          <t>2026-06-30</t>
        </is>
      </c>
      <c r="C26" t="inlineStr">
        <is>
          <t>12:08:45</t>
        </is>
      </c>
      <c r="D26" t="inlineStr">
        <is>
          <t>HINDUNILVR</t>
        </is>
      </c>
      <c r="E26" t="inlineStr">
        <is>
          <t>Equity</t>
        </is>
      </c>
      <c r="F26" t="inlineStr">
        <is>
          <t>SELL</t>
        </is>
      </c>
      <c r="G26" t="n">
        <v>100</v>
      </c>
      <c r="H26" t="n">
        <v>2369.34</v>
      </c>
      <c r="I26" t="n">
        <v>236934</v>
      </c>
      <c r="J26" t="n">
        <v>82.93000000000001</v>
      </c>
      <c r="K26" t="inlineStr">
        <is>
          <t>BSE</t>
        </is>
      </c>
      <c r="L26" t="inlineStr">
        <is>
          <t>QE-CLEARING</t>
        </is>
      </c>
      <c r="M26" t="inlineStr">
        <is>
          <t>T100025</t>
        </is>
      </c>
    </row>
    <row r="27">
      <c r="A27" t="inlineStr">
        <is>
          <t>T100026</t>
        </is>
      </c>
      <c r="B27" t="inlineStr">
        <is>
          <t>2026-06-30</t>
        </is>
      </c>
      <c r="C27" t="inlineStr">
        <is>
          <t>09:06:13</t>
        </is>
      </c>
      <c r="D27" t="inlineStr">
        <is>
          <t>TCS</t>
        </is>
      </c>
      <c r="E27" t="inlineStr">
        <is>
          <t>Equity</t>
        </is>
      </c>
      <c r="F27" t="inlineStr">
        <is>
          <t>SELL</t>
        </is>
      </c>
      <c r="G27" t="n">
        <v>300</v>
      </c>
      <c r="H27" t="n">
        <v>3900.36</v>
      </c>
      <c r="I27" t="n">
        <v>1170108</v>
      </c>
      <c r="J27" t="n">
        <v>409.54</v>
      </c>
      <c r="K27" t="inlineStr">
        <is>
          <t>NSE</t>
        </is>
      </c>
      <c r="L27" t="inlineStr">
        <is>
          <t>QE-CLEARING</t>
        </is>
      </c>
      <c r="M27" t="inlineStr">
        <is>
          <t>T100026</t>
        </is>
      </c>
    </row>
    <row r="28">
      <c r="A28" t="inlineStr">
        <is>
          <t>T100027</t>
        </is>
      </c>
      <c r="B28" t="inlineStr">
        <is>
          <t>2026-06-30</t>
        </is>
      </c>
      <c r="C28" t="inlineStr">
        <is>
          <t>14:46:49</t>
        </is>
      </c>
      <c r="D28" t="inlineStr">
        <is>
          <t>TATAMOTORS</t>
        </is>
      </c>
      <c r="E28" t="inlineStr">
        <is>
          <t>Equity</t>
        </is>
      </c>
      <c r="F28" t="inlineStr">
        <is>
          <t>SELL</t>
        </is>
      </c>
      <c r="G28" t="n">
        <v>50</v>
      </c>
      <c r="H28" t="n">
        <v>986.0599999999999</v>
      </c>
      <c r="I28" t="n">
        <v>49303</v>
      </c>
      <c r="J28" t="n">
        <v>17.26</v>
      </c>
      <c r="K28" t="inlineStr">
        <is>
          <t>NSE</t>
        </is>
      </c>
      <c r="L28" t="inlineStr">
        <is>
          <t>QE-CLEARING</t>
        </is>
      </c>
      <c r="M28" t="inlineStr">
        <is>
          <t>T100027</t>
        </is>
      </c>
    </row>
    <row r="29">
      <c r="A29" t="inlineStr">
        <is>
          <t>T100028</t>
        </is>
      </c>
      <c r="B29" t="inlineStr">
        <is>
          <t>2026-06-30</t>
        </is>
      </c>
      <c r="C29" t="inlineStr">
        <is>
          <t>12:04:49</t>
        </is>
      </c>
      <c r="D29" t="inlineStr">
        <is>
          <t>AXISBANK</t>
        </is>
      </c>
      <c r="E29" t="inlineStr">
        <is>
          <t>Equity</t>
        </is>
      </c>
      <c r="F29" t="inlineStr">
        <is>
          <t>BUY</t>
        </is>
      </c>
      <c r="G29" t="n">
        <v>500</v>
      </c>
      <c r="H29" t="n">
        <v>1130.21</v>
      </c>
      <c r="I29" t="n">
        <v>565105</v>
      </c>
      <c r="J29" t="n">
        <v>197.79</v>
      </c>
      <c r="K29" t="inlineStr">
        <is>
          <t>NSE</t>
        </is>
      </c>
      <c r="L29" t="inlineStr">
        <is>
          <t>QE-CLEARING</t>
        </is>
      </c>
      <c r="M29" t="inlineStr">
        <is>
          <t>T100028</t>
        </is>
      </c>
    </row>
    <row r="30">
      <c r="A30" t="inlineStr">
        <is>
          <t>T100029</t>
        </is>
      </c>
      <c r="B30" t="inlineStr">
        <is>
          <t>2026-06-30</t>
        </is>
      </c>
      <c r="C30" t="inlineStr">
        <is>
          <t>12:18:14</t>
        </is>
      </c>
      <c r="D30" t="inlineStr">
        <is>
          <t>KOTAKBANK</t>
        </is>
      </c>
      <c r="E30" t="inlineStr">
        <is>
          <t>Equity</t>
        </is>
      </c>
      <c r="F30" t="inlineStr">
        <is>
          <t>BUY</t>
        </is>
      </c>
      <c r="G30" t="n">
        <v>250</v>
      </c>
      <c r="H30" t="n">
        <v>1797.58</v>
      </c>
      <c r="I30" t="n">
        <v>449395</v>
      </c>
      <c r="J30" t="n">
        <v>157.29</v>
      </c>
      <c r="K30" t="inlineStr">
        <is>
          <t>NSE</t>
        </is>
      </c>
      <c r="L30" t="inlineStr">
        <is>
          <t>QE-CLEARING</t>
        </is>
      </c>
      <c r="M30" t="inlineStr">
        <is>
          <t>T100029</t>
        </is>
      </c>
    </row>
    <row r="31">
      <c r="A31" t="inlineStr">
        <is>
          <t>T100030</t>
        </is>
      </c>
      <c r="B31" t="inlineStr">
        <is>
          <t>2026-06-30</t>
        </is>
      </c>
      <c r="C31" t="inlineStr">
        <is>
          <t>15:48:16</t>
        </is>
      </c>
      <c r="D31" t="inlineStr">
        <is>
          <t>LT</t>
        </is>
      </c>
      <c r="E31" t="inlineStr">
        <is>
          <t>Equity</t>
        </is>
      </c>
      <c r="F31" t="inlineStr">
        <is>
          <t>SELL</t>
        </is>
      </c>
      <c r="G31" t="n">
        <v>50</v>
      </c>
      <c r="H31" t="n">
        <v>3626.46</v>
      </c>
      <c r="I31" t="n">
        <v>181323</v>
      </c>
      <c r="J31" t="n">
        <v>63.46</v>
      </c>
      <c r="K31" t="inlineStr">
        <is>
          <t>NSE</t>
        </is>
      </c>
      <c r="L31" t="inlineStr">
        <is>
          <t>QE-CLEARING</t>
        </is>
      </c>
      <c r="M31" t="inlineStr">
        <is>
          <t>T100030</t>
        </is>
      </c>
    </row>
    <row r="32">
      <c r="A32" t="inlineStr">
        <is>
          <t>T100031</t>
        </is>
      </c>
      <c r="B32" t="inlineStr">
        <is>
          <t>2026-06-30</t>
        </is>
      </c>
      <c r="C32" t="inlineStr">
        <is>
          <t>09:37:41</t>
        </is>
      </c>
      <c r="D32" t="inlineStr">
        <is>
          <t>HDFCBANK</t>
        </is>
      </c>
      <c r="E32" t="inlineStr">
        <is>
          <t>Equity</t>
        </is>
      </c>
      <c r="F32" t="inlineStr">
        <is>
          <t>BUY</t>
        </is>
      </c>
      <c r="G32" t="n">
        <v>300</v>
      </c>
      <c r="H32" t="n">
        <v>1679.6</v>
      </c>
      <c r="I32" t="n">
        <v>503880</v>
      </c>
      <c r="J32" t="n">
        <v>176.36</v>
      </c>
      <c r="K32" t="inlineStr">
        <is>
          <t>NSE</t>
        </is>
      </c>
      <c r="L32" t="inlineStr">
        <is>
          <t>QE-CLEARING</t>
        </is>
      </c>
      <c r="M32" t="inlineStr">
        <is>
          <t>T100031</t>
        </is>
      </c>
    </row>
    <row r="33">
      <c r="A33" t="inlineStr">
        <is>
          <t>T100032</t>
        </is>
      </c>
      <c r="B33" t="inlineStr">
        <is>
          <t>2026-06-30</t>
        </is>
      </c>
      <c r="C33" t="inlineStr">
        <is>
          <t>14:54:58</t>
        </is>
      </c>
      <c r="D33" t="inlineStr">
        <is>
          <t>TCS</t>
        </is>
      </c>
      <c r="E33" t="inlineStr">
        <is>
          <t>Equity</t>
        </is>
      </c>
      <c r="F33" t="inlineStr">
        <is>
          <t>SELL</t>
        </is>
      </c>
      <c r="G33" t="n">
        <v>150</v>
      </c>
      <c r="H33" t="n">
        <v>3880.43</v>
      </c>
      <c r="I33" t="n">
        <v>582064.5</v>
      </c>
      <c r="J33" t="n">
        <v>203.72</v>
      </c>
      <c r="K33" t="inlineStr">
        <is>
          <t>NSE</t>
        </is>
      </c>
      <c r="L33" t="inlineStr">
        <is>
          <t>QE-CLEARING</t>
        </is>
      </c>
      <c r="M33" t="inlineStr">
        <is>
          <t>T100032</t>
        </is>
      </c>
    </row>
    <row r="34">
      <c r="A34" t="inlineStr">
        <is>
          <t>T100033</t>
        </is>
      </c>
      <c r="B34" t="inlineStr">
        <is>
          <t>2026-06-30</t>
        </is>
      </c>
      <c r="C34" t="inlineStr">
        <is>
          <t>14:00:59</t>
        </is>
      </c>
      <c r="D34" t="inlineStr">
        <is>
          <t>ITC</t>
        </is>
      </c>
      <c r="E34" t="inlineStr">
        <is>
          <t>Equity</t>
        </is>
      </c>
      <c r="F34" t="inlineStr">
        <is>
          <t>BUY</t>
        </is>
      </c>
      <c r="G34" t="n">
        <v>250</v>
      </c>
      <c r="H34" t="n">
        <v>447.57</v>
      </c>
      <c r="I34" t="n">
        <v>111892.5</v>
      </c>
      <c r="J34" t="n">
        <v>39.16</v>
      </c>
      <c r="K34" t="inlineStr">
        <is>
          <t>NSE</t>
        </is>
      </c>
      <c r="L34" t="inlineStr">
        <is>
          <t>QE-CLEARING</t>
        </is>
      </c>
      <c r="M34" t="inlineStr">
        <is>
          <t>T100033</t>
        </is>
      </c>
    </row>
    <row r="35">
      <c r="A35" t="inlineStr">
        <is>
          <t>T100034</t>
        </is>
      </c>
      <c r="B35" t="inlineStr">
        <is>
          <t>2026-06-30</t>
        </is>
      </c>
      <c r="C35" t="inlineStr">
        <is>
          <t>09:28:50</t>
        </is>
      </c>
      <c r="D35" t="inlineStr">
        <is>
          <t>ITC</t>
        </is>
      </c>
      <c r="E35" t="inlineStr">
        <is>
          <t>Equity</t>
        </is>
      </c>
      <c r="F35" t="inlineStr">
        <is>
          <t>SELL</t>
        </is>
      </c>
      <c r="G35" t="n">
        <v>50</v>
      </c>
      <c r="H35" t="n">
        <v>448.36</v>
      </c>
      <c r="I35" t="n">
        <v>22418</v>
      </c>
      <c r="J35" t="n">
        <v>7.85</v>
      </c>
      <c r="K35" t="inlineStr">
        <is>
          <t>NSE</t>
        </is>
      </c>
      <c r="L35" t="inlineStr">
        <is>
          <t>QE-CLEARING</t>
        </is>
      </c>
      <c r="M35" t="inlineStr">
        <is>
          <t>T100034</t>
        </is>
      </c>
    </row>
    <row r="36">
      <c r="A36" t="inlineStr">
        <is>
          <t>T100035</t>
        </is>
      </c>
      <c r="B36" t="inlineStr">
        <is>
          <t>2026-06-30</t>
        </is>
      </c>
      <c r="C36" t="inlineStr">
        <is>
          <t>10:13:33</t>
        </is>
      </c>
      <c r="D36" t="inlineStr">
        <is>
          <t>ITC</t>
        </is>
      </c>
      <c r="E36" t="inlineStr">
        <is>
          <t>Equity</t>
        </is>
      </c>
      <c r="F36" t="inlineStr">
        <is>
          <t>BUY</t>
        </is>
      </c>
      <c r="G36" t="n">
        <v>150</v>
      </c>
      <c r="H36" t="n">
        <v>449.26</v>
      </c>
      <c r="I36" t="n">
        <v>67389</v>
      </c>
      <c r="J36" t="n">
        <v>23.59</v>
      </c>
      <c r="K36" t="inlineStr">
        <is>
          <t>BSE</t>
        </is>
      </c>
      <c r="L36" t="inlineStr">
        <is>
          <t>QE-CLEARING</t>
        </is>
      </c>
      <c r="M36" t="inlineStr">
        <is>
          <t>T100035</t>
        </is>
      </c>
    </row>
    <row r="37">
      <c r="A37" t="inlineStr">
        <is>
          <t>T100036</t>
        </is>
      </c>
      <c r="B37" t="inlineStr">
        <is>
          <t>2026-06-30</t>
        </is>
      </c>
      <c r="C37" t="inlineStr">
        <is>
          <t>15:14:31</t>
        </is>
      </c>
      <c r="D37" t="inlineStr">
        <is>
          <t>KOTAKBANK</t>
        </is>
      </c>
      <c r="E37" t="inlineStr">
        <is>
          <t>Equity</t>
        </is>
      </c>
      <c r="F37" t="inlineStr">
        <is>
          <t>SELL</t>
        </is>
      </c>
      <c r="G37" t="n">
        <v>150</v>
      </c>
      <c r="H37" t="n">
        <v>1800.74</v>
      </c>
      <c r="I37" t="n">
        <v>270111</v>
      </c>
      <c r="J37" t="n">
        <v>94.54000000000001</v>
      </c>
      <c r="K37" t="inlineStr">
        <is>
          <t>NSE</t>
        </is>
      </c>
      <c r="L37" t="inlineStr">
        <is>
          <t>QE-CLEARING</t>
        </is>
      </c>
      <c r="M37" t="inlineStr">
        <is>
          <t>T100036</t>
        </is>
      </c>
    </row>
    <row r="38">
      <c r="A38" t="inlineStr">
        <is>
          <t>T100037</t>
        </is>
      </c>
      <c r="B38" t="inlineStr">
        <is>
          <t>2026-06-30</t>
        </is>
      </c>
      <c r="C38" t="inlineStr">
        <is>
          <t>13:06:28</t>
        </is>
      </c>
      <c r="D38" t="inlineStr">
        <is>
          <t>TATAMOTORS</t>
        </is>
      </c>
      <c r="E38" t="inlineStr">
        <is>
          <t>Equity</t>
        </is>
      </c>
      <c r="F38" t="inlineStr">
        <is>
          <t>SELL</t>
        </is>
      </c>
      <c r="G38" t="n">
        <v>500</v>
      </c>
      <c r="H38" t="n">
        <v>982.38</v>
      </c>
      <c r="I38" t="n">
        <v>491190</v>
      </c>
      <c r="J38" t="n">
        <v>171.92</v>
      </c>
      <c r="K38" t="inlineStr">
        <is>
          <t>BSE</t>
        </is>
      </c>
      <c r="L38" t="inlineStr">
        <is>
          <t>QE-CLEARING</t>
        </is>
      </c>
      <c r="M38" t="inlineStr">
        <is>
          <t>T100037</t>
        </is>
      </c>
    </row>
    <row r="39">
      <c r="A39" t="inlineStr">
        <is>
          <t>T100038</t>
        </is>
      </c>
      <c r="B39" t="inlineStr">
        <is>
          <t>2026-06-30</t>
        </is>
      </c>
      <c r="C39" t="inlineStr">
        <is>
          <t>13:51:50</t>
        </is>
      </c>
      <c r="D39" t="inlineStr">
        <is>
          <t>HDFCBANK</t>
        </is>
      </c>
      <c r="E39" t="inlineStr">
        <is>
          <t>Equity</t>
        </is>
      </c>
      <c r="F39" t="inlineStr">
        <is>
          <t>SELL</t>
        </is>
      </c>
      <c r="G39" t="n">
        <v>150</v>
      </c>
      <c r="H39" t="n">
        <v>1691.53</v>
      </c>
      <c r="I39" t="n">
        <v>253729.5</v>
      </c>
      <c r="J39" t="n">
        <v>88.81</v>
      </c>
      <c r="K39" t="inlineStr">
        <is>
          <t>NSE</t>
        </is>
      </c>
      <c r="L39" t="inlineStr">
        <is>
          <t>QE-CLEARING</t>
        </is>
      </c>
      <c r="M39" t="inlineStr">
        <is>
          <t>T100038</t>
        </is>
      </c>
    </row>
    <row r="40">
      <c r="A40" t="inlineStr">
        <is>
          <t>T100039</t>
        </is>
      </c>
      <c r="B40" t="inlineStr">
        <is>
          <t>2026-06-30</t>
        </is>
      </c>
      <c r="C40" t="inlineStr">
        <is>
          <t>11:33:07</t>
        </is>
      </c>
      <c r="D40" t="inlineStr">
        <is>
          <t>INFY</t>
        </is>
      </c>
      <c r="E40" t="inlineStr">
        <is>
          <t>Equity</t>
        </is>
      </c>
      <c r="F40" t="inlineStr">
        <is>
          <t>BUY</t>
        </is>
      </c>
      <c r="G40" t="n">
        <v>300</v>
      </c>
      <c r="H40" t="n">
        <v>1554.87</v>
      </c>
      <c r="I40" t="n">
        <v>466461</v>
      </c>
      <c r="J40" t="n">
        <v>163.26</v>
      </c>
      <c r="K40" t="inlineStr">
        <is>
          <t>NSE</t>
        </is>
      </c>
      <c r="L40" t="inlineStr">
        <is>
          <t>QE-CLEARING</t>
        </is>
      </c>
      <c r="M40" t="inlineStr">
        <is>
          <t>T100039</t>
        </is>
      </c>
    </row>
    <row r="41">
      <c r="A41" t="inlineStr">
        <is>
          <t>T100040</t>
        </is>
      </c>
      <c r="B41" t="inlineStr">
        <is>
          <t>2026-06-30</t>
        </is>
      </c>
      <c r="C41" t="inlineStr">
        <is>
          <t>15:16:11</t>
        </is>
      </c>
      <c r="D41" t="inlineStr">
        <is>
          <t>HDFCBANK</t>
        </is>
      </c>
      <c r="E41" t="inlineStr">
        <is>
          <t>Equity</t>
        </is>
      </c>
      <c r="F41" t="inlineStr">
        <is>
          <t>BUY</t>
        </is>
      </c>
      <c r="G41" t="n">
        <v>50</v>
      </c>
      <c r="H41" t="n">
        <v>1685.75</v>
      </c>
      <c r="I41" t="n">
        <v>84287.5</v>
      </c>
      <c r="J41" t="n">
        <v>29.5</v>
      </c>
      <c r="K41" t="inlineStr">
        <is>
          <t>BSE</t>
        </is>
      </c>
      <c r="L41" t="inlineStr">
        <is>
          <t>QE-CLEARING</t>
        </is>
      </c>
      <c r="M41" t="inlineStr">
        <is>
          <t>T100040</t>
        </is>
      </c>
    </row>
    <row r="42">
      <c r="A42" t="inlineStr">
        <is>
          <t>T100041</t>
        </is>
      </c>
      <c r="B42" t="inlineStr">
        <is>
          <t>2026-06-30</t>
        </is>
      </c>
      <c r="C42" t="inlineStr">
        <is>
          <t>15:02:37</t>
        </is>
      </c>
      <c r="D42" t="inlineStr">
        <is>
          <t>INFY</t>
        </is>
      </c>
      <c r="E42" t="inlineStr">
        <is>
          <t>Equity</t>
        </is>
      </c>
      <c r="F42" t="inlineStr">
        <is>
          <t>BUY</t>
        </is>
      </c>
      <c r="G42" t="n">
        <v>300</v>
      </c>
      <c r="H42" t="n">
        <v>1556.02</v>
      </c>
      <c r="I42" t="n">
        <v>466806</v>
      </c>
      <c r="J42" t="n">
        <v>163.38</v>
      </c>
      <c r="K42" t="inlineStr">
        <is>
          <t>BSE</t>
        </is>
      </c>
      <c r="L42" t="inlineStr">
        <is>
          <t>QE-CLEARING</t>
        </is>
      </c>
      <c r="M42" t="inlineStr">
        <is>
          <t>T100041</t>
        </is>
      </c>
    </row>
    <row r="43">
      <c r="A43" t="inlineStr">
        <is>
          <t>T100042</t>
        </is>
      </c>
      <c r="B43" t="inlineStr">
        <is>
          <t>2026-06-30</t>
        </is>
      </c>
      <c r="C43" t="inlineStr">
        <is>
          <t>10:24:28</t>
        </is>
      </c>
      <c r="D43" t="inlineStr">
        <is>
          <t>ITC</t>
        </is>
      </c>
      <c r="E43" t="inlineStr">
        <is>
          <t>Equity</t>
        </is>
      </c>
      <c r="F43" t="inlineStr">
        <is>
          <t>SELL</t>
        </is>
      </c>
      <c r="G43" t="n">
        <v>200</v>
      </c>
      <c r="H43" t="n">
        <v>447.93</v>
      </c>
      <c r="I43" t="n">
        <v>89586</v>
      </c>
      <c r="J43" t="n">
        <v>31.36</v>
      </c>
      <c r="K43" t="inlineStr">
        <is>
          <t>NSE</t>
        </is>
      </c>
      <c r="L43" t="inlineStr">
        <is>
          <t>QE-CLEARING</t>
        </is>
      </c>
      <c r="M43" t="inlineStr">
        <is>
          <t>T100042</t>
        </is>
      </c>
    </row>
    <row r="44">
      <c r="A44" t="inlineStr">
        <is>
          <t>T100043</t>
        </is>
      </c>
      <c r="B44" t="inlineStr">
        <is>
          <t>2026-06-30</t>
        </is>
      </c>
      <c r="C44" t="inlineStr">
        <is>
          <t>15:27:52</t>
        </is>
      </c>
      <c r="D44" t="inlineStr">
        <is>
          <t>BAJFINANCE</t>
        </is>
      </c>
      <c r="E44" t="inlineStr">
        <is>
          <t>Equity</t>
        </is>
      </c>
      <c r="F44" t="inlineStr">
        <is>
          <t>SELL</t>
        </is>
      </c>
      <c r="G44" t="n">
        <v>100</v>
      </c>
      <c r="H44" t="n">
        <v>7177.18</v>
      </c>
      <c r="I44" t="n">
        <v>717718</v>
      </c>
      <c r="J44" t="n">
        <v>251.2</v>
      </c>
      <c r="K44" t="inlineStr">
        <is>
          <t>NSE</t>
        </is>
      </c>
      <c r="L44" t="inlineStr">
        <is>
          <t>QE-CLEARING</t>
        </is>
      </c>
      <c r="M44" t="inlineStr">
        <is>
          <t>T100043</t>
        </is>
      </c>
    </row>
    <row r="45">
      <c r="A45" t="inlineStr">
        <is>
          <t>T100044</t>
        </is>
      </c>
      <c r="B45" t="inlineStr">
        <is>
          <t>2026-06-30</t>
        </is>
      </c>
      <c r="C45" t="inlineStr">
        <is>
          <t>10:00:22</t>
        </is>
      </c>
      <c r="D45" t="inlineStr">
        <is>
          <t>TCS</t>
        </is>
      </c>
      <c r="E45" t="inlineStr">
        <is>
          <t>Equity</t>
        </is>
      </c>
      <c r="F45" t="inlineStr">
        <is>
          <t>BUY</t>
        </is>
      </c>
      <c r="G45" t="n">
        <v>300</v>
      </c>
      <c r="H45" t="n">
        <v>3883.27</v>
      </c>
      <c r="I45" t="n">
        <v>1164981</v>
      </c>
      <c r="J45" t="n">
        <v>407.74</v>
      </c>
      <c r="K45" t="inlineStr">
        <is>
          <t>NSE</t>
        </is>
      </c>
      <c r="L45" t="inlineStr">
        <is>
          <t>QE-CLEARING</t>
        </is>
      </c>
      <c r="M45" t="inlineStr">
        <is>
          <t>T100044</t>
        </is>
      </c>
    </row>
    <row r="46">
      <c r="A46" t="inlineStr">
        <is>
          <t>T100045</t>
        </is>
      </c>
      <c r="B46" t="inlineStr">
        <is>
          <t>2026-06-30</t>
        </is>
      </c>
      <c r="C46" t="inlineStr">
        <is>
          <t>14:55:00</t>
        </is>
      </c>
      <c r="D46" t="inlineStr">
        <is>
          <t>BAJFINANCE</t>
        </is>
      </c>
      <c r="E46" t="inlineStr">
        <is>
          <t>Equity</t>
        </is>
      </c>
      <c r="F46" t="inlineStr">
        <is>
          <t>SELL</t>
        </is>
      </c>
      <c r="G46" t="n">
        <v>250</v>
      </c>
      <c r="H46" t="n">
        <v>7159.74</v>
      </c>
      <c r="I46" t="n">
        <v>1789935</v>
      </c>
      <c r="J46" t="n">
        <v>626.48</v>
      </c>
      <c r="K46" t="inlineStr">
        <is>
          <t>NSE</t>
        </is>
      </c>
      <c r="L46" t="inlineStr">
        <is>
          <t>QE-CLEARING</t>
        </is>
      </c>
      <c r="M46" t="inlineStr">
        <is>
          <t>T100045</t>
        </is>
      </c>
    </row>
    <row r="47">
      <c r="A47" t="inlineStr">
        <is>
          <t>T100046</t>
        </is>
      </c>
      <c r="B47" t="inlineStr">
        <is>
          <t>2026-06-30</t>
        </is>
      </c>
      <c r="C47" t="inlineStr">
        <is>
          <t>13:11:22</t>
        </is>
      </c>
      <c r="D47" t="inlineStr">
        <is>
          <t>KOTAKBANK</t>
        </is>
      </c>
      <c r="E47" t="inlineStr">
        <is>
          <t>Equity</t>
        </is>
      </c>
      <c r="F47" t="inlineStr">
        <is>
          <t>SELL</t>
        </is>
      </c>
      <c r="G47" t="n">
        <v>200</v>
      </c>
      <c r="H47" t="n">
        <v>1800.89</v>
      </c>
      <c r="I47" t="n">
        <v>360178</v>
      </c>
      <c r="J47" t="n">
        <v>126.06</v>
      </c>
      <c r="K47" t="inlineStr">
        <is>
          <t>NSE</t>
        </is>
      </c>
      <c r="L47" t="inlineStr">
        <is>
          <t>QE-CLEARING</t>
        </is>
      </c>
      <c r="M47" t="inlineStr">
        <is>
          <t>T100046</t>
        </is>
      </c>
    </row>
    <row r="48">
      <c r="A48" t="inlineStr">
        <is>
          <t>T100047</t>
        </is>
      </c>
      <c r="B48" t="inlineStr">
        <is>
          <t>2026-06-30</t>
        </is>
      </c>
      <c r="C48" t="inlineStr">
        <is>
          <t>14:37:42</t>
        </is>
      </c>
      <c r="D48" t="inlineStr">
        <is>
          <t>HINDUNILVR</t>
        </is>
      </c>
      <c r="E48" t="inlineStr">
        <is>
          <t>Equity</t>
        </is>
      </c>
      <c r="F48" t="inlineStr">
        <is>
          <t>BUY</t>
        </is>
      </c>
      <c r="G48" t="n">
        <v>100</v>
      </c>
      <c r="H48" t="n">
        <v>2351.96</v>
      </c>
      <c r="I48" t="n">
        <v>235196</v>
      </c>
      <c r="J48" t="n">
        <v>82.31999999999999</v>
      </c>
      <c r="K48" t="inlineStr">
        <is>
          <t>NSE</t>
        </is>
      </c>
      <c r="L48" t="inlineStr">
        <is>
          <t>QE-CLEARING</t>
        </is>
      </c>
      <c r="M48" t="inlineStr">
        <is>
          <t>T100047</t>
        </is>
      </c>
    </row>
    <row r="49">
      <c r="A49" t="inlineStr">
        <is>
          <t>T100048</t>
        </is>
      </c>
      <c r="B49" t="inlineStr">
        <is>
          <t>2026-06-30</t>
        </is>
      </c>
      <c r="C49" t="inlineStr">
        <is>
          <t>11:31:39</t>
        </is>
      </c>
      <c r="D49" t="inlineStr">
        <is>
          <t>AXISBANK</t>
        </is>
      </c>
      <c r="E49" t="inlineStr">
        <is>
          <t>Equity</t>
        </is>
      </c>
      <c r="F49" t="inlineStr">
        <is>
          <t>SELL</t>
        </is>
      </c>
      <c r="G49" t="n">
        <v>250</v>
      </c>
      <c r="H49" t="n">
        <v>1134.39</v>
      </c>
      <c r="I49" t="n">
        <v>283597.5</v>
      </c>
      <c r="J49" t="n">
        <v>99.26000000000001</v>
      </c>
      <c r="K49" t="inlineStr">
        <is>
          <t>BSE</t>
        </is>
      </c>
      <c r="L49" t="inlineStr">
        <is>
          <t>QE-CLEARING</t>
        </is>
      </c>
      <c r="M49" t="inlineStr">
        <is>
          <t>T100048</t>
        </is>
      </c>
    </row>
    <row r="50">
      <c r="A50" t="inlineStr">
        <is>
          <t>T100049</t>
        </is>
      </c>
      <c r="B50" t="inlineStr">
        <is>
          <t>2026-06-30</t>
        </is>
      </c>
      <c r="C50" t="inlineStr">
        <is>
          <t>09:25:12</t>
        </is>
      </c>
      <c r="D50" t="inlineStr">
        <is>
          <t>ITC</t>
        </is>
      </c>
      <c r="E50" t="inlineStr">
        <is>
          <t>Equity</t>
        </is>
      </c>
      <c r="F50" t="inlineStr">
        <is>
          <t>SELL</t>
        </is>
      </c>
      <c r="G50" t="n">
        <v>100</v>
      </c>
      <c r="H50" t="n">
        <v>449.48</v>
      </c>
      <c r="I50" t="n">
        <v>44948</v>
      </c>
      <c r="J50" t="n">
        <v>15.73</v>
      </c>
      <c r="K50" t="inlineStr">
        <is>
          <t>NSE</t>
        </is>
      </c>
      <c r="L50" t="inlineStr">
        <is>
          <t>QE-CLEARING</t>
        </is>
      </c>
      <c r="M50" t="inlineStr">
        <is>
          <t>T100049</t>
        </is>
      </c>
    </row>
    <row r="51">
      <c r="A51" t="inlineStr">
        <is>
          <t>T100050</t>
        </is>
      </c>
      <c r="B51" t="inlineStr">
        <is>
          <t>2026-06-30</t>
        </is>
      </c>
      <c r="C51" t="inlineStr">
        <is>
          <t>14:33:37</t>
        </is>
      </c>
      <c r="D51" t="inlineStr">
        <is>
          <t>ITC</t>
        </is>
      </c>
      <c r="E51" t="inlineStr">
        <is>
          <t>Equity</t>
        </is>
      </c>
      <c r="F51" t="inlineStr">
        <is>
          <t>BUY</t>
        </is>
      </c>
      <c r="G51" t="n">
        <v>200</v>
      </c>
      <c r="H51" t="n">
        <v>447.65</v>
      </c>
      <c r="I51" t="n">
        <v>89530</v>
      </c>
      <c r="J51" t="n">
        <v>31.34</v>
      </c>
      <c r="K51" t="inlineStr">
        <is>
          <t>NSE</t>
        </is>
      </c>
      <c r="L51" t="inlineStr">
        <is>
          <t>QE-CLEARING</t>
        </is>
      </c>
      <c r="M51" t="inlineStr">
        <is>
          <t>T100050</t>
        </is>
      </c>
    </row>
    <row r="52">
      <c r="A52" t="inlineStr">
        <is>
          <t>T100051</t>
        </is>
      </c>
      <c r="B52" t="inlineStr">
        <is>
          <t>2026-06-30</t>
        </is>
      </c>
      <c r="C52" t="inlineStr">
        <is>
          <t>15:56:02</t>
        </is>
      </c>
      <c r="D52" t="inlineStr">
        <is>
          <t>AXISBANK</t>
        </is>
      </c>
      <c r="E52" t="inlineStr">
        <is>
          <t>Equity</t>
        </is>
      </c>
      <c r="F52" t="inlineStr">
        <is>
          <t>BUY</t>
        </is>
      </c>
      <c r="G52" t="n">
        <v>300</v>
      </c>
      <c r="H52" t="n">
        <v>1126.03</v>
      </c>
      <c r="I52" t="n">
        <v>337809</v>
      </c>
      <c r="J52" t="n">
        <v>118.23</v>
      </c>
      <c r="K52" t="inlineStr">
        <is>
          <t>BSE</t>
        </is>
      </c>
      <c r="L52" t="inlineStr">
        <is>
          <t>QE-CLEARING</t>
        </is>
      </c>
      <c r="M52" t="inlineStr">
        <is>
          <t>T100051</t>
        </is>
      </c>
    </row>
    <row r="53">
      <c r="A53" t="inlineStr">
        <is>
          <t>T100052</t>
        </is>
      </c>
      <c r="B53" t="inlineStr">
        <is>
          <t>2026-06-30</t>
        </is>
      </c>
      <c r="C53" t="inlineStr">
        <is>
          <t>14:45:39</t>
        </is>
      </c>
      <c r="D53" t="inlineStr">
        <is>
          <t>INFY</t>
        </is>
      </c>
      <c r="E53" t="inlineStr">
        <is>
          <t>Equity</t>
        </is>
      </c>
      <c r="F53" t="inlineStr">
        <is>
          <t>BUY</t>
        </is>
      </c>
      <c r="G53" t="n">
        <v>300</v>
      </c>
      <c r="H53" t="n">
        <v>1554.92</v>
      </c>
      <c r="I53" t="n">
        <v>466476</v>
      </c>
      <c r="J53" t="n">
        <v>163.27</v>
      </c>
      <c r="K53" t="inlineStr">
        <is>
          <t>BSE</t>
        </is>
      </c>
      <c r="L53" t="inlineStr">
        <is>
          <t>QE-CLEARING</t>
        </is>
      </c>
      <c r="M53" t="inlineStr">
        <is>
          <t>T100052</t>
        </is>
      </c>
    </row>
    <row r="54">
      <c r="A54" t="inlineStr">
        <is>
          <t>T100053</t>
        </is>
      </c>
      <c r="B54" t="inlineStr">
        <is>
          <t>2026-06-30</t>
        </is>
      </c>
      <c r="C54" t="inlineStr">
        <is>
          <t>12:30:51</t>
        </is>
      </c>
      <c r="D54" t="inlineStr">
        <is>
          <t>HINDUNILVR</t>
        </is>
      </c>
      <c r="E54" t="inlineStr">
        <is>
          <t>Equity</t>
        </is>
      </c>
      <c r="F54" t="inlineStr">
        <is>
          <t>SELL</t>
        </is>
      </c>
      <c r="G54" t="n">
        <v>100</v>
      </c>
      <c r="H54" t="n">
        <v>2361.31</v>
      </c>
      <c r="I54" t="n">
        <v>236131</v>
      </c>
      <c r="J54" t="n">
        <v>82.65000000000001</v>
      </c>
      <c r="K54" t="inlineStr">
        <is>
          <t>NSE</t>
        </is>
      </c>
      <c r="L54" t="inlineStr">
        <is>
          <t>QE-CLEARING</t>
        </is>
      </c>
      <c r="M54" t="inlineStr">
        <is>
          <t>T100053</t>
        </is>
      </c>
    </row>
    <row r="55">
      <c r="A55" t="inlineStr">
        <is>
          <t>T100054</t>
        </is>
      </c>
      <c r="B55" t="inlineStr">
        <is>
          <t>2026-06-30</t>
        </is>
      </c>
      <c r="C55" t="inlineStr">
        <is>
          <t>10:20:27</t>
        </is>
      </c>
      <c r="D55" t="inlineStr">
        <is>
          <t>RELIANCE</t>
        </is>
      </c>
      <c r="E55" t="inlineStr">
        <is>
          <t>Equity</t>
        </is>
      </c>
      <c r="F55" t="inlineStr">
        <is>
          <t>SELL</t>
        </is>
      </c>
      <c r="G55" t="n">
        <v>150</v>
      </c>
      <c r="H55" t="n">
        <v>1416.97</v>
      </c>
      <c r="I55" t="n">
        <v>212545.5</v>
      </c>
      <c r="J55" t="n">
        <v>74.39</v>
      </c>
      <c r="K55" t="inlineStr">
        <is>
          <t>BSE</t>
        </is>
      </c>
      <c r="L55" t="inlineStr">
        <is>
          <t>QE-CLEARING</t>
        </is>
      </c>
      <c r="M55" t="inlineStr">
        <is>
          <t>T100054</t>
        </is>
      </c>
    </row>
    <row r="56">
      <c r="A56" t="inlineStr">
        <is>
          <t>T100055</t>
        </is>
      </c>
      <c r="B56" t="inlineStr">
        <is>
          <t>2026-06-30</t>
        </is>
      </c>
      <c r="C56" t="inlineStr">
        <is>
          <t>15:33:34</t>
        </is>
      </c>
      <c r="D56" t="inlineStr">
        <is>
          <t>KOTAKBANK</t>
        </is>
      </c>
      <c r="E56" t="inlineStr">
        <is>
          <t>Equity</t>
        </is>
      </c>
      <c r="F56" t="inlineStr">
        <is>
          <t>BUY</t>
        </is>
      </c>
      <c r="G56" t="n">
        <v>100</v>
      </c>
      <c r="H56" t="n">
        <v>1800.96</v>
      </c>
      <c r="I56" t="n">
        <v>180096</v>
      </c>
      <c r="J56" t="n">
        <v>63.03</v>
      </c>
      <c r="K56" t="inlineStr">
        <is>
          <t>BSE</t>
        </is>
      </c>
      <c r="L56" t="inlineStr">
        <is>
          <t>QE-CLEARING</t>
        </is>
      </c>
      <c r="M56" t="inlineStr">
        <is>
          <t>T100055</t>
        </is>
      </c>
    </row>
    <row r="57">
      <c r="A57" t="inlineStr">
        <is>
          <t>T100056</t>
        </is>
      </c>
      <c r="B57" t="inlineStr">
        <is>
          <t>2026-06-30</t>
        </is>
      </c>
      <c r="C57" t="inlineStr">
        <is>
          <t>14:36:50</t>
        </is>
      </c>
      <c r="D57" t="inlineStr">
        <is>
          <t>KOTAKBANK</t>
        </is>
      </c>
      <c r="E57" t="inlineStr">
        <is>
          <t>Equity</t>
        </is>
      </c>
      <c r="F57" t="inlineStr">
        <is>
          <t>SELL</t>
        </is>
      </c>
      <c r="G57" t="n">
        <v>75</v>
      </c>
      <c r="H57" t="n">
        <v>1800.54</v>
      </c>
      <c r="I57" t="n">
        <v>135040.5</v>
      </c>
      <c r="J57" t="n">
        <v>47.26</v>
      </c>
      <c r="K57" t="inlineStr">
        <is>
          <t>BSE</t>
        </is>
      </c>
      <c r="L57" t="inlineStr">
        <is>
          <t>QE-CLEARING</t>
        </is>
      </c>
      <c r="M57" t="inlineStr">
        <is>
          <t>T100056</t>
        </is>
      </c>
    </row>
    <row r="58">
      <c r="A58" t="inlineStr">
        <is>
          <t>T100057</t>
        </is>
      </c>
      <c r="B58" t="inlineStr">
        <is>
          <t>2026-06-30</t>
        </is>
      </c>
      <c r="C58" t="inlineStr">
        <is>
          <t>10:35:38</t>
        </is>
      </c>
      <c r="D58" t="inlineStr">
        <is>
          <t>INFY</t>
        </is>
      </c>
      <c r="E58" t="inlineStr">
        <is>
          <t>Equity</t>
        </is>
      </c>
      <c r="F58" t="inlineStr">
        <is>
          <t>BUY</t>
        </is>
      </c>
      <c r="G58" t="n">
        <v>500</v>
      </c>
      <c r="H58" t="n">
        <v>1561.36</v>
      </c>
      <c r="I58" t="n">
        <v>780680</v>
      </c>
      <c r="J58" t="n">
        <v>273.24</v>
      </c>
      <c r="K58" t="inlineStr">
        <is>
          <t>NSE</t>
        </is>
      </c>
      <c r="L58" t="inlineStr">
        <is>
          <t>QE-CLEARING</t>
        </is>
      </c>
      <c r="M58" t="inlineStr">
        <is>
          <t>T100057</t>
        </is>
      </c>
    </row>
    <row r="59">
      <c r="A59" t="inlineStr">
        <is>
          <t>T100058</t>
        </is>
      </c>
      <c r="B59" t="inlineStr">
        <is>
          <t>2026-06-30</t>
        </is>
      </c>
      <c r="C59" t="inlineStr">
        <is>
          <t>15:51:21</t>
        </is>
      </c>
      <c r="D59" t="inlineStr">
        <is>
          <t>INFY</t>
        </is>
      </c>
      <c r="E59" t="inlineStr">
        <is>
          <t>Equity</t>
        </is>
      </c>
      <c r="F59" t="inlineStr">
        <is>
          <t>SELL</t>
        </is>
      </c>
      <c r="G59" t="n">
        <v>300</v>
      </c>
      <c r="H59" t="n">
        <v>1556.38</v>
      </c>
      <c r="I59" t="n">
        <v>466914</v>
      </c>
      <c r="J59" t="n">
        <v>163.42</v>
      </c>
      <c r="K59" t="inlineStr">
        <is>
          <t>BSE</t>
        </is>
      </c>
      <c r="L59" t="inlineStr">
        <is>
          <t>QE-CLEARING</t>
        </is>
      </c>
      <c r="M59" t="inlineStr">
        <is>
          <t>T100058</t>
        </is>
      </c>
    </row>
    <row r="60">
      <c r="A60" t="inlineStr">
        <is>
          <t>T100059</t>
        </is>
      </c>
      <c r="B60" t="inlineStr">
        <is>
          <t>2026-06-30</t>
        </is>
      </c>
      <c r="C60" t="inlineStr">
        <is>
          <t>09:30:11</t>
        </is>
      </c>
      <c r="D60" t="inlineStr">
        <is>
          <t>MARUTI</t>
        </is>
      </c>
      <c r="E60" t="inlineStr">
        <is>
          <t>Equity</t>
        </is>
      </c>
      <c r="F60" t="inlineStr">
        <is>
          <t>SELL</t>
        </is>
      </c>
      <c r="G60" t="n">
        <v>300</v>
      </c>
      <c r="H60" t="n">
        <v>12646.97</v>
      </c>
      <c r="I60" t="n">
        <v>3794091</v>
      </c>
      <c r="J60" t="n">
        <v>1327.93</v>
      </c>
      <c r="K60" t="inlineStr">
        <is>
          <t>BSE</t>
        </is>
      </c>
      <c r="L60" t="inlineStr">
        <is>
          <t>QE-CLEARING</t>
        </is>
      </c>
      <c r="M60" t="inlineStr">
        <is>
          <t>T100059</t>
        </is>
      </c>
    </row>
    <row r="61">
      <c r="A61" t="inlineStr">
        <is>
          <t>T100060</t>
        </is>
      </c>
      <c r="B61" t="inlineStr">
        <is>
          <t>2026-06-30</t>
        </is>
      </c>
      <c r="C61" t="inlineStr">
        <is>
          <t>14:31:50</t>
        </is>
      </c>
      <c r="D61" t="inlineStr">
        <is>
          <t>TCS</t>
        </is>
      </c>
      <c r="E61" t="inlineStr">
        <is>
          <t>Equity</t>
        </is>
      </c>
      <c r="F61" t="inlineStr">
        <is>
          <t>SELL</t>
        </is>
      </c>
      <c r="G61" t="n">
        <v>50</v>
      </c>
      <c r="H61" t="n">
        <v>3882.75</v>
      </c>
      <c r="I61" t="n">
        <v>194137.5</v>
      </c>
      <c r="J61" t="n">
        <v>67.95</v>
      </c>
      <c r="K61" t="inlineStr">
        <is>
          <t>BSE</t>
        </is>
      </c>
      <c r="L61" t="inlineStr">
        <is>
          <t>QE-CLEARING</t>
        </is>
      </c>
      <c r="M61" t="inlineStr">
        <is>
          <t>T100060</t>
        </is>
      </c>
    </row>
    <row r="62">
      <c r="A62" t="inlineStr">
        <is>
          <t>T100061</t>
        </is>
      </c>
      <c r="B62" t="inlineStr">
        <is>
          <t>2026-06-30</t>
        </is>
      </c>
      <c r="C62" t="inlineStr">
        <is>
          <t>14:38:06</t>
        </is>
      </c>
      <c r="D62" t="inlineStr">
        <is>
          <t>HINDUNILVR</t>
        </is>
      </c>
      <c r="E62" t="inlineStr">
        <is>
          <t>Equity</t>
        </is>
      </c>
      <c r="F62" t="inlineStr">
        <is>
          <t>SELL</t>
        </is>
      </c>
      <c r="G62" t="n">
        <v>75</v>
      </c>
      <c r="H62" t="n">
        <v>2351.83</v>
      </c>
      <c r="I62" t="n">
        <v>176387.25</v>
      </c>
      <c r="J62" t="n">
        <v>61.74</v>
      </c>
      <c r="K62" t="inlineStr">
        <is>
          <t>BSE</t>
        </is>
      </c>
      <c r="L62" t="inlineStr">
        <is>
          <t>QE-CLEARING</t>
        </is>
      </c>
      <c r="M62" t="inlineStr">
        <is>
          <t>T100061</t>
        </is>
      </c>
    </row>
    <row r="63">
      <c r="A63" t="inlineStr">
        <is>
          <t>T100062</t>
        </is>
      </c>
      <c r="B63" t="inlineStr">
        <is>
          <t>2026-06-30</t>
        </is>
      </c>
      <c r="C63" t="inlineStr">
        <is>
          <t>15:27:12</t>
        </is>
      </c>
      <c r="D63" t="inlineStr">
        <is>
          <t>INFY</t>
        </is>
      </c>
      <c r="E63" t="inlineStr">
        <is>
          <t>Equity</t>
        </is>
      </c>
      <c r="F63" t="inlineStr">
        <is>
          <t>SELL</t>
        </is>
      </c>
      <c r="G63" t="n">
        <v>150</v>
      </c>
      <c r="H63" t="n">
        <v>1559.69</v>
      </c>
      <c r="I63" t="n">
        <v>233953.5</v>
      </c>
      <c r="J63" t="n">
        <v>81.88</v>
      </c>
      <c r="K63" t="inlineStr">
        <is>
          <t>NSE</t>
        </is>
      </c>
      <c r="L63" t="inlineStr">
        <is>
          <t>QE-CLEARING</t>
        </is>
      </c>
      <c r="M63" t="inlineStr">
        <is>
          <t>T100062</t>
        </is>
      </c>
    </row>
    <row r="64">
      <c r="A64" t="inlineStr">
        <is>
          <t>T100063</t>
        </is>
      </c>
      <c r="B64" t="inlineStr">
        <is>
          <t>2026-06-30</t>
        </is>
      </c>
      <c r="C64" t="inlineStr">
        <is>
          <t>12:22:56</t>
        </is>
      </c>
      <c r="D64" t="inlineStr">
        <is>
          <t>MARUTI</t>
        </is>
      </c>
      <c r="E64" t="inlineStr">
        <is>
          <t>Equity</t>
        </is>
      </c>
      <c r="F64" t="inlineStr">
        <is>
          <t>SELL</t>
        </is>
      </c>
      <c r="G64" t="n">
        <v>150</v>
      </c>
      <c r="H64" t="n">
        <v>12698.81</v>
      </c>
      <c r="I64" t="n">
        <v>1904821.5</v>
      </c>
      <c r="J64" t="n">
        <v>666.6900000000001</v>
      </c>
      <c r="K64" t="inlineStr">
        <is>
          <t>NSE</t>
        </is>
      </c>
      <c r="L64" t="inlineStr">
        <is>
          <t>QE-CLEARING</t>
        </is>
      </c>
      <c r="M64" t="inlineStr">
        <is>
          <t>T100063</t>
        </is>
      </c>
    </row>
    <row r="65">
      <c r="A65" t="inlineStr">
        <is>
          <t>T100064</t>
        </is>
      </c>
      <c r="B65" t="inlineStr">
        <is>
          <t>2026-06-30</t>
        </is>
      </c>
      <c r="C65" t="inlineStr">
        <is>
          <t>12:56:52</t>
        </is>
      </c>
      <c r="D65" t="inlineStr">
        <is>
          <t>ITC</t>
        </is>
      </c>
      <c r="E65" t="inlineStr">
        <is>
          <t>Equity</t>
        </is>
      </c>
      <c r="F65" t="inlineStr">
        <is>
          <t>SELL</t>
        </is>
      </c>
      <c r="G65" t="n">
        <v>100</v>
      </c>
      <c r="H65" t="n">
        <v>447.06</v>
      </c>
      <c r="I65" t="n">
        <v>44706</v>
      </c>
      <c r="J65" t="n">
        <v>15.65</v>
      </c>
      <c r="K65" t="inlineStr">
        <is>
          <t>BSE</t>
        </is>
      </c>
      <c r="L65" t="inlineStr">
        <is>
          <t>QE-CLEARING</t>
        </is>
      </c>
      <c r="M65" t="inlineStr">
        <is>
          <t>T100064</t>
        </is>
      </c>
    </row>
    <row r="66">
      <c r="A66" t="inlineStr">
        <is>
          <t>T100065</t>
        </is>
      </c>
      <c r="B66" t="inlineStr">
        <is>
          <t>2026-06-30</t>
        </is>
      </c>
      <c r="C66" t="inlineStr">
        <is>
          <t>14:23:48</t>
        </is>
      </c>
      <c r="D66" t="inlineStr">
        <is>
          <t>TATAMOTORS</t>
        </is>
      </c>
      <c r="E66" t="inlineStr">
        <is>
          <t>Equity</t>
        </is>
      </c>
      <c r="F66" t="inlineStr">
        <is>
          <t>BUY</t>
        </is>
      </c>
      <c r="G66" t="n">
        <v>50</v>
      </c>
      <c r="H66" t="n">
        <v>981.87</v>
      </c>
      <c r="I66" t="n">
        <v>49093.5</v>
      </c>
      <c r="J66" t="n">
        <v>17.18</v>
      </c>
      <c r="K66" t="inlineStr">
        <is>
          <t>NSE</t>
        </is>
      </c>
      <c r="L66" t="inlineStr">
        <is>
          <t>QE-CLEARING</t>
        </is>
      </c>
      <c r="M66" t="inlineStr">
        <is>
          <t>T100065</t>
        </is>
      </c>
    </row>
    <row r="67">
      <c r="A67" t="inlineStr">
        <is>
          <t>T100066</t>
        </is>
      </c>
      <c r="B67" t="inlineStr">
        <is>
          <t>2026-06-30</t>
        </is>
      </c>
      <c r="C67" t="inlineStr">
        <is>
          <t>11:41:40</t>
        </is>
      </c>
      <c r="D67" t="inlineStr">
        <is>
          <t>TCS</t>
        </is>
      </c>
      <c r="E67" t="inlineStr">
        <is>
          <t>Equity</t>
        </is>
      </c>
      <c r="F67" t="inlineStr">
        <is>
          <t>BUY</t>
        </is>
      </c>
      <c r="G67" t="n">
        <v>150</v>
      </c>
      <c r="H67" t="n">
        <v>3875.44</v>
      </c>
      <c r="I67" t="n">
        <v>581316</v>
      </c>
      <c r="J67" t="n">
        <v>203.46</v>
      </c>
      <c r="K67" t="inlineStr">
        <is>
          <t>NSE</t>
        </is>
      </c>
      <c r="L67" t="inlineStr">
        <is>
          <t>QE-CLEARING</t>
        </is>
      </c>
      <c r="M67" t="inlineStr">
        <is>
          <t>T100066</t>
        </is>
      </c>
    </row>
    <row r="68">
      <c r="A68" t="inlineStr">
        <is>
          <t>T100067</t>
        </is>
      </c>
      <c r="B68" t="inlineStr">
        <is>
          <t>2026-06-30</t>
        </is>
      </c>
      <c r="C68" t="inlineStr">
        <is>
          <t>14:43:34</t>
        </is>
      </c>
      <c r="D68" t="inlineStr">
        <is>
          <t>SBIN</t>
        </is>
      </c>
      <c r="E68" t="inlineStr">
        <is>
          <t>Equity</t>
        </is>
      </c>
      <c r="F68" t="inlineStr">
        <is>
          <t>SELL</t>
        </is>
      </c>
      <c r="G68" t="n">
        <v>100</v>
      </c>
      <c r="H68" t="n">
        <v>816.12</v>
      </c>
      <c r="I68" t="n">
        <v>81612</v>
      </c>
      <c r="J68" t="n">
        <v>28.56</v>
      </c>
      <c r="K68" t="inlineStr">
        <is>
          <t>BSE</t>
        </is>
      </c>
      <c r="L68" t="inlineStr">
        <is>
          <t>QE-CLEARING</t>
        </is>
      </c>
      <c r="M68" t="inlineStr">
        <is>
          <t>T100067</t>
        </is>
      </c>
    </row>
    <row r="69">
      <c r="A69" t="inlineStr">
        <is>
          <t>T100068</t>
        </is>
      </c>
      <c r="B69" t="inlineStr">
        <is>
          <t>2026-06-30</t>
        </is>
      </c>
      <c r="C69" t="inlineStr">
        <is>
          <t>14:59:35</t>
        </is>
      </c>
      <c r="D69" t="inlineStr">
        <is>
          <t>TATAMOTORS</t>
        </is>
      </c>
      <c r="E69" t="inlineStr">
        <is>
          <t>Equity</t>
        </is>
      </c>
      <c r="F69" t="inlineStr">
        <is>
          <t>BUY</t>
        </is>
      </c>
      <c r="G69" t="n">
        <v>75</v>
      </c>
      <c r="H69" t="n">
        <v>982.04</v>
      </c>
      <c r="I69" t="n">
        <v>73653</v>
      </c>
      <c r="J69" t="n">
        <v>25.78</v>
      </c>
      <c r="K69" t="inlineStr">
        <is>
          <t>NSE</t>
        </is>
      </c>
      <c r="L69" t="inlineStr">
        <is>
          <t>QE-CLEARING</t>
        </is>
      </c>
      <c r="M69" t="inlineStr">
        <is>
          <t>T100068</t>
        </is>
      </c>
    </row>
    <row r="70">
      <c r="A70" t="inlineStr">
        <is>
          <t>T100069</t>
        </is>
      </c>
      <c r="B70" t="inlineStr">
        <is>
          <t>2026-06-30</t>
        </is>
      </c>
      <c r="C70" t="inlineStr">
        <is>
          <t>10:36:09</t>
        </is>
      </c>
      <c r="D70" t="inlineStr">
        <is>
          <t>RELIANCE</t>
        </is>
      </c>
      <c r="E70" t="inlineStr">
        <is>
          <t>Equity</t>
        </is>
      </c>
      <c r="F70" t="inlineStr">
        <is>
          <t>BUY</t>
        </is>
      </c>
      <c r="G70" t="n">
        <v>200</v>
      </c>
      <c r="H70" t="n">
        <v>1415.15</v>
      </c>
      <c r="I70" t="n">
        <v>283030</v>
      </c>
      <c r="J70" t="n">
        <v>99.06</v>
      </c>
      <c r="K70" t="inlineStr">
        <is>
          <t>NSE</t>
        </is>
      </c>
      <c r="L70" t="inlineStr">
        <is>
          <t>QE-CLEARING</t>
        </is>
      </c>
      <c r="M70" t="inlineStr">
        <is>
          <t>T100069</t>
        </is>
      </c>
    </row>
    <row r="71">
      <c r="A71" t="inlineStr">
        <is>
          <t>T100070</t>
        </is>
      </c>
      <c r="B71" t="inlineStr">
        <is>
          <t>2026-06-30</t>
        </is>
      </c>
      <c r="C71" t="inlineStr">
        <is>
          <t>15:55:53</t>
        </is>
      </c>
      <c r="D71" t="inlineStr">
        <is>
          <t>SUNPHARMA</t>
        </is>
      </c>
      <c r="E71" t="inlineStr">
        <is>
          <t>Equity</t>
        </is>
      </c>
      <c r="F71" t="inlineStr">
        <is>
          <t>SELL</t>
        </is>
      </c>
      <c r="G71" t="n">
        <v>150</v>
      </c>
      <c r="H71" t="n">
        <v>1716.61</v>
      </c>
      <c r="I71" t="n">
        <v>257491.5</v>
      </c>
      <c r="J71" t="n">
        <v>90.12</v>
      </c>
      <c r="K71" t="inlineStr">
        <is>
          <t>BSE</t>
        </is>
      </c>
      <c r="L71" t="inlineStr">
        <is>
          <t>QE-CLEARING</t>
        </is>
      </c>
      <c r="M71" t="inlineStr">
        <is>
          <t>T100070</t>
        </is>
      </c>
    </row>
    <row r="72">
      <c r="A72" t="inlineStr">
        <is>
          <t>T100071</t>
        </is>
      </c>
      <c r="B72" t="inlineStr">
        <is>
          <t>2026-06-30</t>
        </is>
      </c>
      <c r="C72" t="inlineStr">
        <is>
          <t>10:52:23</t>
        </is>
      </c>
      <c r="D72" t="inlineStr">
        <is>
          <t>LT</t>
        </is>
      </c>
      <c r="E72" t="inlineStr">
        <is>
          <t>Equity</t>
        </is>
      </c>
      <c r="F72" t="inlineStr">
        <is>
          <t>BUY</t>
        </is>
      </c>
      <c r="G72" t="n">
        <v>500</v>
      </c>
      <c r="H72" t="n">
        <v>3631.74</v>
      </c>
      <c r="I72" t="n">
        <v>1815870</v>
      </c>
      <c r="J72" t="n">
        <v>635.55</v>
      </c>
      <c r="K72" t="inlineStr">
        <is>
          <t>BSE</t>
        </is>
      </c>
      <c r="L72" t="inlineStr">
        <is>
          <t>QE-CLEARING</t>
        </is>
      </c>
      <c r="M72" t="inlineStr">
        <is>
          <t>T100071</t>
        </is>
      </c>
    </row>
    <row r="73">
      <c r="A73" t="inlineStr">
        <is>
          <t>T100072</t>
        </is>
      </c>
      <c r="B73" t="inlineStr">
        <is>
          <t>2026-06-30</t>
        </is>
      </c>
      <c r="C73" t="inlineStr">
        <is>
          <t>13:27:09</t>
        </is>
      </c>
      <c r="D73" t="inlineStr">
        <is>
          <t>ICICIBANK</t>
        </is>
      </c>
      <c r="E73" t="inlineStr">
        <is>
          <t>Equity</t>
        </is>
      </c>
      <c r="F73" t="inlineStr">
        <is>
          <t>BUY</t>
        </is>
      </c>
      <c r="G73" t="n">
        <v>150</v>
      </c>
      <c r="H73" t="n">
        <v>1241.78</v>
      </c>
      <c r="I73" t="n">
        <v>186267</v>
      </c>
      <c r="J73" t="n">
        <v>65.19</v>
      </c>
      <c r="K73" t="inlineStr">
        <is>
          <t>NSE</t>
        </is>
      </c>
      <c r="L73" t="inlineStr">
        <is>
          <t>QE-CLEARING</t>
        </is>
      </c>
      <c r="M73" t="inlineStr">
        <is>
          <t>T100072</t>
        </is>
      </c>
    </row>
    <row r="74">
      <c r="A74" t="inlineStr">
        <is>
          <t>T100073</t>
        </is>
      </c>
      <c r="B74" t="inlineStr">
        <is>
          <t>2026-06-30</t>
        </is>
      </c>
      <c r="C74" t="inlineStr">
        <is>
          <t>09:42:20</t>
        </is>
      </c>
      <c r="D74" t="inlineStr">
        <is>
          <t>TATAMOTORS</t>
        </is>
      </c>
      <c r="E74" t="inlineStr">
        <is>
          <t>Equity</t>
        </is>
      </c>
      <c r="F74" t="inlineStr">
        <is>
          <t>SELL</t>
        </is>
      </c>
      <c r="G74" t="n">
        <v>500</v>
      </c>
      <c r="H74" t="n">
        <v>987.8</v>
      </c>
      <c r="I74" t="n">
        <v>493900</v>
      </c>
      <c r="J74" t="n">
        <v>172.87</v>
      </c>
      <c r="K74" t="inlineStr">
        <is>
          <t>BSE</t>
        </is>
      </c>
      <c r="L74" t="inlineStr">
        <is>
          <t>QE-CLEARING</t>
        </is>
      </c>
      <c r="M74" t="inlineStr">
        <is>
          <t>T100073</t>
        </is>
      </c>
    </row>
    <row r="75">
      <c r="A75" t="inlineStr">
        <is>
          <t>T100074</t>
        </is>
      </c>
      <c r="B75" t="inlineStr">
        <is>
          <t>2026-06-30</t>
        </is>
      </c>
      <c r="C75" t="inlineStr">
        <is>
          <t>15:45:17</t>
        </is>
      </c>
      <c r="D75" t="inlineStr">
        <is>
          <t>KOTAKBANK</t>
        </is>
      </c>
      <c r="E75" t="inlineStr">
        <is>
          <t>Equity</t>
        </is>
      </c>
      <c r="F75" t="inlineStr">
        <is>
          <t>BUY</t>
        </is>
      </c>
      <c r="G75" t="n">
        <v>500</v>
      </c>
      <c r="H75" t="n">
        <v>1790.51</v>
      </c>
      <c r="I75" t="n">
        <v>895255</v>
      </c>
      <c r="J75" t="n">
        <v>313.34</v>
      </c>
      <c r="K75" t="inlineStr">
        <is>
          <t>BSE</t>
        </is>
      </c>
      <c r="L75" t="inlineStr">
        <is>
          <t>QE-CLEARING</t>
        </is>
      </c>
      <c r="M75" t="inlineStr">
        <is>
          <t>T100074</t>
        </is>
      </c>
    </row>
    <row r="76">
      <c r="A76" t="inlineStr">
        <is>
          <t>T100075</t>
        </is>
      </c>
      <c r="B76" t="inlineStr">
        <is>
          <t>2026-06-30</t>
        </is>
      </c>
      <c r="C76" t="inlineStr">
        <is>
          <t>15:50:51</t>
        </is>
      </c>
      <c r="D76" t="inlineStr">
        <is>
          <t>LT</t>
        </is>
      </c>
      <c r="E76" t="inlineStr">
        <is>
          <t>Equity</t>
        </is>
      </c>
      <c r="F76" t="inlineStr">
        <is>
          <t>SELL</t>
        </is>
      </c>
      <c r="G76" t="n">
        <v>500</v>
      </c>
      <c r="H76" t="n">
        <v>3615.63</v>
      </c>
      <c r="I76" t="n">
        <v>1807815</v>
      </c>
      <c r="J76" t="n">
        <v>632.74</v>
      </c>
      <c r="K76" t="inlineStr">
        <is>
          <t>NSE</t>
        </is>
      </c>
      <c r="L76" t="inlineStr">
        <is>
          <t>QE-CLEARING</t>
        </is>
      </c>
      <c r="M76" t="inlineStr">
        <is>
          <t>T100075</t>
        </is>
      </c>
    </row>
    <row r="77">
      <c r="A77" t="inlineStr">
        <is>
          <t>T100076</t>
        </is>
      </c>
      <c r="B77" t="inlineStr">
        <is>
          <t>2026-06-30</t>
        </is>
      </c>
      <c r="C77" t="inlineStr">
        <is>
          <t>13:03:47</t>
        </is>
      </c>
      <c r="D77" t="inlineStr">
        <is>
          <t>BHARTIARTL</t>
        </is>
      </c>
      <c r="E77" t="inlineStr">
        <is>
          <t>Equity</t>
        </is>
      </c>
      <c r="F77" t="inlineStr">
        <is>
          <t>BUY</t>
        </is>
      </c>
      <c r="G77" t="n">
        <v>50</v>
      </c>
      <c r="H77" t="n">
        <v>1579.65</v>
      </c>
      <c r="I77" t="n">
        <v>78982.5</v>
      </c>
      <c r="J77" t="n">
        <v>27.64</v>
      </c>
      <c r="K77" t="inlineStr">
        <is>
          <t>NSE</t>
        </is>
      </c>
      <c r="L77" t="inlineStr">
        <is>
          <t>QE-CLEARING</t>
        </is>
      </c>
      <c r="M77" t="inlineStr">
        <is>
          <t>T100076</t>
        </is>
      </c>
    </row>
    <row r="78">
      <c r="A78" t="inlineStr">
        <is>
          <t>T100077</t>
        </is>
      </c>
      <c r="B78" t="inlineStr">
        <is>
          <t>2026-06-30</t>
        </is>
      </c>
      <c r="C78" t="inlineStr">
        <is>
          <t>15:42:10</t>
        </is>
      </c>
      <c r="D78" t="inlineStr">
        <is>
          <t>TCS</t>
        </is>
      </c>
      <c r="E78" t="inlineStr">
        <is>
          <t>Equity</t>
        </is>
      </c>
      <c r="F78" t="inlineStr">
        <is>
          <t>BUY</t>
        </is>
      </c>
      <c r="G78" t="n">
        <v>500</v>
      </c>
      <c r="H78" t="n">
        <v>3876.83</v>
      </c>
      <c r="I78" t="n">
        <v>1938415</v>
      </c>
      <c r="J78" t="n">
        <v>678.45</v>
      </c>
      <c r="K78" t="inlineStr">
        <is>
          <t>BSE</t>
        </is>
      </c>
      <c r="L78" t="inlineStr">
        <is>
          <t>QE-CLEARING</t>
        </is>
      </c>
      <c r="M78" t="inlineStr">
        <is>
          <t>T100077</t>
        </is>
      </c>
    </row>
    <row r="79">
      <c r="A79" t="inlineStr">
        <is>
          <t>T100078</t>
        </is>
      </c>
      <c r="B79" t="inlineStr">
        <is>
          <t>2026-06-30</t>
        </is>
      </c>
      <c r="C79" t="inlineStr">
        <is>
          <t>14:12:35</t>
        </is>
      </c>
      <c r="D79" t="inlineStr">
        <is>
          <t>ITC</t>
        </is>
      </c>
      <c r="E79" t="inlineStr">
        <is>
          <t>Equity</t>
        </is>
      </c>
      <c r="F79" t="inlineStr">
        <is>
          <t>BUY</t>
        </is>
      </c>
      <c r="G79" t="n">
        <v>300</v>
      </c>
      <c r="H79" t="n">
        <v>448.97</v>
      </c>
      <c r="I79" t="n">
        <v>134691</v>
      </c>
      <c r="J79" t="n">
        <v>47.14</v>
      </c>
      <c r="K79" t="inlineStr">
        <is>
          <t>NSE</t>
        </is>
      </c>
      <c r="L79" t="inlineStr">
        <is>
          <t>QE-CLEARING</t>
        </is>
      </c>
      <c r="M79" t="inlineStr">
        <is>
          <t>T100078</t>
        </is>
      </c>
    </row>
    <row r="80">
      <c r="A80" t="inlineStr">
        <is>
          <t>T100079</t>
        </is>
      </c>
      <c r="B80" t="inlineStr">
        <is>
          <t>2026-06-30</t>
        </is>
      </c>
      <c r="C80" t="inlineStr">
        <is>
          <t>09:24:03</t>
        </is>
      </c>
      <c r="D80" t="inlineStr">
        <is>
          <t>ITC</t>
        </is>
      </c>
      <c r="E80" t="inlineStr">
        <is>
          <t>Equity</t>
        </is>
      </c>
      <c r="F80" t="inlineStr">
        <is>
          <t>SELL</t>
        </is>
      </c>
      <c r="G80" t="n">
        <v>150</v>
      </c>
      <c r="H80" t="n">
        <v>446.7</v>
      </c>
      <c r="I80" t="n">
        <v>67005</v>
      </c>
      <c r="J80" t="n">
        <v>23.45</v>
      </c>
      <c r="K80" t="inlineStr">
        <is>
          <t>BSE</t>
        </is>
      </c>
      <c r="L80" t="inlineStr">
        <is>
          <t>QE-CLEARING</t>
        </is>
      </c>
      <c r="M80" t="inlineStr">
        <is>
          <t>T100079</t>
        </is>
      </c>
    </row>
    <row r="81">
      <c r="A81" t="inlineStr">
        <is>
          <t>T100080</t>
        </is>
      </c>
      <c r="B81" t="inlineStr">
        <is>
          <t>2026-06-30</t>
        </is>
      </c>
      <c r="C81" t="inlineStr">
        <is>
          <t>15:37:46</t>
        </is>
      </c>
      <c r="D81" t="inlineStr">
        <is>
          <t>ICICIBANK</t>
        </is>
      </c>
      <c r="E81" t="inlineStr">
        <is>
          <t>Equity</t>
        </is>
      </c>
      <c r="F81" t="inlineStr">
        <is>
          <t>BUY</t>
        </is>
      </c>
      <c r="G81" t="n">
        <v>100</v>
      </c>
      <c r="H81" t="n">
        <v>1237.52</v>
      </c>
      <c r="I81" t="n">
        <v>123752</v>
      </c>
      <c r="J81" t="n">
        <v>43.31</v>
      </c>
      <c r="K81" t="inlineStr">
        <is>
          <t>BSE</t>
        </is>
      </c>
      <c r="L81" t="inlineStr">
        <is>
          <t>QE-CLEARING</t>
        </is>
      </c>
      <c r="M81" t="inlineStr">
        <is>
          <t>T100080</t>
        </is>
      </c>
    </row>
    <row r="82">
      <c r="A82" t="inlineStr">
        <is>
          <t>T100081</t>
        </is>
      </c>
      <c r="B82" t="inlineStr">
        <is>
          <t>2026-06-30</t>
        </is>
      </c>
      <c r="C82" t="inlineStr">
        <is>
          <t>09:54:38</t>
        </is>
      </c>
      <c r="D82" t="inlineStr">
        <is>
          <t>ITC</t>
        </is>
      </c>
      <c r="E82" t="inlineStr">
        <is>
          <t>Equity</t>
        </is>
      </c>
      <c r="F82" t="inlineStr">
        <is>
          <t>BUY</t>
        </is>
      </c>
      <c r="G82" t="n">
        <v>150</v>
      </c>
      <c r="H82" t="n">
        <v>449.3</v>
      </c>
      <c r="I82" t="n">
        <v>67395</v>
      </c>
      <c r="J82" t="n">
        <v>23.59</v>
      </c>
      <c r="K82" t="inlineStr">
        <is>
          <t>BSE</t>
        </is>
      </c>
      <c r="L82" t="inlineStr">
        <is>
          <t>QE-CLEARING</t>
        </is>
      </c>
      <c r="M82" t="inlineStr">
        <is>
          <t>T100081</t>
        </is>
      </c>
    </row>
    <row r="83">
      <c r="A83" t="inlineStr">
        <is>
          <t>T100082</t>
        </is>
      </c>
      <c r="B83" t="inlineStr">
        <is>
          <t>2026-06-30</t>
        </is>
      </c>
      <c r="C83" t="inlineStr">
        <is>
          <t>14:21:57</t>
        </is>
      </c>
      <c r="D83" t="inlineStr">
        <is>
          <t>TCS</t>
        </is>
      </c>
      <c r="E83" t="inlineStr">
        <is>
          <t>Equity</t>
        </is>
      </c>
      <c r="F83" t="inlineStr">
        <is>
          <t>BUY</t>
        </is>
      </c>
      <c r="G83" t="n">
        <v>200</v>
      </c>
      <c r="H83" t="n">
        <v>3889.32</v>
      </c>
      <c r="I83" t="n">
        <v>777864</v>
      </c>
      <c r="J83" t="n">
        <v>272.25</v>
      </c>
      <c r="K83" t="inlineStr">
        <is>
          <t>BSE</t>
        </is>
      </c>
      <c r="L83" t="inlineStr">
        <is>
          <t>QE-CLEARING</t>
        </is>
      </c>
      <c r="M83" t="inlineStr">
        <is>
          <t>T100082</t>
        </is>
      </c>
    </row>
    <row r="84">
      <c r="A84" t="inlineStr">
        <is>
          <t>T100083</t>
        </is>
      </c>
      <c r="B84" t="inlineStr">
        <is>
          <t>2026-06-30</t>
        </is>
      </c>
      <c r="C84" t="inlineStr">
        <is>
          <t>11:22:46</t>
        </is>
      </c>
      <c r="D84" t="inlineStr">
        <is>
          <t>LT</t>
        </is>
      </c>
      <c r="E84" t="inlineStr">
        <is>
          <t>Equity</t>
        </is>
      </c>
      <c r="F84" t="inlineStr">
        <is>
          <t>SELL</t>
        </is>
      </c>
      <c r="G84" t="n">
        <v>200</v>
      </c>
      <c r="H84" t="n">
        <v>3632.5</v>
      </c>
      <c r="I84" t="n">
        <v>726500</v>
      </c>
      <c r="J84" t="n">
        <v>254.28</v>
      </c>
      <c r="K84" t="inlineStr">
        <is>
          <t>NSE</t>
        </is>
      </c>
      <c r="L84" t="inlineStr">
        <is>
          <t>QE-CLEARING</t>
        </is>
      </c>
      <c r="M84" t="inlineStr">
        <is>
          <t>T100083</t>
        </is>
      </c>
    </row>
    <row r="85">
      <c r="A85" t="inlineStr">
        <is>
          <t>T100084</t>
        </is>
      </c>
      <c r="B85" t="inlineStr">
        <is>
          <t>2026-06-30</t>
        </is>
      </c>
      <c r="C85" t="inlineStr">
        <is>
          <t>09:11:38</t>
        </is>
      </c>
      <c r="D85" t="inlineStr">
        <is>
          <t>TATAMOTORS</t>
        </is>
      </c>
      <c r="E85" t="inlineStr">
        <is>
          <t>Equity</t>
        </is>
      </c>
      <c r="F85" t="inlineStr">
        <is>
          <t>BUY</t>
        </is>
      </c>
      <c r="G85" t="n">
        <v>300</v>
      </c>
      <c r="H85" t="n">
        <v>981.35</v>
      </c>
      <c r="I85" t="n">
        <v>294405</v>
      </c>
      <c r="J85" t="n">
        <v>103.04</v>
      </c>
      <c r="K85" t="inlineStr">
        <is>
          <t>NSE</t>
        </is>
      </c>
      <c r="L85" t="inlineStr">
        <is>
          <t>QE-CLEARING</t>
        </is>
      </c>
      <c r="M85" t="inlineStr">
        <is>
          <t>T100084</t>
        </is>
      </c>
    </row>
    <row r="86">
      <c r="A86" t="inlineStr">
        <is>
          <t>T100086</t>
        </is>
      </c>
      <c r="B86" t="inlineStr">
        <is>
          <t>2026-06-30</t>
        </is>
      </c>
      <c r="C86" t="inlineStr">
        <is>
          <t>15:12:32</t>
        </is>
      </c>
      <c r="D86" t="inlineStr">
        <is>
          <t>SUNPHARMA</t>
        </is>
      </c>
      <c r="E86" t="inlineStr">
        <is>
          <t>Equity</t>
        </is>
      </c>
      <c r="F86" t="inlineStr">
        <is>
          <t>SELL</t>
        </is>
      </c>
      <c r="G86" t="n">
        <v>75</v>
      </c>
      <c r="H86" t="n">
        <v>1721.93</v>
      </c>
      <c r="I86" t="n">
        <v>129144.75</v>
      </c>
      <c r="J86" t="n">
        <v>45.2</v>
      </c>
      <c r="K86" t="inlineStr">
        <is>
          <t>BSE</t>
        </is>
      </c>
      <c r="L86" t="inlineStr">
        <is>
          <t>QE-CLEARING</t>
        </is>
      </c>
      <c r="M86" t="inlineStr">
        <is>
          <t>T100086</t>
        </is>
      </c>
    </row>
    <row r="87">
      <c r="A87" t="inlineStr">
        <is>
          <t>T100087</t>
        </is>
      </c>
      <c r="B87" t="inlineStr">
        <is>
          <t>2026-06-30</t>
        </is>
      </c>
      <c r="C87" t="inlineStr">
        <is>
          <t>12:13:17</t>
        </is>
      </c>
      <c r="D87" t="inlineStr">
        <is>
          <t>AXISBANK</t>
        </is>
      </c>
      <c r="E87" t="inlineStr">
        <is>
          <t>Equity</t>
        </is>
      </c>
      <c r="F87" t="inlineStr">
        <is>
          <t>BUY</t>
        </is>
      </c>
      <c r="G87" t="n">
        <v>50</v>
      </c>
      <c r="H87" t="n">
        <v>1130.85</v>
      </c>
      <c r="I87" t="n">
        <v>56542.5</v>
      </c>
      <c r="J87" t="n">
        <v>19.79</v>
      </c>
      <c r="K87" t="inlineStr">
        <is>
          <t>BSE</t>
        </is>
      </c>
      <c r="L87" t="inlineStr">
        <is>
          <t>QE-CLEARING</t>
        </is>
      </c>
      <c r="M87" t="inlineStr">
        <is>
          <t>T100087</t>
        </is>
      </c>
    </row>
    <row r="88">
      <c r="A88" t="inlineStr">
        <is>
          <t>T100088</t>
        </is>
      </c>
      <c r="B88" t="inlineStr">
        <is>
          <t>2026-06-30</t>
        </is>
      </c>
      <c r="C88" t="inlineStr">
        <is>
          <t>09:23:24</t>
        </is>
      </c>
      <c r="D88" t="inlineStr">
        <is>
          <t>RELIANCE</t>
        </is>
      </c>
      <c r="E88" t="inlineStr">
        <is>
          <t>Equity</t>
        </is>
      </c>
      <c r="F88" t="inlineStr">
        <is>
          <t>SELL</t>
        </is>
      </c>
      <c r="G88" t="n">
        <v>100</v>
      </c>
      <c r="H88" t="n">
        <v>1424.44</v>
      </c>
      <c r="I88" t="n">
        <v>142444</v>
      </c>
      <c r="J88" t="n">
        <v>49.86</v>
      </c>
      <c r="K88" t="inlineStr">
        <is>
          <t>NSE</t>
        </is>
      </c>
      <c r="L88" t="inlineStr">
        <is>
          <t>QE-CLEARING</t>
        </is>
      </c>
      <c r="M88" t="inlineStr">
        <is>
          <t>T100088</t>
        </is>
      </c>
    </row>
    <row r="89">
      <c r="A89" t="inlineStr">
        <is>
          <t>T100089</t>
        </is>
      </c>
      <c r="B89" t="inlineStr">
        <is>
          <t>2026-06-30</t>
        </is>
      </c>
      <c r="C89" t="inlineStr">
        <is>
          <t>13:46:44</t>
        </is>
      </c>
      <c r="D89" t="inlineStr">
        <is>
          <t>BHARTIARTL</t>
        </is>
      </c>
      <c r="E89" t="inlineStr">
        <is>
          <t>Equity</t>
        </is>
      </c>
      <c r="F89" t="inlineStr">
        <is>
          <t>BUY</t>
        </is>
      </c>
      <c r="G89" t="n">
        <v>500</v>
      </c>
      <c r="H89" t="n">
        <v>1584.84</v>
      </c>
      <c r="I89" t="n">
        <v>792420</v>
      </c>
      <c r="J89" t="n">
        <v>277.35</v>
      </c>
      <c r="K89" t="inlineStr">
        <is>
          <t>NSE</t>
        </is>
      </c>
      <c r="L89" t="inlineStr">
        <is>
          <t>QE-CLEARING</t>
        </is>
      </c>
      <c r="M89" t="inlineStr">
        <is>
          <t>T100089</t>
        </is>
      </c>
    </row>
    <row r="90">
      <c r="A90" t="inlineStr">
        <is>
          <t>T100090</t>
        </is>
      </c>
      <c r="B90" t="inlineStr">
        <is>
          <t>2026-06-30</t>
        </is>
      </c>
      <c r="C90" t="inlineStr">
        <is>
          <t>12:32:03</t>
        </is>
      </c>
      <c r="D90" t="inlineStr">
        <is>
          <t>BAJFINANCE</t>
        </is>
      </c>
      <c r="E90" t="inlineStr">
        <is>
          <t>Equity</t>
        </is>
      </c>
      <c r="F90" t="inlineStr">
        <is>
          <t>SELL</t>
        </is>
      </c>
      <c r="G90" t="n">
        <v>50</v>
      </c>
      <c r="H90" t="n">
        <v>7193.27</v>
      </c>
      <c r="I90" t="n">
        <v>359663.5</v>
      </c>
      <c r="J90" t="n">
        <v>125.88</v>
      </c>
      <c r="K90" t="inlineStr">
        <is>
          <t>NSE</t>
        </is>
      </c>
      <c r="L90" t="inlineStr">
        <is>
          <t>QE-CLEARING</t>
        </is>
      </c>
      <c r="M90" t="inlineStr">
        <is>
          <t>T100090</t>
        </is>
      </c>
    </row>
    <row r="91">
      <c r="A91" t="inlineStr">
        <is>
          <t>T100091</t>
        </is>
      </c>
      <c r="B91" t="inlineStr">
        <is>
          <t>2026-06-30</t>
        </is>
      </c>
      <c r="C91" t="inlineStr">
        <is>
          <t>11:08:13</t>
        </is>
      </c>
      <c r="D91" t="inlineStr">
        <is>
          <t>ITC</t>
        </is>
      </c>
      <c r="E91" t="inlineStr">
        <is>
          <t>Equity</t>
        </is>
      </c>
      <c r="F91" t="inlineStr">
        <is>
          <t>SELL</t>
        </is>
      </c>
      <c r="G91" t="n">
        <v>500</v>
      </c>
      <c r="H91" t="n">
        <v>448.47</v>
      </c>
      <c r="I91" t="n">
        <v>224235</v>
      </c>
      <c r="J91" t="n">
        <v>78.48</v>
      </c>
      <c r="K91" t="inlineStr">
        <is>
          <t>BSE</t>
        </is>
      </c>
      <c r="L91" t="inlineStr">
        <is>
          <t>QE-CLEARING</t>
        </is>
      </c>
      <c r="M91" t="inlineStr">
        <is>
          <t>T100091</t>
        </is>
      </c>
    </row>
    <row r="92">
      <c r="A92" t="inlineStr">
        <is>
          <t>T100092</t>
        </is>
      </c>
      <c r="B92" t="inlineStr">
        <is>
          <t>2026-06-30</t>
        </is>
      </c>
      <c r="C92" t="inlineStr">
        <is>
          <t>09:01:13</t>
        </is>
      </c>
      <c r="D92" t="inlineStr">
        <is>
          <t>BAJFINANCE</t>
        </is>
      </c>
      <c r="E92" t="inlineStr">
        <is>
          <t>Equity</t>
        </is>
      </c>
      <c r="F92" t="inlineStr">
        <is>
          <t>SELL</t>
        </is>
      </c>
      <c r="G92" t="n">
        <v>500</v>
      </c>
      <c r="H92" t="n">
        <v>7174.35</v>
      </c>
      <c r="I92" t="n">
        <v>3587175</v>
      </c>
      <c r="J92" t="n">
        <v>1255.51</v>
      </c>
      <c r="K92" t="inlineStr">
        <is>
          <t>NSE</t>
        </is>
      </c>
      <c r="L92" t="inlineStr">
        <is>
          <t>QE-CLEARING</t>
        </is>
      </c>
      <c r="M92" t="inlineStr">
        <is>
          <t>T100092</t>
        </is>
      </c>
    </row>
    <row r="93">
      <c r="A93" t="inlineStr">
        <is>
          <t>T100093</t>
        </is>
      </c>
      <c r="B93" t="inlineStr">
        <is>
          <t>2026-06-30</t>
        </is>
      </c>
      <c r="C93" t="inlineStr">
        <is>
          <t>12:15:33</t>
        </is>
      </c>
      <c r="D93" t="inlineStr">
        <is>
          <t>TCS</t>
        </is>
      </c>
      <c r="E93" t="inlineStr">
        <is>
          <t>Equity</t>
        </is>
      </c>
      <c r="F93" t="inlineStr">
        <is>
          <t>SELL</t>
        </is>
      </c>
      <c r="G93" t="n">
        <v>150</v>
      </c>
      <c r="H93" t="n">
        <v>3894.15</v>
      </c>
      <c r="I93" t="n">
        <v>584122.5</v>
      </c>
      <c r="J93" t="n">
        <v>204.44</v>
      </c>
      <c r="K93" t="inlineStr">
        <is>
          <t>NSE</t>
        </is>
      </c>
      <c r="L93" t="inlineStr">
        <is>
          <t>QE-CLEARING</t>
        </is>
      </c>
      <c r="M93" t="inlineStr">
        <is>
          <t>T100093</t>
        </is>
      </c>
    </row>
    <row r="94">
      <c r="A94" t="inlineStr">
        <is>
          <t>T100094</t>
        </is>
      </c>
      <c r="B94" t="inlineStr">
        <is>
          <t>2026-06-30</t>
        </is>
      </c>
      <c r="C94" t="inlineStr">
        <is>
          <t>13:02:11</t>
        </is>
      </c>
      <c r="D94" t="inlineStr">
        <is>
          <t>ITC</t>
        </is>
      </c>
      <c r="E94" t="inlineStr">
        <is>
          <t>Equity</t>
        </is>
      </c>
      <c r="F94" t="inlineStr">
        <is>
          <t>BUY</t>
        </is>
      </c>
      <c r="G94" t="n">
        <v>500</v>
      </c>
      <c r="H94" t="n">
        <v>446.45</v>
      </c>
      <c r="I94" t="n">
        <v>223225</v>
      </c>
      <c r="J94" t="n">
        <v>78.13</v>
      </c>
      <c r="K94" t="inlineStr">
        <is>
          <t>NSE</t>
        </is>
      </c>
      <c r="L94" t="inlineStr">
        <is>
          <t>QE-CLEARING</t>
        </is>
      </c>
      <c r="M94" t="inlineStr">
        <is>
          <t>T100094</t>
        </is>
      </c>
    </row>
    <row r="95">
      <c r="A95" t="inlineStr">
        <is>
          <t>T100095</t>
        </is>
      </c>
      <c r="B95" t="inlineStr">
        <is>
          <t>2026-06-30</t>
        </is>
      </c>
      <c r="C95" t="inlineStr">
        <is>
          <t>10:40:10</t>
        </is>
      </c>
      <c r="D95" t="inlineStr">
        <is>
          <t>SUNPHARMA</t>
        </is>
      </c>
      <c r="E95" t="inlineStr">
        <is>
          <t>Equity</t>
        </is>
      </c>
      <c r="F95" t="inlineStr">
        <is>
          <t>SELL</t>
        </is>
      </c>
      <c r="G95" t="n">
        <v>300</v>
      </c>
      <c r="H95" t="n">
        <v>1724.49</v>
      </c>
      <c r="I95" t="n">
        <v>517347</v>
      </c>
      <c r="J95" t="n">
        <v>181.07</v>
      </c>
      <c r="K95" t="inlineStr">
        <is>
          <t>BSE</t>
        </is>
      </c>
      <c r="L95" t="inlineStr">
        <is>
          <t>QE-CLEARING</t>
        </is>
      </c>
      <c r="M95" t="inlineStr">
        <is>
          <t>T100095</t>
        </is>
      </c>
    </row>
    <row r="96">
      <c r="A96" t="inlineStr">
        <is>
          <t>T100096</t>
        </is>
      </c>
      <c r="B96" t="inlineStr">
        <is>
          <t>2026-06-30</t>
        </is>
      </c>
      <c r="C96" t="inlineStr">
        <is>
          <t>09:39:58</t>
        </is>
      </c>
      <c r="D96" t="inlineStr">
        <is>
          <t>MARUTI</t>
        </is>
      </c>
      <c r="E96" t="inlineStr">
        <is>
          <t>Equity</t>
        </is>
      </c>
      <c r="F96" t="inlineStr">
        <is>
          <t>SELL</t>
        </is>
      </c>
      <c r="G96" t="n">
        <v>250</v>
      </c>
      <c r="H96" t="n">
        <v>12637.34</v>
      </c>
      <c r="I96" t="n">
        <v>3159335</v>
      </c>
      <c r="J96" t="n">
        <v>1105.77</v>
      </c>
      <c r="K96" t="inlineStr">
        <is>
          <t>NSE</t>
        </is>
      </c>
      <c r="L96" t="inlineStr">
        <is>
          <t>QE-CLEARING</t>
        </is>
      </c>
      <c r="M96" t="inlineStr">
        <is>
          <t>T100096</t>
        </is>
      </c>
    </row>
    <row r="97">
      <c r="A97" t="inlineStr">
        <is>
          <t>T100097</t>
        </is>
      </c>
      <c r="B97" t="inlineStr">
        <is>
          <t>2026-06-30</t>
        </is>
      </c>
      <c r="C97" t="inlineStr">
        <is>
          <t>14:42:43</t>
        </is>
      </c>
      <c r="D97" t="inlineStr">
        <is>
          <t>BHARTIARTL</t>
        </is>
      </c>
      <c r="E97" t="inlineStr">
        <is>
          <t>Equity</t>
        </is>
      </c>
      <c r="F97" t="inlineStr">
        <is>
          <t>SELL</t>
        </is>
      </c>
      <c r="G97" t="n">
        <v>250</v>
      </c>
      <c r="H97" t="n">
        <v>1585.04</v>
      </c>
      <c r="I97" t="n">
        <v>396260</v>
      </c>
      <c r="J97" t="n">
        <v>138.69</v>
      </c>
      <c r="K97" t="inlineStr">
        <is>
          <t>NSE</t>
        </is>
      </c>
      <c r="L97" t="inlineStr">
        <is>
          <t>QE-CLEARING</t>
        </is>
      </c>
      <c r="M97" t="inlineStr">
        <is>
          <t>T100097</t>
        </is>
      </c>
    </row>
    <row r="98">
      <c r="A98" t="inlineStr">
        <is>
          <t>T100098</t>
        </is>
      </c>
      <c r="B98" t="inlineStr">
        <is>
          <t>2026-06-30</t>
        </is>
      </c>
      <c r="C98" t="inlineStr">
        <is>
          <t>09:17:37</t>
        </is>
      </c>
      <c r="D98" t="inlineStr">
        <is>
          <t>BAJFINANCE</t>
        </is>
      </c>
      <c r="E98" t="inlineStr">
        <is>
          <t>Equity</t>
        </is>
      </c>
      <c r="F98" t="inlineStr">
        <is>
          <t>BUY</t>
        </is>
      </c>
      <c r="G98" t="n">
        <v>250</v>
      </c>
      <c r="H98" t="n">
        <v>7181.9</v>
      </c>
      <c r="I98" t="n">
        <v>1795475</v>
      </c>
      <c r="J98" t="n">
        <v>628.42</v>
      </c>
      <c r="K98" t="inlineStr">
        <is>
          <t>BSE</t>
        </is>
      </c>
      <c r="L98" t="inlineStr">
        <is>
          <t>QE-CLEARING</t>
        </is>
      </c>
      <c r="M98" t="inlineStr">
        <is>
          <t>T100098</t>
        </is>
      </c>
    </row>
    <row r="99">
      <c r="A99" t="inlineStr">
        <is>
          <t>T100099</t>
        </is>
      </c>
      <c r="B99" t="inlineStr">
        <is>
          <t>2026-06-30</t>
        </is>
      </c>
      <c r="C99" t="inlineStr">
        <is>
          <t>15:32:01</t>
        </is>
      </c>
      <c r="D99" t="inlineStr">
        <is>
          <t>ICICIBANK</t>
        </is>
      </c>
      <c r="E99" t="inlineStr">
        <is>
          <t>Equity</t>
        </is>
      </c>
      <c r="F99" t="inlineStr">
        <is>
          <t>BUY</t>
        </is>
      </c>
      <c r="G99" t="n">
        <v>150</v>
      </c>
      <c r="H99" t="n">
        <v>1242.72</v>
      </c>
      <c r="I99" t="n">
        <v>186408</v>
      </c>
      <c r="J99" t="n">
        <v>65.23999999999999</v>
      </c>
      <c r="K99" t="inlineStr">
        <is>
          <t>BSE</t>
        </is>
      </c>
      <c r="L99" t="inlineStr">
        <is>
          <t>QE-CLEARING</t>
        </is>
      </c>
      <c r="M99" t="inlineStr">
        <is>
          <t>T100099</t>
        </is>
      </c>
    </row>
    <row r="100">
      <c r="A100" t="inlineStr">
        <is>
          <t>T100100</t>
        </is>
      </c>
      <c r="B100" t="inlineStr">
        <is>
          <t>2026-06-30</t>
        </is>
      </c>
      <c r="C100" t="inlineStr">
        <is>
          <t>15:27:55</t>
        </is>
      </c>
      <c r="D100" t="inlineStr">
        <is>
          <t>MARUTI</t>
        </is>
      </c>
      <c r="E100" t="inlineStr">
        <is>
          <t>Equity</t>
        </is>
      </c>
      <c r="F100" t="inlineStr">
        <is>
          <t>BUY</t>
        </is>
      </c>
      <c r="G100" t="n">
        <v>200</v>
      </c>
      <c r="H100" t="n">
        <v>12697.13</v>
      </c>
      <c r="I100" t="n">
        <v>2539426</v>
      </c>
      <c r="J100" t="n">
        <v>888.8</v>
      </c>
      <c r="K100" t="inlineStr">
        <is>
          <t>NSE</t>
        </is>
      </c>
      <c r="L100" t="inlineStr">
        <is>
          <t>QE-CLEARING</t>
        </is>
      </c>
      <c r="M100" t="inlineStr">
        <is>
          <t>T100100</t>
        </is>
      </c>
    </row>
    <row r="101">
      <c r="A101" t="inlineStr">
        <is>
          <t>T100101</t>
        </is>
      </c>
      <c r="B101" t="inlineStr">
        <is>
          <t>2026-06-30</t>
        </is>
      </c>
      <c r="C101" t="inlineStr">
        <is>
          <t>13:21:48</t>
        </is>
      </c>
      <c r="D101" t="inlineStr">
        <is>
          <t>TCS</t>
        </is>
      </c>
      <c r="E101" t="inlineStr">
        <is>
          <t>Equity</t>
        </is>
      </c>
      <c r="F101" t="inlineStr">
        <is>
          <t>BUY</t>
        </is>
      </c>
      <c r="G101" t="n">
        <v>500</v>
      </c>
      <c r="H101" t="n">
        <v>3896.81</v>
      </c>
      <c r="I101" t="n">
        <v>1948405</v>
      </c>
      <c r="J101" t="n">
        <v>681.9400000000001</v>
      </c>
      <c r="K101" t="inlineStr">
        <is>
          <t>BSE</t>
        </is>
      </c>
      <c r="L101" t="inlineStr">
        <is>
          <t>QE-CLEARING</t>
        </is>
      </c>
      <c r="M101" t="inlineStr">
        <is>
          <t>T100101</t>
        </is>
      </c>
    </row>
    <row r="102">
      <c r="A102" t="inlineStr">
        <is>
          <t>T100102</t>
        </is>
      </c>
      <c r="B102" t="inlineStr">
        <is>
          <t>2026-06-30</t>
        </is>
      </c>
      <c r="C102" t="inlineStr">
        <is>
          <t>14:42:01</t>
        </is>
      </c>
      <c r="D102" t="inlineStr">
        <is>
          <t>AXISBANK</t>
        </is>
      </c>
      <c r="E102" t="inlineStr">
        <is>
          <t>Equity</t>
        </is>
      </c>
      <c r="F102" t="inlineStr">
        <is>
          <t>BUY</t>
        </is>
      </c>
      <c r="G102" t="n">
        <v>300</v>
      </c>
      <c r="H102" t="n">
        <v>1125.72</v>
      </c>
      <c r="I102" t="n">
        <v>337716</v>
      </c>
      <c r="J102" t="n">
        <v>118.2</v>
      </c>
      <c r="K102" t="inlineStr">
        <is>
          <t>NSE</t>
        </is>
      </c>
      <c r="L102" t="inlineStr">
        <is>
          <t>QE-CLEARING</t>
        </is>
      </c>
      <c r="M102" t="inlineStr">
        <is>
          <t>T100102</t>
        </is>
      </c>
    </row>
    <row r="103">
      <c r="A103" t="inlineStr">
        <is>
          <t>T100103</t>
        </is>
      </c>
      <c r="B103" t="inlineStr">
        <is>
          <t>2026-06-30</t>
        </is>
      </c>
      <c r="C103" t="inlineStr">
        <is>
          <t>10:18:58</t>
        </is>
      </c>
      <c r="D103" t="inlineStr">
        <is>
          <t>SBIN</t>
        </is>
      </c>
      <c r="E103" t="inlineStr">
        <is>
          <t>Equity</t>
        </is>
      </c>
      <c r="F103" t="inlineStr">
        <is>
          <t>BUY</t>
        </is>
      </c>
      <c r="G103" t="n">
        <v>150</v>
      </c>
      <c r="H103" t="n">
        <v>811.78</v>
      </c>
      <c r="I103" t="n">
        <v>121767</v>
      </c>
      <c r="J103" t="n">
        <v>42.62</v>
      </c>
      <c r="K103" t="inlineStr">
        <is>
          <t>NSE</t>
        </is>
      </c>
      <c r="L103" t="inlineStr">
        <is>
          <t>QE-CLEARING</t>
        </is>
      </c>
      <c r="M103" t="inlineStr">
        <is>
          <t>T100103</t>
        </is>
      </c>
    </row>
    <row r="104">
      <c r="A104" t="inlineStr">
        <is>
          <t>T100104</t>
        </is>
      </c>
      <c r="B104" t="inlineStr">
        <is>
          <t>2026-06-30</t>
        </is>
      </c>
      <c r="C104" t="inlineStr">
        <is>
          <t>12:38:44</t>
        </is>
      </c>
      <c r="D104" t="inlineStr">
        <is>
          <t>INFY</t>
        </is>
      </c>
      <c r="E104" t="inlineStr">
        <is>
          <t>Equity</t>
        </is>
      </c>
      <c r="F104" t="inlineStr">
        <is>
          <t>SELL</t>
        </is>
      </c>
      <c r="G104" t="n">
        <v>75</v>
      </c>
      <c r="H104" t="n">
        <v>1556.42</v>
      </c>
      <c r="I104" t="n">
        <v>116731.5</v>
      </c>
      <c r="J104" t="n">
        <v>40.86</v>
      </c>
      <c r="K104" t="inlineStr">
        <is>
          <t>BSE</t>
        </is>
      </c>
      <c r="L104" t="inlineStr">
        <is>
          <t>QE-CLEARING</t>
        </is>
      </c>
      <c r="M104" t="inlineStr">
        <is>
          <t>T100104</t>
        </is>
      </c>
    </row>
    <row r="105">
      <c r="A105" t="inlineStr">
        <is>
          <t>T100105</t>
        </is>
      </c>
      <c r="B105" t="inlineStr">
        <is>
          <t>2026-06-30</t>
        </is>
      </c>
      <c r="C105" t="inlineStr">
        <is>
          <t>11:22:54</t>
        </is>
      </c>
      <c r="D105" t="inlineStr">
        <is>
          <t>BHARTIARTL</t>
        </is>
      </c>
      <c r="E105" t="inlineStr">
        <is>
          <t>Equity</t>
        </is>
      </c>
      <c r="F105" t="inlineStr">
        <is>
          <t>BUY</t>
        </is>
      </c>
      <c r="G105" t="n">
        <v>150</v>
      </c>
      <c r="H105" t="n">
        <v>1585.93</v>
      </c>
      <c r="I105" t="n">
        <v>237889.5</v>
      </c>
      <c r="J105" t="n">
        <v>83.26000000000001</v>
      </c>
      <c r="K105" t="inlineStr">
        <is>
          <t>BSE</t>
        </is>
      </c>
      <c r="L105" t="inlineStr">
        <is>
          <t>QE-CLEARING</t>
        </is>
      </c>
      <c r="M105" t="inlineStr">
        <is>
          <t>T100105</t>
        </is>
      </c>
    </row>
    <row r="106">
      <c r="A106" t="inlineStr">
        <is>
          <t>T100106</t>
        </is>
      </c>
      <c r="B106" t="inlineStr">
        <is>
          <t>2026-06-30</t>
        </is>
      </c>
      <c r="C106" t="inlineStr">
        <is>
          <t>12:20:29</t>
        </is>
      </c>
      <c r="D106" t="inlineStr">
        <is>
          <t>AXISBANK</t>
        </is>
      </c>
      <c r="E106" t="inlineStr">
        <is>
          <t>Equity</t>
        </is>
      </c>
      <c r="F106" t="inlineStr">
        <is>
          <t>SELL</t>
        </is>
      </c>
      <c r="G106" t="n">
        <v>200</v>
      </c>
      <c r="H106" t="n">
        <v>1128.11</v>
      </c>
      <c r="I106" t="n">
        <v>225622</v>
      </c>
      <c r="J106" t="n">
        <v>78.97</v>
      </c>
      <c r="K106" t="inlineStr">
        <is>
          <t>NSE</t>
        </is>
      </c>
      <c r="L106" t="inlineStr">
        <is>
          <t>QE-CLEARING</t>
        </is>
      </c>
      <c r="M106" t="inlineStr">
        <is>
          <t>T100106</t>
        </is>
      </c>
    </row>
    <row r="107">
      <c r="A107" t="inlineStr">
        <is>
          <t>T100107</t>
        </is>
      </c>
      <c r="B107" t="inlineStr">
        <is>
          <t>2026-06-30</t>
        </is>
      </c>
      <c r="C107" t="inlineStr">
        <is>
          <t>10:48:20</t>
        </is>
      </c>
      <c r="D107" t="inlineStr">
        <is>
          <t>MARUTI</t>
        </is>
      </c>
      <c r="E107" t="inlineStr">
        <is>
          <t>Equity</t>
        </is>
      </c>
      <c r="F107" t="inlineStr">
        <is>
          <t>BUY</t>
        </is>
      </c>
      <c r="G107" t="n">
        <v>500</v>
      </c>
      <c r="H107" t="n">
        <v>12606.04</v>
      </c>
      <c r="I107" t="n">
        <v>6303020</v>
      </c>
      <c r="J107" t="n">
        <v>2206.06</v>
      </c>
      <c r="K107" t="inlineStr">
        <is>
          <t>NSE</t>
        </is>
      </c>
      <c r="L107" t="inlineStr">
        <is>
          <t>QE-CLEARING</t>
        </is>
      </c>
      <c r="M107" t="inlineStr">
        <is>
          <t>T100107</t>
        </is>
      </c>
    </row>
    <row r="108">
      <c r="A108" t="inlineStr">
        <is>
          <t>T100108</t>
        </is>
      </c>
      <c r="B108" t="inlineStr">
        <is>
          <t>2026-06-30</t>
        </is>
      </c>
      <c r="C108" t="inlineStr">
        <is>
          <t>11:08:09</t>
        </is>
      </c>
      <c r="D108" t="inlineStr">
        <is>
          <t>INFY</t>
        </is>
      </c>
      <c r="E108" t="inlineStr">
        <is>
          <t>Equity</t>
        </is>
      </c>
      <c r="F108" t="inlineStr">
        <is>
          <t>SELL</t>
        </is>
      </c>
      <c r="G108" t="n">
        <v>200</v>
      </c>
      <c r="H108" t="n">
        <v>1555.84</v>
      </c>
      <c r="I108" t="n">
        <v>311168</v>
      </c>
      <c r="J108" t="n">
        <v>108.91</v>
      </c>
      <c r="K108" t="inlineStr">
        <is>
          <t>NSE</t>
        </is>
      </c>
      <c r="L108" t="inlineStr">
        <is>
          <t>QE-CLEARING</t>
        </is>
      </c>
      <c r="M108" t="inlineStr">
        <is>
          <t>T100108</t>
        </is>
      </c>
    </row>
    <row r="109">
      <c r="A109" t="inlineStr">
        <is>
          <t>T100109</t>
        </is>
      </c>
      <c r="B109" t="inlineStr">
        <is>
          <t>2026-06-30</t>
        </is>
      </c>
      <c r="C109" t="inlineStr">
        <is>
          <t>10:32:10</t>
        </is>
      </c>
      <c r="D109" t="inlineStr">
        <is>
          <t>BAJFINANCE</t>
        </is>
      </c>
      <c r="E109" t="inlineStr">
        <is>
          <t>Equity</t>
        </is>
      </c>
      <c r="F109" t="inlineStr">
        <is>
          <t>BUY</t>
        </is>
      </c>
      <c r="G109" t="n">
        <v>500</v>
      </c>
      <c r="H109" t="n">
        <v>7191.67</v>
      </c>
      <c r="I109" t="n">
        <v>3595835</v>
      </c>
      <c r="J109" t="n">
        <v>1258.54</v>
      </c>
      <c r="K109" t="inlineStr">
        <is>
          <t>NSE</t>
        </is>
      </c>
      <c r="L109" t="inlineStr">
        <is>
          <t>QE-CLEARING</t>
        </is>
      </c>
      <c r="M109" t="inlineStr">
        <is>
          <t>T100109</t>
        </is>
      </c>
    </row>
    <row r="110">
      <c r="A110" t="inlineStr">
        <is>
          <t>T100110</t>
        </is>
      </c>
      <c r="B110" t="inlineStr">
        <is>
          <t>2026-06-30</t>
        </is>
      </c>
      <c r="C110" t="inlineStr">
        <is>
          <t>10:02:08</t>
        </is>
      </c>
      <c r="D110" t="inlineStr">
        <is>
          <t>BAJFINANCE</t>
        </is>
      </c>
      <c r="E110" t="inlineStr">
        <is>
          <t>Equity</t>
        </is>
      </c>
      <c r="F110" t="inlineStr">
        <is>
          <t>BUY</t>
        </is>
      </c>
      <c r="G110" t="n">
        <v>75</v>
      </c>
      <c r="H110" t="n">
        <v>7188.31</v>
      </c>
      <c r="I110" t="n">
        <v>539123.25</v>
      </c>
      <c r="J110" t="n">
        <v>188.69</v>
      </c>
      <c r="K110" t="inlineStr">
        <is>
          <t>NSE</t>
        </is>
      </c>
      <c r="L110" t="inlineStr">
        <is>
          <t>QE-CLEARING</t>
        </is>
      </c>
      <c r="M110" t="inlineStr">
        <is>
          <t>T100110</t>
        </is>
      </c>
    </row>
    <row r="111">
      <c r="A111" t="inlineStr">
        <is>
          <t>T100111</t>
        </is>
      </c>
      <c r="B111" t="inlineStr">
        <is>
          <t>2026-06-30</t>
        </is>
      </c>
      <c r="C111" t="inlineStr">
        <is>
          <t>15:16:51</t>
        </is>
      </c>
      <c r="D111" t="inlineStr">
        <is>
          <t>HINDUNILVR</t>
        </is>
      </c>
      <c r="E111" t="inlineStr">
        <is>
          <t>Equity</t>
        </is>
      </c>
      <c r="F111" t="inlineStr">
        <is>
          <t>BUY</t>
        </is>
      </c>
      <c r="G111" t="n">
        <v>75</v>
      </c>
      <c r="H111" t="n">
        <v>2359.67</v>
      </c>
      <c r="I111" t="n">
        <v>176975.25</v>
      </c>
      <c r="J111" t="n">
        <v>61.94</v>
      </c>
      <c r="K111" t="inlineStr">
        <is>
          <t>BSE</t>
        </is>
      </c>
      <c r="L111" t="inlineStr">
        <is>
          <t>QE-CLEARING</t>
        </is>
      </c>
      <c r="M111" t="inlineStr">
        <is>
          <t>T100111</t>
        </is>
      </c>
    </row>
    <row r="112">
      <c r="A112" t="inlineStr">
        <is>
          <t>T100112</t>
        </is>
      </c>
      <c r="B112" t="inlineStr">
        <is>
          <t>2026-06-30</t>
        </is>
      </c>
      <c r="C112" t="inlineStr">
        <is>
          <t>09:15:48</t>
        </is>
      </c>
      <c r="D112" t="inlineStr">
        <is>
          <t>ICICIBANK</t>
        </is>
      </c>
      <c r="E112" t="inlineStr">
        <is>
          <t>Equity</t>
        </is>
      </c>
      <c r="F112" t="inlineStr">
        <is>
          <t>BUY</t>
        </is>
      </c>
      <c r="G112" t="n">
        <v>250</v>
      </c>
      <c r="H112" t="n">
        <v>1237.55</v>
      </c>
      <c r="I112" t="n">
        <v>309387.5</v>
      </c>
      <c r="J112" t="n">
        <v>108.29</v>
      </c>
      <c r="K112" t="inlineStr">
        <is>
          <t>NSE</t>
        </is>
      </c>
      <c r="L112" t="inlineStr">
        <is>
          <t>QE-CLEARING</t>
        </is>
      </c>
      <c r="M112" t="inlineStr">
        <is>
          <t>T100112</t>
        </is>
      </c>
    </row>
    <row r="113">
      <c r="A113" t="inlineStr">
        <is>
          <t>T100113</t>
        </is>
      </c>
      <c r="B113" t="inlineStr">
        <is>
          <t>2026-06-30</t>
        </is>
      </c>
      <c r="C113" t="inlineStr">
        <is>
          <t>13:40:08</t>
        </is>
      </c>
      <c r="D113" t="inlineStr">
        <is>
          <t>HDFCBANK</t>
        </is>
      </c>
      <c r="E113" t="inlineStr">
        <is>
          <t>Equity</t>
        </is>
      </c>
      <c r="F113" t="inlineStr">
        <is>
          <t>SELL</t>
        </is>
      </c>
      <c r="G113" t="n">
        <v>300</v>
      </c>
      <c r="H113" t="n">
        <v>1691.64</v>
      </c>
      <c r="I113" t="n">
        <v>507492</v>
      </c>
      <c r="J113" t="n">
        <v>177.62</v>
      </c>
      <c r="K113" t="inlineStr">
        <is>
          <t>NSE</t>
        </is>
      </c>
      <c r="L113" t="inlineStr">
        <is>
          <t>QE-CLEARING</t>
        </is>
      </c>
      <c r="M113" t="inlineStr">
        <is>
          <t>T100113</t>
        </is>
      </c>
    </row>
    <row r="114">
      <c r="A114" t="inlineStr">
        <is>
          <t>T100114</t>
        </is>
      </c>
      <c r="B114" t="inlineStr">
        <is>
          <t>2026-06-30</t>
        </is>
      </c>
      <c r="C114" t="inlineStr">
        <is>
          <t>15:55:27</t>
        </is>
      </c>
      <c r="D114" t="inlineStr">
        <is>
          <t>KOTAKBANK</t>
        </is>
      </c>
      <c r="E114" t="inlineStr">
        <is>
          <t>Equity</t>
        </is>
      </c>
      <c r="F114" t="inlineStr">
        <is>
          <t>SELL</t>
        </is>
      </c>
      <c r="G114" t="n">
        <v>200</v>
      </c>
      <c r="H114" t="n">
        <v>1797.65</v>
      </c>
      <c r="I114" t="n">
        <v>359530</v>
      </c>
      <c r="J114" t="n">
        <v>125.84</v>
      </c>
      <c r="K114" t="inlineStr">
        <is>
          <t>NSE</t>
        </is>
      </c>
      <c r="L114" t="inlineStr">
        <is>
          <t>QE-CLEARING</t>
        </is>
      </c>
      <c r="M114" t="inlineStr">
        <is>
          <t>T100114</t>
        </is>
      </c>
    </row>
    <row r="115">
      <c r="A115" t="inlineStr">
        <is>
          <t>T100115</t>
        </is>
      </c>
      <c r="B115" t="inlineStr">
        <is>
          <t>2026-06-30</t>
        </is>
      </c>
      <c r="C115" t="inlineStr">
        <is>
          <t>12:08:52</t>
        </is>
      </c>
      <c r="D115" t="inlineStr">
        <is>
          <t>ITC</t>
        </is>
      </c>
      <c r="E115" t="inlineStr">
        <is>
          <t>Equity</t>
        </is>
      </c>
      <c r="F115" t="inlineStr">
        <is>
          <t>BUY</t>
        </is>
      </c>
      <c r="G115" t="n">
        <v>75</v>
      </c>
      <c r="H115" t="n">
        <v>447.89</v>
      </c>
      <c r="I115" t="n">
        <v>33591.75</v>
      </c>
      <c r="J115" t="n">
        <v>11.76</v>
      </c>
      <c r="K115" t="inlineStr">
        <is>
          <t>NSE</t>
        </is>
      </c>
      <c r="L115" t="inlineStr">
        <is>
          <t>QE-CLEARING</t>
        </is>
      </c>
      <c r="M115" t="inlineStr">
        <is>
          <t>T100115</t>
        </is>
      </c>
    </row>
    <row r="116">
      <c r="A116" t="inlineStr">
        <is>
          <t>T100116</t>
        </is>
      </c>
      <c r="B116" t="inlineStr">
        <is>
          <t>2026-06-30</t>
        </is>
      </c>
      <c r="C116" t="inlineStr">
        <is>
          <t>15:07:39</t>
        </is>
      </c>
      <c r="D116" t="inlineStr">
        <is>
          <t>AXISBANK</t>
        </is>
      </c>
      <c r="E116" t="inlineStr">
        <is>
          <t>Equity</t>
        </is>
      </c>
      <c r="F116" t="inlineStr">
        <is>
          <t>BUY</t>
        </is>
      </c>
      <c r="G116" t="n">
        <v>500</v>
      </c>
      <c r="H116" t="n">
        <v>1133.87</v>
      </c>
      <c r="I116" t="n">
        <v>566935</v>
      </c>
      <c r="J116" t="n">
        <v>198.43</v>
      </c>
      <c r="K116" t="inlineStr">
        <is>
          <t>BSE</t>
        </is>
      </c>
      <c r="L116" t="inlineStr">
        <is>
          <t>QE-CLEARING</t>
        </is>
      </c>
      <c r="M116" t="inlineStr">
        <is>
          <t>T100116</t>
        </is>
      </c>
    </row>
    <row r="117">
      <c r="A117" t="inlineStr">
        <is>
          <t>T100117</t>
        </is>
      </c>
      <c r="B117" t="inlineStr">
        <is>
          <t>2026-06-30</t>
        </is>
      </c>
      <c r="C117" t="inlineStr">
        <is>
          <t>13:05:19</t>
        </is>
      </c>
      <c r="D117" t="inlineStr">
        <is>
          <t>AXISBANK</t>
        </is>
      </c>
      <c r="E117" t="inlineStr">
        <is>
          <t>Equity</t>
        </is>
      </c>
      <c r="F117" t="inlineStr">
        <is>
          <t>BUY</t>
        </is>
      </c>
      <c r="G117" t="n">
        <v>500</v>
      </c>
      <c r="H117" t="n">
        <v>1133.12</v>
      </c>
      <c r="I117" t="n">
        <v>566560</v>
      </c>
      <c r="J117" t="n">
        <v>198.3</v>
      </c>
      <c r="K117" t="inlineStr">
        <is>
          <t>NSE</t>
        </is>
      </c>
      <c r="L117" t="inlineStr">
        <is>
          <t>QE-CLEARING</t>
        </is>
      </c>
      <c r="M117" t="inlineStr">
        <is>
          <t>T100117</t>
        </is>
      </c>
    </row>
    <row r="118">
      <c r="A118" t="inlineStr">
        <is>
          <t>T100118</t>
        </is>
      </c>
      <c r="B118" t="inlineStr">
        <is>
          <t>2026-06-30</t>
        </is>
      </c>
      <c r="C118" t="inlineStr">
        <is>
          <t>11:18:51</t>
        </is>
      </c>
      <c r="D118" t="inlineStr">
        <is>
          <t>BAJFINANCE</t>
        </is>
      </c>
      <c r="E118" t="inlineStr">
        <is>
          <t>Equity</t>
        </is>
      </c>
      <c r="F118" t="inlineStr">
        <is>
          <t>BUY</t>
        </is>
      </c>
      <c r="G118" t="n">
        <v>200</v>
      </c>
      <c r="H118" t="n">
        <v>7177.83</v>
      </c>
      <c r="I118" t="n">
        <v>1435566</v>
      </c>
      <c r="J118" t="n">
        <v>502.45</v>
      </c>
      <c r="K118" t="inlineStr">
        <is>
          <t>NSE</t>
        </is>
      </c>
      <c r="L118" t="inlineStr">
        <is>
          <t>QE-CLEARING</t>
        </is>
      </c>
      <c r="M118" t="inlineStr">
        <is>
          <t>T100118</t>
        </is>
      </c>
    </row>
    <row r="119">
      <c r="A119" t="inlineStr">
        <is>
          <t>T100119</t>
        </is>
      </c>
      <c r="B119" t="inlineStr">
        <is>
          <t>2026-06-30</t>
        </is>
      </c>
      <c r="C119" t="inlineStr">
        <is>
          <t>12:25:20</t>
        </is>
      </c>
      <c r="D119" t="inlineStr">
        <is>
          <t>SUNPHARMA</t>
        </is>
      </c>
      <c r="E119" t="inlineStr">
        <is>
          <t>Equity</t>
        </is>
      </c>
      <c r="F119" t="inlineStr">
        <is>
          <t>SELL</t>
        </is>
      </c>
      <c r="G119" t="n">
        <v>150</v>
      </c>
      <c r="H119" t="n">
        <v>1723.44</v>
      </c>
      <c r="I119" t="n">
        <v>258516</v>
      </c>
      <c r="J119" t="n">
        <v>90.48</v>
      </c>
      <c r="K119" t="inlineStr">
        <is>
          <t>NSE</t>
        </is>
      </c>
      <c r="L119" t="inlineStr">
        <is>
          <t>QE-CLEARING</t>
        </is>
      </c>
      <c r="M119" t="inlineStr">
        <is>
          <t>T100119</t>
        </is>
      </c>
    </row>
    <row r="120">
      <c r="A120" t="inlineStr">
        <is>
          <t>T100120</t>
        </is>
      </c>
      <c r="B120" t="inlineStr">
        <is>
          <t>2026-06-30</t>
        </is>
      </c>
      <c r="C120" t="inlineStr">
        <is>
          <t>13:55:41</t>
        </is>
      </c>
      <c r="D120" t="inlineStr">
        <is>
          <t>HINDUNILVR</t>
        </is>
      </c>
      <c r="E120" t="inlineStr">
        <is>
          <t>Equity</t>
        </is>
      </c>
      <c r="F120" t="inlineStr">
        <is>
          <t>SELL</t>
        </is>
      </c>
      <c r="G120" t="n">
        <v>50</v>
      </c>
      <c r="H120" t="n">
        <v>2359.63</v>
      </c>
      <c r="I120" t="n">
        <v>117981.5</v>
      </c>
      <c r="J120" t="n">
        <v>41.29</v>
      </c>
      <c r="K120" t="inlineStr">
        <is>
          <t>BSE</t>
        </is>
      </c>
      <c r="L120" t="inlineStr">
        <is>
          <t>QE-CLEARING</t>
        </is>
      </c>
      <c r="M120" t="inlineStr">
        <is>
          <t>T100120</t>
        </is>
      </c>
    </row>
    <row r="121">
      <c r="A121" t="inlineStr">
        <is>
          <t>T100121</t>
        </is>
      </c>
      <c r="B121" t="inlineStr">
        <is>
          <t>2026-06-30</t>
        </is>
      </c>
      <c r="C121" t="inlineStr">
        <is>
          <t>12:37:58</t>
        </is>
      </c>
      <c r="D121" t="inlineStr">
        <is>
          <t>ITC</t>
        </is>
      </c>
      <c r="E121" t="inlineStr">
        <is>
          <t>Equity</t>
        </is>
      </c>
      <c r="F121" t="inlineStr">
        <is>
          <t>SELL</t>
        </is>
      </c>
      <c r="G121" t="n">
        <v>200</v>
      </c>
      <c r="H121" t="n">
        <v>447.52</v>
      </c>
      <c r="I121" t="n">
        <v>89504</v>
      </c>
      <c r="J121" t="n">
        <v>31.33</v>
      </c>
      <c r="K121" t="inlineStr">
        <is>
          <t>BSE</t>
        </is>
      </c>
      <c r="L121" t="inlineStr">
        <is>
          <t>QE-CLEARING</t>
        </is>
      </c>
      <c r="M121" t="inlineStr">
        <is>
          <t>T100121</t>
        </is>
      </c>
    </row>
    <row r="122">
      <c r="A122" t="inlineStr">
        <is>
          <t>T100122</t>
        </is>
      </c>
      <c r="B122" t="inlineStr">
        <is>
          <t>2026-06-30</t>
        </is>
      </c>
      <c r="C122" t="inlineStr">
        <is>
          <t>10:32:56</t>
        </is>
      </c>
      <c r="D122" t="inlineStr">
        <is>
          <t>BHARTIARTL</t>
        </is>
      </c>
      <c r="E122" t="inlineStr">
        <is>
          <t>Equity</t>
        </is>
      </c>
      <c r="F122" t="inlineStr">
        <is>
          <t>SELL</t>
        </is>
      </c>
      <c r="G122" t="n">
        <v>500</v>
      </c>
      <c r="H122" t="n">
        <v>1579.44</v>
      </c>
      <c r="I122" t="n">
        <v>789720</v>
      </c>
      <c r="J122" t="n">
        <v>276.4</v>
      </c>
      <c r="K122" t="inlineStr">
        <is>
          <t>BSE</t>
        </is>
      </c>
      <c r="L122" t="inlineStr">
        <is>
          <t>QE-CLEARING</t>
        </is>
      </c>
      <c r="M122" t="inlineStr">
        <is>
          <t>T100122</t>
        </is>
      </c>
    </row>
    <row r="123">
      <c r="A123" t="inlineStr">
        <is>
          <t>T100123</t>
        </is>
      </c>
      <c r="B123" t="inlineStr">
        <is>
          <t>2026-06-30</t>
        </is>
      </c>
      <c r="C123" t="inlineStr">
        <is>
          <t>14:54:32</t>
        </is>
      </c>
      <c r="D123" t="inlineStr">
        <is>
          <t>ITC</t>
        </is>
      </c>
      <c r="E123" t="inlineStr">
        <is>
          <t>Equity</t>
        </is>
      </c>
      <c r="F123" t="inlineStr">
        <is>
          <t>SELL</t>
        </is>
      </c>
      <c r="G123" t="n">
        <v>75</v>
      </c>
      <c r="H123" t="n">
        <v>448.38</v>
      </c>
      <c r="I123" t="n">
        <v>33628.5</v>
      </c>
      <c r="J123" t="n">
        <v>11.77</v>
      </c>
      <c r="K123" t="inlineStr">
        <is>
          <t>NSE</t>
        </is>
      </c>
      <c r="L123" t="inlineStr">
        <is>
          <t>QE-CLEARING</t>
        </is>
      </c>
      <c r="M123" t="inlineStr">
        <is>
          <t>T100123</t>
        </is>
      </c>
    </row>
    <row r="124">
      <c r="A124" t="inlineStr">
        <is>
          <t>T100124</t>
        </is>
      </c>
      <c r="B124" t="inlineStr">
        <is>
          <t>2026-06-30</t>
        </is>
      </c>
      <c r="C124" t="inlineStr">
        <is>
          <t>15:28:14</t>
        </is>
      </c>
      <c r="D124" t="inlineStr">
        <is>
          <t>ICICIBANK</t>
        </is>
      </c>
      <c r="E124" t="inlineStr">
        <is>
          <t>Equity</t>
        </is>
      </c>
      <c r="F124" t="inlineStr">
        <is>
          <t>BUY</t>
        </is>
      </c>
      <c r="G124" t="n">
        <v>50</v>
      </c>
      <c r="H124" t="n">
        <v>1244.55</v>
      </c>
      <c r="I124" t="n">
        <v>62227.5</v>
      </c>
      <c r="J124" t="n">
        <v>21.78</v>
      </c>
      <c r="K124" t="inlineStr">
        <is>
          <t>BSE</t>
        </is>
      </c>
      <c r="L124" t="inlineStr">
        <is>
          <t>QE-CLEARING</t>
        </is>
      </c>
      <c r="M124" t="inlineStr">
        <is>
          <t>T100124</t>
        </is>
      </c>
    </row>
    <row r="125">
      <c r="A125" t="inlineStr">
        <is>
          <t>T100125</t>
        </is>
      </c>
      <c r="B125" t="inlineStr">
        <is>
          <t>2026-06-30</t>
        </is>
      </c>
      <c r="C125" t="inlineStr">
        <is>
          <t>14:13:31</t>
        </is>
      </c>
      <c r="D125" t="inlineStr">
        <is>
          <t>ICICIBANK</t>
        </is>
      </c>
      <c r="E125" t="inlineStr">
        <is>
          <t>Equity</t>
        </is>
      </c>
      <c r="F125" t="inlineStr">
        <is>
          <t>BUY</t>
        </is>
      </c>
      <c r="G125" t="n">
        <v>100</v>
      </c>
      <c r="H125" t="n">
        <v>1239.62</v>
      </c>
      <c r="I125" t="n">
        <v>123962</v>
      </c>
      <c r="J125" t="n">
        <v>39.05</v>
      </c>
      <c r="K125" t="inlineStr">
        <is>
          <t>NSE</t>
        </is>
      </c>
      <c r="L125" t="inlineStr">
        <is>
          <t>QE-CLEARING</t>
        </is>
      </c>
      <c r="M125" t="inlineStr">
        <is>
          <t>T100125</t>
        </is>
      </c>
    </row>
    <row r="126">
      <c r="A126" t="inlineStr">
        <is>
          <t>T100126</t>
        </is>
      </c>
      <c r="B126" t="inlineStr">
        <is>
          <t>2026-06-30</t>
        </is>
      </c>
      <c r="C126" t="inlineStr">
        <is>
          <t>13:23:59</t>
        </is>
      </c>
      <c r="D126" t="inlineStr">
        <is>
          <t>ITC</t>
        </is>
      </c>
      <c r="E126" t="inlineStr">
        <is>
          <t>Equity</t>
        </is>
      </c>
      <c r="F126" t="inlineStr">
        <is>
          <t>BUY</t>
        </is>
      </c>
      <c r="G126" t="n">
        <v>200</v>
      </c>
      <c r="H126" t="n">
        <v>447.91</v>
      </c>
      <c r="I126" t="n">
        <v>89582</v>
      </c>
      <c r="J126" t="n">
        <v>31.35</v>
      </c>
      <c r="K126" t="inlineStr">
        <is>
          <t>BSE</t>
        </is>
      </c>
      <c r="L126" t="inlineStr">
        <is>
          <t>QE-CLEARING</t>
        </is>
      </c>
      <c r="M126" t="inlineStr">
        <is>
          <t>T100126</t>
        </is>
      </c>
    </row>
    <row r="127">
      <c r="A127" t="inlineStr">
        <is>
          <t>T100127</t>
        </is>
      </c>
      <c r="B127" t="inlineStr">
        <is>
          <t>2026-06-30</t>
        </is>
      </c>
      <c r="C127" t="inlineStr">
        <is>
          <t>11:57:03</t>
        </is>
      </c>
      <c r="D127" t="inlineStr">
        <is>
          <t>AXISBANK</t>
        </is>
      </c>
      <c r="E127" t="inlineStr">
        <is>
          <t>Equity</t>
        </is>
      </c>
      <c r="F127" t="inlineStr">
        <is>
          <t>SELL</t>
        </is>
      </c>
      <c r="G127" t="n">
        <v>250</v>
      </c>
      <c r="H127" t="n">
        <v>1127.68</v>
      </c>
      <c r="I127" t="n">
        <v>281920</v>
      </c>
      <c r="J127" t="n">
        <v>98.67</v>
      </c>
      <c r="K127" t="inlineStr">
        <is>
          <t>BSE</t>
        </is>
      </c>
      <c r="L127" t="inlineStr">
        <is>
          <t>QE-CLEARING</t>
        </is>
      </c>
      <c r="M127" t="inlineStr">
        <is>
          <t>T100127</t>
        </is>
      </c>
    </row>
    <row r="128">
      <c r="A128" t="inlineStr">
        <is>
          <t>T100128</t>
        </is>
      </c>
      <c r="B128" t="inlineStr">
        <is>
          <t>2026-06-30</t>
        </is>
      </c>
      <c r="C128" t="inlineStr">
        <is>
          <t>14:31:56</t>
        </is>
      </c>
      <c r="D128" t="inlineStr">
        <is>
          <t>TATAMOTORS</t>
        </is>
      </c>
      <c r="E128" t="inlineStr">
        <is>
          <t>Equity</t>
        </is>
      </c>
      <c r="F128" t="inlineStr">
        <is>
          <t>SELL</t>
        </is>
      </c>
      <c r="G128" t="n">
        <v>300</v>
      </c>
      <c r="H128" t="n">
        <v>984.8200000000001</v>
      </c>
      <c r="I128" t="n">
        <v>295446</v>
      </c>
      <c r="J128" t="n">
        <v>103.41</v>
      </c>
      <c r="K128" t="inlineStr">
        <is>
          <t>NSE</t>
        </is>
      </c>
      <c r="L128" t="inlineStr">
        <is>
          <t>QE-CLEARING</t>
        </is>
      </c>
      <c r="M128" t="inlineStr">
        <is>
          <t>T100128</t>
        </is>
      </c>
    </row>
    <row r="129">
      <c r="A129" t="inlineStr">
        <is>
          <t>T100129</t>
        </is>
      </c>
      <c r="B129" t="inlineStr">
        <is>
          <t>2026-06-30</t>
        </is>
      </c>
      <c r="C129" t="inlineStr">
        <is>
          <t>13:24:53</t>
        </is>
      </c>
      <c r="D129" t="inlineStr">
        <is>
          <t>AXISBANK</t>
        </is>
      </c>
      <c r="E129" t="inlineStr">
        <is>
          <t>Equity</t>
        </is>
      </c>
      <c r="F129" t="inlineStr">
        <is>
          <t>BUY</t>
        </is>
      </c>
      <c r="G129" t="n">
        <v>250</v>
      </c>
      <c r="H129" t="n">
        <v>1132.75</v>
      </c>
      <c r="I129" t="n">
        <v>283187.5</v>
      </c>
      <c r="J129" t="n">
        <v>99.12</v>
      </c>
      <c r="K129" t="inlineStr">
        <is>
          <t>NSE</t>
        </is>
      </c>
      <c r="L129" t="inlineStr">
        <is>
          <t>QE-CLEARING</t>
        </is>
      </c>
      <c r="M129" t="inlineStr">
        <is>
          <t>T100129</t>
        </is>
      </c>
    </row>
    <row r="130">
      <c r="A130" t="inlineStr">
        <is>
          <t>T100130</t>
        </is>
      </c>
      <c r="B130" t="inlineStr">
        <is>
          <t>2026-06-30</t>
        </is>
      </c>
      <c r="C130" t="inlineStr">
        <is>
          <t>11:56:26</t>
        </is>
      </c>
      <c r="D130" t="inlineStr">
        <is>
          <t>KOTAKBANK</t>
        </is>
      </c>
      <c r="E130" t="inlineStr">
        <is>
          <t>Equity</t>
        </is>
      </c>
      <c r="F130" t="inlineStr">
        <is>
          <t>BUY</t>
        </is>
      </c>
      <c r="G130" t="n">
        <v>300</v>
      </c>
      <c r="H130" t="n">
        <v>1790.25</v>
      </c>
      <c r="I130" t="n">
        <v>537075</v>
      </c>
      <c r="J130" t="n">
        <v>187.98</v>
      </c>
      <c r="K130" t="inlineStr">
        <is>
          <t>BSE</t>
        </is>
      </c>
      <c r="L130" t="inlineStr">
        <is>
          <t>QE-CLEARING</t>
        </is>
      </c>
      <c r="M130" t="inlineStr">
        <is>
          <t>T100130</t>
        </is>
      </c>
    </row>
    <row r="131">
      <c r="A131" t="inlineStr">
        <is>
          <t>T100131</t>
        </is>
      </c>
      <c r="B131" t="inlineStr">
        <is>
          <t>2026-06-30</t>
        </is>
      </c>
      <c r="C131" t="inlineStr">
        <is>
          <t>12:26:59</t>
        </is>
      </c>
      <c r="D131" t="inlineStr">
        <is>
          <t>TATAMOTORS</t>
        </is>
      </c>
      <c r="E131" t="inlineStr">
        <is>
          <t>Equity</t>
        </is>
      </c>
      <c r="F131" t="inlineStr">
        <is>
          <t>BUY</t>
        </is>
      </c>
      <c r="G131" t="n">
        <v>50</v>
      </c>
      <c r="H131" t="n">
        <v>988.38</v>
      </c>
      <c r="I131" t="n">
        <v>49419</v>
      </c>
      <c r="J131" t="n">
        <v>17.3</v>
      </c>
      <c r="K131" t="inlineStr">
        <is>
          <t>BSE</t>
        </is>
      </c>
      <c r="L131" t="inlineStr">
        <is>
          <t>QE-CLEARING</t>
        </is>
      </c>
      <c r="M131" t="inlineStr">
        <is>
          <t>T100131</t>
        </is>
      </c>
    </row>
    <row r="132">
      <c r="A132" t="inlineStr">
        <is>
          <t>T100132</t>
        </is>
      </c>
      <c r="B132" t="inlineStr">
        <is>
          <t>2026-06-30</t>
        </is>
      </c>
      <c r="C132" t="inlineStr">
        <is>
          <t>10:38:54</t>
        </is>
      </c>
      <c r="D132" t="inlineStr">
        <is>
          <t>SUNPHARMA</t>
        </is>
      </c>
      <c r="E132" t="inlineStr">
        <is>
          <t>Equity</t>
        </is>
      </c>
      <c r="F132" t="inlineStr">
        <is>
          <t>BUY</t>
        </is>
      </c>
      <c r="G132" t="n">
        <v>100</v>
      </c>
      <c r="H132" t="n">
        <v>1722.43</v>
      </c>
      <c r="I132" t="n">
        <v>172243</v>
      </c>
      <c r="J132" t="n">
        <v>60.29</v>
      </c>
      <c r="K132" t="inlineStr">
        <is>
          <t>BSE</t>
        </is>
      </c>
      <c r="L132" t="inlineStr">
        <is>
          <t>QE-CLEARING</t>
        </is>
      </c>
      <c r="M132" t="inlineStr">
        <is>
          <t>T100132</t>
        </is>
      </c>
    </row>
    <row r="133">
      <c r="A133" t="inlineStr">
        <is>
          <t>T100133</t>
        </is>
      </c>
      <c r="B133" t="inlineStr">
        <is>
          <t>2026-06-30</t>
        </is>
      </c>
      <c r="C133" t="inlineStr">
        <is>
          <t>15:43:10</t>
        </is>
      </c>
      <c r="D133" t="inlineStr">
        <is>
          <t>ICICIBANK</t>
        </is>
      </c>
      <c r="E133" t="inlineStr">
        <is>
          <t>Equity</t>
        </is>
      </c>
      <c r="F133" t="inlineStr">
        <is>
          <t>BUY</t>
        </is>
      </c>
      <c r="G133" t="n">
        <v>300</v>
      </c>
      <c r="H133" t="n">
        <v>1237.36</v>
      </c>
      <c r="I133" t="n">
        <v>371208</v>
      </c>
      <c r="J133" t="n">
        <v>129.92</v>
      </c>
      <c r="K133" t="inlineStr">
        <is>
          <t>NSE</t>
        </is>
      </c>
      <c r="L133" t="inlineStr">
        <is>
          <t>QE-CLEARING</t>
        </is>
      </c>
      <c r="M133" t="inlineStr">
        <is>
          <t>T100133</t>
        </is>
      </c>
    </row>
    <row r="134">
      <c r="A134" t="inlineStr">
        <is>
          <t>T100134</t>
        </is>
      </c>
      <c r="B134" t="inlineStr">
        <is>
          <t>2026-06-30</t>
        </is>
      </c>
      <c r="C134" t="inlineStr">
        <is>
          <t>14:18:24</t>
        </is>
      </c>
      <c r="D134" t="inlineStr">
        <is>
          <t>ITC</t>
        </is>
      </c>
      <c r="E134" t="inlineStr">
        <is>
          <t>Equity</t>
        </is>
      </c>
      <c r="F134" t="inlineStr">
        <is>
          <t>BUY</t>
        </is>
      </c>
      <c r="G134" t="n">
        <v>200</v>
      </c>
      <c r="H134" t="n">
        <v>448.32</v>
      </c>
      <c r="I134" t="n">
        <v>89664</v>
      </c>
      <c r="J134" t="n">
        <v>31.38</v>
      </c>
      <c r="K134" t="inlineStr">
        <is>
          <t>BSE</t>
        </is>
      </c>
      <c r="L134" t="inlineStr">
        <is>
          <t>QE-CLEARING</t>
        </is>
      </c>
      <c r="M134" t="inlineStr">
        <is>
          <t>T100134</t>
        </is>
      </c>
    </row>
    <row r="135">
      <c r="A135" t="inlineStr">
        <is>
          <t>T100135</t>
        </is>
      </c>
      <c r="B135" t="inlineStr">
        <is>
          <t>2026-06-30</t>
        </is>
      </c>
      <c r="C135" t="inlineStr">
        <is>
          <t>11:31:00</t>
        </is>
      </c>
      <c r="D135" t="inlineStr">
        <is>
          <t>SBIN</t>
        </is>
      </c>
      <c r="E135" t="inlineStr">
        <is>
          <t>Equity</t>
        </is>
      </c>
      <c r="F135" t="inlineStr">
        <is>
          <t>SELL</t>
        </is>
      </c>
      <c r="G135" t="n">
        <v>200</v>
      </c>
      <c r="H135" t="n">
        <v>817.66</v>
      </c>
      <c r="I135" t="n">
        <v>163532</v>
      </c>
      <c r="J135" t="n">
        <v>57.24</v>
      </c>
      <c r="K135" t="inlineStr">
        <is>
          <t>NSE</t>
        </is>
      </c>
      <c r="L135" t="inlineStr">
        <is>
          <t>QE-CLEARING</t>
        </is>
      </c>
      <c r="M135" t="inlineStr">
        <is>
          <t>T100135</t>
        </is>
      </c>
    </row>
    <row r="136">
      <c r="A136" t="inlineStr">
        <is>
          <t>T100136</t>
        </is>
      </c>
      <c r="B136" t="inlineStr">
        <is>
          <t>2026-06-30</t>
        </is>
      </c>
      <c r="C136" t="inlineStr">
        <is>
          <t>15:11:04</t>
        </is>
      </c>
      <c r="D136" t="inlineStr">
        <is>
          <t>SUNPHARMA</t>
        </is>
      </c>
      <c r="E136" t="inlineStr">
        <is>
          <t>Equity</t>
        </is>
      </c>
      <c r="F136" t="inlineStr">
        <is>
          <t>SELL</t>
        </is>
      </c>
      <c r="G136" t="n">
        <v>75</v>
      </c>
      <c r="H136" t="n">
        <v>1724.91</v>
      </c>
      <c r="I136" t="n">
        <v>129368.25</v>
      </c>
      <c r="J136" t="n">
        <v>45.28</v>
      </c>
      <c r="K136" t="inlineStr">
        <is>
          <t>NSE</t>
        </is>
      </c>
      <c r="L136" t="inlineStr">
        <is>
          <t>QE-CLEARING</t>
        </is>
      </c>
      <c r="M136" t="inlineStr">
        <is>
          <t>T100136</t>
        </is>
      </c>
    </row>
    <row r="137">
      <c r="A137" t="inlineStr">
        <is>
          <t>T100137</t>
        </is>
      </c>
      <c r="B137" t="inlineStr">
        <is>
          <t>2026-06-30</t>
        </is>
      </c>
      <c r="C137" t="inlineStr">
        <is>
          <t>13:35:24</t>
        </is>
      </c>
      <c r="D137" t="inlineStr">
        <is>
          <t>ICICIBANK</t>
        </is>
      </c>
      <c r="E137" t="inlineStr">
        <is>
          <t>Equity</t>
        </is>
      </c>
      <c r="F137" t="inlineStr">
        <is>
          <t>BUY</t>
        </is>
      </c>
      <c r="G137" t="n">
        <v>250</v>
      </c>
      <c r="H137" t="n">
        <v>1235.71</v>
      </c>
      <c r="I137" t="n">
        <v>308927.5</v>
      </c>
      <c r="J137" t="n">
        <v>108.12</v>
      </c>
      <c r="K137" t="inlineStr">
        <is>
          <t>BSE</t>
        </is>
      </c>
      <c r="L137" t="inlineStr">
        <is>
          <t>QE-CLEARING</t>
        </is>
      </c>
      <c r="M137" t="inlineStr">
        <is>
          <t>T100137</t>
        </is>
      </c>
    </row>
    <row r="138">
      <c r="A138" t="inlineStr">
        <is>
          <t>T100138</t>
        </is>
      </c>
      <c r="B138" t="inlineStr">
        <is>
          <t>2026-06-30</t>
        </is>
      </c>
      <c r="C138" t="inlineStr">
        <is>
          <t>15:30:20</t>
        </is>
      </c>
      <c r="D138" t="inlineStr">
        <is>
          <t>LT</t>
        </is>
      </c>
      <c r="E138" t="inlineStr">
        <is>
          <t>Equity</t>
        </is>
      </c>
      <c r="F138" t="inlineStr">
        <is>
          <t>SELL</t>
        </is>
      </c>
      <c r="G138" t="n">
        <v>250</v>
      </c>
      <c r="H138" t="n">
        <v>3610.45</v>
      </c>
      <c r="I138" t="n">
        <v>902612.5</v>
      </c>
      <c r="J138" t="n">
        <v>315.91</v>
      </c>
      <c r="K138" t="inlineStr">
        <is>
          <t>BSE</t>
        </is>
      </c>
      <c r="L138" t="inlineStr">
        <is>
          <t>QE-CLEARING</t>
        </is>
      </c>
      <c r="M138" t="inlineStr">
        <is>
          <t>T100138</t>
        </is>
      </c>
    </row>
    <row r="139">
      <c r="A139" t="inlineStr">
        <is>
          <t>T100139</t>
        </is>
      </c>
      <c r="B139" t="inlineStr">
        <is>
          <t>2026-06-30</t>
        </is>
      </c>
      <c r="C139" t="inlineStr">
        <is>
          <t>15:05:34</t>
        </is>
      </c>
      <c r="D139" t="inlineStr">
        <is>
          <t>SBIN</t>
        </is>
      </c>
      <c r="E139" t="inlineStr">
        <is>
          <t>Equity</t>
        </is>
      </c>
      <c r="F139" t="inlineStr">
        <is>
          <t>SELL</t>
        </is>
      </c>
      <c r="G139" t="n">
        <v>250</v>
      </c>
      <c r="H139" t="n">
        <v>814.83</v>
      </c>
      <c r="I139" t="n">
        <v>203707.5</v>
      </c>
      <c r="J139" t="n">
        <v>71.3</v>
      </c>
      <c r="K139" t="inlineStr">
        <is>
          <t>NSE</t>
        </is>
      </c>
      <c r="L139" t="inlineStr">
        <is>
          <t>QE-CLEARING</t>
        </is>
      </c>
      <c r="M139" t="inlineStr">
        <is>
          <t>T100139</t>
        </is>
      </c>
    </row>
    <row r="140">
      <c r="A140" t="inlineStr">
        <is>
          <t>T100140</t>
        </is>
      </c>
      <c r="B140" t="inlineStr">
        <is>
          <t>2026-06-30</t>
        </is>
      </c>
      <c r="C140" t="inlineStr">
        <is>
          <t>10:48:29</t>
        </is>
      </c>
      <c r="D140" t="inlineStr">
        <is>
          <t>SBIN</t>
        </is>
      </c>
      <c r="E140" t="inlineStr">
        <is>
          <t>Equity</t>
        </is>
      </c>
      <c r="F140" t="inlineStr">
        <is>
          <t>BUY</t>
        </is>
      </c>
      <c r="G140" t="n">
        <v>250</v>
      </c>
      <c r="H140" t="n">
        <v>814.83</v>
      </c>
      <c r="I140" t="n">
        <v>203707.5</v>
      </c>
      <c r="J140" t="n">
        <v>71.3</v>
      </c>
      <c r="K140" t="inlineStr">
        <is>
          <t>NSE</t>
        </is>
      </c>
      <c r="L140" t="inlineStr">
        <is>
          <t>QE-CLEARING</t>
        </is>
      </c>
      <c r="M140" t="inlineStr">
        <is>
          <t>T100140</t>
        </is>
      </c>
    </row>
    <row r="141">
      <c r="A141" t="inlineStr">
        <is>
          <t>T100141</t>
        </is>
      </c>
      <c r="B141" t="inlineStr">
        <is>
          <t>2026-06-30</t>
        </is>
      </c>
      <c r="C141" t="inlineStr">
        <is>
          <t>12:36:49</t>
        </is>
      </c>
      <c r="D141" t="inlineStr">
        <is>
          <t>SBIN</t>
        </is>
      </c>
      <c r="E141" t="inlineStr">
        <is>
          <t>Equity</t>
        </is>
      </c>
      <c r="F141" t="inlineStr">
        <is>
          <t>SELL</t>
        </is>
      </c>
      <c r="G141" t="n">
        <v>150</v>
      </c>
      <c r="H141" t="n">
        <v>814.03</v>
      </c>
      <c r="I141" t="n">
        <v>122104.5</v>
      </c>
      <c r="J141" t="n">
        <v>42.74</v>
      </c>
      <c r="K141" t="inlineStr">
        <is>
          <t>NSE</t>
        </is>
      </c>
      <c r="L141" t="inlineStr">
        <is>
          <t>QE-CLEARING</t>
        </is>
      </c>
      <c r="M141" t="inlineStr">
        <is>
          <t>T100141</t>
        </is>
      </c>
    </row>
    <row r="142">
      <c r="A142" t="inlineStr">
        <is>
          <t>T100142</t>
        </is>
      </c>
      <c r="B142" t="inlineStr">
        <is>
          <t>2026-06-30</t>
        </is>
      </c>
      <c r="C142" t="inlineStr">
        <is>
          <t>10:28:16</t>
        </is>
      </c>
      <c r="D142" t="inlineStr">
        <is>
          <t>MARUTI</t>
        </is>
      </c>
      <c r="E142" t="inlineStr">
        <is>
          <t>Equity</t>
        </is>
      </c>
      <c r="F142" t="inlineStr">
        <is>
          <t>BUY</t>
        </is>
      </c>
      <c r="G142" t="n">
        <v>50</v>
      </c>
      <c r="H142" t="n">
        <v>12668.43</v>
      </c>
      <c r="I142" t="n">
        <v>633421.5</v>
      </c>
      <c r="J142" t="n">
        <v>221.7</v>
      </c>
      <c r="K142" t="inlineStr">
        <is>
          <t>NSE</t>
        </is>
      </c>
      <c r="L142" t="inlineStr">
        <is>
          <t>QE-CLEARING</t>
        </is>
      </c>
      <c r="M142" t="inlineStr">
        <is>
          <t>T100142</t>
        </is>
      </c>
    </row>
    <row r="143">
      <c r="A143" t="inlineStr">
        <is>
          <t>T100143</t>
        </is>
      </c>
      <c r="B143" t="inlineStr">
        <is>
          <t>2026-06-30</t>
        </is>
      </c>
      <c r="C143" t="inlineStr">
        <is>
          <t>15:24:28</t>
        </is>
      </c>
      <c r="D143" t="inlineStr">
        <is>
          <t>ITC</t>
        </is>
      </c>
      <c r="E143" t="inlineStr">
        <is>
          <t>Equity</t>
        </is>
      </c>
      <c r="F143" t="inlineStr">
        <is>
          <t>BUY</t>
        </is>
      </c>
      <c r="G143" t="n">
        <v>250</v>
      </c>
      <c r="H143" t="n">
        <v>446.36</v>
      </c>
      <c r="I143" t="n">
        <v>111590</v>
      </c>
      <c r="J143" t="n">
        <v>39.06</v>
      </c>
      <c r="K143" t="inlineStr">
        <is>
          <t>BSE</t>
        </is>
      </c>
      <c r="L143" t="inlineStr">
        <is>
          <t>QE-CLEARING</t>
        </is>
      </c>
      <c r="M143" t="inlineStr">
        <is>
          <t>T100143</t>
        </is>
      </c>
    </row>
    <row r="144">
      <c r="A144" t="inlineStr">
        <is>
          <t>T100144</t>
        </is>
      </c>
      <c r="B144" t="inlineStr">
        <is>
          <t>2026-06-30</t>
        </is>
      </c>
      <c r="C144" t="inlineStr">
        <is>
          <t>09:47:18</t>
        </is>
      </c>
      <c r="D144" t="inlineStr">
        <is>
          <t>ITC</t>
        </is>
      </c>
      <c r="E144" t="inlineStr">
        <is>
          <t>Equity</t>
        </is>
      </c>
      <c r="F144" t="inlineStr">
        <is>
          <t>BUY</t>
        </is>
      </c>
      <c r="G144" t="n">
        <v>150</v>
      </c>
      <c r="H144" t="n">
        <v>446.5</v>
      </c>
      <c r="I144" t="n">
        <v>66975</v>
      </c>
      <c r="J144" t="n">
        <v>23.44</v>
      </c>
      <c r="K144" t="inlineStr">
        <is>
          <t>BSE</t>
        </is>
      </c>
      <c r="L144" t="inlineStr">
        <is>
          <t>QE-CLEARING</t>
        </is>
      </c>
      <c r="M144" t="inlineStr">
        <is>
          <t>T100144</t>
        </is>
      </c>
    </row>
    <row r="145">
      <c r="A145" t="inlineStr">
        <is>
          <t>T100145</t>
        </is>
      </c>
      <c r="B145" t="inlineStr">
        <is>
          <t>2026-06-30</t>
        </is>
      </c>
      <c r="C145" t="inlineStr">
        <is>
          <t>09:08:13</t>
        </is>
      </c>
      <c r="D145" t="inlineStr">
        <is>
          <t>SBIN</t>
        </is>
      </c>
      <c r="E145" t="inlineStr">
        <is>
          <t>Equity</t>
        </is>
      </c>
      <c r="F145" t="inlineStr">
        <is>
          <t>BUY</t>
        </is>
      </c>
      <c r="G145" t="n">
        <v>100</v>
      </c>
      <c r="H145" t="n">
        <v>816.2</v>
      </c>
      <c r="I145" t="n">
        <v>81620</v>
      </c>
      <c r="J145" t="n">
        <v>28.57</v>
      </c>
      <c r="K145" t="inlineStr">
        <is>
          <t>NSE</t>
        </is>
      </c>
      <c r="L145" t="inlineStr">
        <is>
          <t>QE-CLEARING</t>
        </is>
      </c>
      <c r="M145" t="inlineStr">
        <is>
          <t>T100145</t>
        </is>
      </c>
    </row>
    <row r="146">
      <c r="A146" t="inlineStr">
        <is>
          <t>T100146</t>
        </is>
      </c>
      <c r="B146" t="inlineStr">
        <is>
          <t>2026-06-30</t>
        </is>
      </c>
      <c r="C146" t="inlineStr">
        <is>
          <t>09:43:53</t>
        </is>
      </c>
      <c r="D146" t="inlineStr">
        <is>
          <t>TCS</t>
        </is>
      </c>
      <c r="E146" t="inlineStr">
        <is>
          <t>Equity</t>
        </is>
      </c>
      <c r="F146" t="inlineStr">
        <is>
          <t>BUY</t>
        </is>
      </c>
      <c r="G146" t="n">
        <v>200</v>
      </c>
      <c r="H146" t="n">
        <v>3883.68</v>
      </c>
      <c r="I146" t="n">
        <v>776736</v>
      </c>
      <c r="J146" t="n">
        <v>271.86</v>
      </c>
      <c r="K146" t="inlineStr">
        <is>
          <t>BSE</t>
        </is>
      </c>
      <c r="L146" t="inlineStr">
        <is>
          <t>QE-CLEARING</t>
        </is>
      </c>
      <c r="M146" t="inlineStr">
        <is>
          <t>T100146</t>
        </is>
      </c>
    </row>
    <row r="147">
      <c r="A147" t="inlineStr">
        <is>
          <t>T100147</t>
        </is>
      </c>
      <c r="B147" t="inlineStr">
        <is>
          <t>2026-06-30</t>
        </is>
      </c>
      <c r="C147" t="inlineStr">
        <is>
          <t>13:29:58</t>
        </is>
      </c>
      <c r="D147" t="inlineStr">
        <is>
          <t>LT</t>
        </is>
      </c>
      <c r="E147" t="inlineStr">
        <is>
          <t>Equity</t>
        </is>
      </c>
      <c r="F147" t="inlineStr">
        <is>
          <t>BUY</t>
        </is>
      </c>
      <c r="G147" t="n">
        <v>300</v>
      </c>
      <c r="H147" t="n">
        <v>3608.71</v>
      </c>
      <c r="I147" t="n">
        <v>1082613</v>
      </c>
      <c r="J147" t="n">
        <v>378.91</v>
      </c>
      <c r="K147" t="inlineStr">
        <is>
          <t>BSE</t>
        </is>
      </c>
      <c r="L147" t="inlineStr">
        <is>
          <t>QE-CLEARING</t>
        </is>
      </c>
      <c r="M147" t="inlineStr">
        <is>
          <t>T100147</t>
        </is>
      </c>
    </row>
    <row r="148">
      <c r="A148" t="inlineStr">
        <is>
          <t>T100148</t>
        </is>
      </c>
      <c r="B148" t="inlineStr">
        <is>
          <t>2026-06-30</t>
        </is>
      </c>
      <c r="C148" t="inlineStr">
        <is>
          <t>14:39:26</t>
        </is>
      </c>
      <c r="D148" t="inlineStr">
        <is>
          <t>TATAMOTORS</t>
        </is>
      </c>
      <c r="E148" t="inlineStr">
        <is>
          <t>Equity</t>
        </is>
      </c>
      <c r="F148" t="inlineStr">
        <is>
          <t>BUY</t>
        </is>
      </c>
      <c r="G148" t="n">
        <v>200</v>
      </c>
      <c r="H148" t="n">
        <v>987.62</v>
      </c>
      <c r="I148" t="n">
        <v>197524</v>
      </c>
      <c r="J148" t="n">
        <v>69.13</v>
      </c>
      <c r="K148" t="inlineStr">
        <is>
          <t>NSE</t>
        </is>
      </c>
      <c r="L148" t="inlineStr">
        <is>
          <t>QE-CLEARING</t>
        </is>
      </c>
      <c r="M148" t="inlineStr">
        <is>
          <t>T100148</t>
        </is>
      </c>
    </row>
    <row r="149">
      <c r="A149" t="inlineStr">
        <is>
          <t>T100149</t>
        </is>
      </c>
      <c r="B149" t="inlineStr">
        <is>
          <t>2026-06-30</t>
        </is>
      </c>
      <c r="C149" t="inlineStr">
        <is>
          <t>11:24:16</t>
        </is>
      </c>
      <c r="D149" t="inlineStr">
        <is>
          <t>BAJFINANCE</t>
        </is>
      </c>
      <c r="E149" t="inlineStr">
        <is>
          <t>Equity</t>
        </is>
      </c>
      <c r="F149" t="inlineStr">
        <is>
          <t>SELL</t>
        </is>
      </c>
      <c r="G149" t="n">
        <v>200</v>
      </c>
      <c r="H149" t="n">
        <v>7186.46</v>
      </c>
      <c r="I149" t="n">
        <v>1437292</v>
      </c>
      <c r="J149" t="n">
        <v>503.05</v>
      </c>
      <c r="K149" t="inlineStr">
        <is>
          <t>NSE</t>
        </is>
      </c>
      <c r="L149" t="inlineStr">
        <is>
          <t>QE-CLEARING</t>
        </is>
      </c>
      <c r="M149" t="inlineStr">
        <is>
          <t>T100149</t>
        </is>
      </c>
    </row>
    <row r="150">
      <c r="A150" t="inlineStr">
        <is>
          <t>T100150</t>
        </is>
      </c>
      <c r="B150" t="inlineStr">
        <is>
          <t>2026-06-30</t>
        </is>
      </c>
      <c r="C150" t="inlineStr">
        <is>
          <t>09:28:21</t>
        </is>
      </c>
      <c r="D150" t="inlineStr">
        <is>
          <t>RELIANCE</t>
        </is>
      </c>
      <c r="E150" t="inlineStr">
        <is>
          <t>Equity</t>
        </is>
      </c>
      <c r="F150" t="inlineStr">
        <is>
          <t>BUY</t>
        </is>
      </c>
      <c r="G150" t="n">
        <v>300</v>
      </c>
      <c r="H150" t="n">
        <v>1420.61</v>
      </c>
      <c r="I150" t="n">
        <v>426183</v>
      </c>
      <c r="J150" t="n">
        <v>149.16</v>
      </c>
      <c r="K150" t="inlineStr">
        <is>
          <t>NSE</t>
        </is>
      </c>
      <c r="L150" t="inlineStr">
        <is>
          <t>QE-CLEARING</t>
        </is>
      </c>
      <c r="M150" t="inlineStr">
        <is>
          <t>T100150</t>
        </is>
      </c>
    </row>
    <row r="151">
      <c r="A151" t="inlineStr">
        <is>
          <t>T100151</t>
        </is>
      </c>
      <c r="B151" t="inlineStr">
        <is>
          <t>2026-06-30</t>
        </is>
      </c>
      <c r="C151" t="inlineStr">
        <is>
          <t>14:44:41</t>
        </is>
      </c>
      <c r="D151" t="inlineStr">
        <is>
          <t>ITC</t>
        </is>
      </c>
      <c r="E151" t="inlineStr">
        <is>
          <t>Equity</t>
        </is>
      </c>
      <c r="F151" t="inlineStr">
        <is>
          <t>BUY</t>
        </is>
      </c>
      <c r="G151" t="n">
        <v>100</v>
      </c>
      <c r="H151" t="n">
        <v>447.99</v>
      </c>
      <c r="I151" t="n">
        <v>44799</v>
      </c>
      <c r="J151" t="n">
        <v>15.68</v>
      </c>
      <c r="K151" t="inlineStr">
        <is>
          <t>NSE</t>
        </is>
      </c>
      <c r="L151" t="inlineStr">
        <is>
          <t>QE-CLEARING</t>
        </is>
      </c>
      <c r="M151" t="inlineStr">
        <is>
          <t>T100151</t>
        </is>
      </c>
    </row>
    <row r="152">
      <c r="A152" t="inlineStr">
        <is>
          <t>T100152</t>
        </is>
      </c>
      <c r="B152" t="inlineStr">
        <is>
          <t>2026-06-30</t>
        </is>
      </c>
      <c r="C152" t="inlineStr">
        <is>
          <t>13:25:16</t>
        </is>
      </c>
      <c r="D152" t="inlineStr">
        <is>
          <t>ICICIBANK</t>
        </is>
      </c>
      <c r="E152" t="inlineStr">
        <is>
          <t>Equity</t>
        </is>
      </c>
      <c r="F152" t="inlineStr">
        <is>
          <t>SELL</t>
        </is>
      </c>
      <c r="G152" t="n">
        <v>300</v>
      </c>
      <c r="H152" t="n">
        <v>1244.71</v>
      </c>
      <c r="I152" t="n">
        <v>373413</v>
      </c>
      <c r="J152" t="n">
        <v>130.69</v>
      </c>
      <c r="K152" t="inlineStr">
        <is>
          <t>BSE</t>
        </is>
      </c>
      <c r="L152" t="inlineStr">
        <is>
          <t>QE-CLEARING</t>
        </is>
      </c>
      <c r="M152" t="inlineStr">
        <is>
          <t>T100152</t>
        </is>
      </c>
    </row>
    <row r="153">
      <c r="A153" t="inlineStr">
        <is>
          <t>T100153</t>
        </is>
      </c>
      <c r="B153" t="inlineStr">
        <is>
          <t>2026-06-30</t>
        </is>
      </c>
      <c r="C153" t="inlineStr">
        <is>
          <t>09:19:52</t>
        </is>
      </c>
      <c r="D153" t="inlineStr">
        <is>
          <t>BHARTIARTL</t>
        </is>
      </c>
      <c r="E153" t="inlineStr">
        <is>
          <t>Equity</t>
        </is>
      </c>
      <c r="F153" t="inlineStr">
        <is>
          <t>SELL</t>
        </is>
      </c>
      <c r="G153" t="n">
        <v>200</v>
      </c>
      <c r="H153" t="n">
        <v>1579.4</v>
      </c>
      <c r="I153" t="n">
        <v>315880</v>
      </c>
      <c r="J153" t="n">
        <v>110.56</v>
      </c>
      <c r="K153" t="inlineStr">
        <is>
          <t>NSE</t>
        </is>
      </c>
      <c r="L153" t="inlineStr">
        <is>
          <t>QE-CLEARING</t>
        </is>
      </c>
      <c r="M153" t="inlineStr">
        <is>
          <t>T100153</t>
        </is>
      </c>
    </row>
    <row r="154">
      <c r="A154" t="inlineStr">
        <is>
          <t>T100154</t>
        </is>
      </c>
      <c r="B154" t="inlineStr">
        <is>
          <t>2026-06-30</t>
        </is>
      </c>
      <c r="C154" t="inlineStr">
        <is>
          <t>13:01:39</t>
        </is>
      </c>
      <c r="D154" t="inlineStr">
        <is>
          <t>ICICIBANK</t>
        </is>
      </c>
      <c r="E154" t="inlineStr">
        <is>
          <t>Equity</t>
        </is>
      </c>
      <c r="F154" t="inlineStr">
        <is>
          <t>SELL</t>
        </is>
      </c>
      <c r="G154" t="n">
        <v>50</v>
      </c>
      <c r="H154" t="n">
        <v>1244.78</v>
      </c>
      <c r="I154" t="n">
        <v>62239</v>
      </c>
      <c r="J154" t="n">
        <v>21.78</v>
      </c>
      <c r="K154" t="inlineStr">
        <is>
          <t>NSE</t>
        </is>
      </c>
      <c r="L154" t="inlineStr">
        <is>
          <t>QE-CLEARING</t>
        </is>
      </c>
      <c r="M154" t="inlineStr">
        <is>
          <t>T100154</t>
        </is>
      </c>
    </row>
    <row r="155">
      <c r="A155" t="inlineStr">
        <is>
          <t>T100155</t>
        </is>
      </c>
      <c r="B155" t="inlineStr">
        <is>
          <t>2026-06-30</t>
        </is>
      </c>
      <c r="C155" t="inlineStr">
        <is>
          <t>15:40:06</t>
        </is>
      </c>
      <c r="D155" t="inlineStr">
        <is>
          <t>RELIANCE</t>
        </is>
      </c>
      <c r="E155" t="inlineStr">
        <is>
          <t>Equity</t>
        </is>
      </c>
      <c r="F155" t="inlineStr">
        <is>
          <t>BUY</t>
        </is>
      </c>
      <c r="G155" t="n">
        <v>500</v>
      </c>
      <c r="H155" t="n">
        <v>1415.98</v>
      </c>
      <c r="I155" t="n">
        <v>707990</v>
      </c>
      <c r="J155" t="n">
        <v>247.8</v>
      </c>
      <c r="K155" t="inlineStr">
        <is>
          <t>BSE</t>
        </is>
      </c>
      <c r="L155" t="inlineStr">
        <is>
          <t>QE-CLEARING</t>
        </is>
      </c>
      <c r="M155" t="inlineStr">
        <is>
          <t>T100155</t>
        </is>
      </c>
    </row>
    <row r="156">
      <c r="A156" t="inlineStr">
        <is>
          <t>T100156</t>
        </is>
      </c>
      <c r="B156" t="inlineStr">
        <is>
          <t>2026-06-30</t>
        </is>
      </c>
      <c r="C156" t="inlineStr">
        <is>
          <t>09:34:44</t>
        </is>
      </c>
      <c r="D156" t="inlineStr">
        <is>
          <t>RELIANCE</t>
        </is>
      </c>
      <c r="E156" t="inlineStr">
        <is>
          <t>Equity</t>
        </is>
      </c>
      <c r="F156" t="inlineStr">
        <is>
          <t>SELL</t>
        </is>
      </c>
      <c r="G156" t="n">
        <v>100</v>
      </c>
      <c r="H156" t="n">
        <v>1417.97</v>
      </c>
      <c r="I156" t="n">
        <v>141797</v>
      </c>
      <c r="J156" t="n">
        <v>49.63</v>
      </c>
      <c r="K156" t="inlineStr">
        <is>
          <t>BSE</t>
        </is>
      </c>
      <c r="L156" t="inlineStr">
        <is>
          <t>QE-CLEARING</t>
        </is>
      </c>
      <c r="M156" t="inlineStr">
        <is>
          <t>T100156</t>
        </is>
      </c>
    </row>
    <row r="157">
      <c r="A157" t="inlineStr">
        <is>
          <t>T100157</t>
        </is>
      </c>
      <c r="B157" t="inlineStr">
        <is>
          <t>2026-06-30</t>
        </is>
      </c>
      <c r="C157" t="inlineStr">
        <is>
          <t>12:08:26</t>
        </is>
      </c>
      <c r="D157" t="inlineStr">
        <is>
          <t>RELIANCE</t>
        </is>
      </c>
      <c r="E157" t="inlineStr">
        <is>
          <t>Equity</t>
        </is>
      </c>
      <c r="F157" t="inlineStr">
        <is>
          <t>BUY</t>
        </is>
      </c>
      <c r="G157" t="n">
        <v>100</v>
      </c>
      <c r="H157" t="n">
        <v>1424.35</v>
      </c>
      <c r="I157" t="n">
        <v>142435</v>
      </c>
      <c r="J157" t="n">
        <v>49.85</v>
      </c>
      <c r="K157" t="inlineStr">
        <is>
          <t>NSE</t>
        </is>
      </c>
      <c r="L157" t="inlineStr">
        <is>
          <t>QE-CLEARING</t>
        </is>
      </c>
      <c r="M157" t="inlineStr">
        <is>
          <t>T100157</t>
        </is>
      </c>
    </row>
    <row r="158">
      <c r="A158" t="inlineStr">
        <is>
          <t>T100158</t>
        </is>
      </c>
      <c r="B158" t="inlineStr">
        <is>
          <t>2026-06-30</t>
        </is>
      </c>
      <c r="C158" t="inlineStr">
        <is>
          <t>13:07:08</t>
        </is>
      </c>
      <c r="D158" t="inlineStr">
        <is>
          <t>AXISBANK</t>
        </is>
      </c>
      <c r="E158" t="inlineStr">
        <is>
          <t>Equity</t>
        </is>
      </c>
      <c r="F158" t="inlineStr">
        <is>
          <t>BUY</t>
        </is>
      </c>
      <c r="G158" t="n">
        <v>200</v>
      </c>
      <c r="H158" t="n">
        <v>1132.81</v>
      </c>
      <c r="I158" t="n">
        <v>226562</v>
      </c>
      <c r="J158" t="n">
        <v>79.3</v>
      </c>
      <c r="K158" t="inlineStr">
        <is>
          <t>BSE</t>
        </is>
      </c>
      <c r="L158" t="inlineStr">
        <is>
          <t>QE-CLEARING</t>
        </is>
      </c>
      <c r="M158" t="inlineStr">
        <is>
          <t>T100158</t>
        </is>
      </c>
    </row>
    <row r="159">
      <c r="A159" t="inlineStr">
        <is>
          <t>T100159</t>
        </is>
      </c>
      <c r="B159" t="inlineStr">
        <is>
          <t>2026-06-30</t>
        </is>
      </c>
      <c r="C159" t="inlineStr">
        <is>
          <t>15:18:06</t>
        </is>
      </c>
      <c r="D159" t="inlineStr">
        <is>
          <t>LT</t>
        </is>
      </c>
      <c r="E159" t="inlineStr">
        <is>
          <t>Equity</t>
        </is>
      </c>
      <c r="F159" t="inlineStr">
        <is>
          <t>BUY</t>
        </is>
      </c>
      <c r="G159" t="n">
        <v>300</v>
      </c>
      <c r="H159" t="n">
        <v>3614.24</v>
      </c>
      <c r="I159" t="n">
        <v>1084272</v>
      </c>
      <c r="J159" t="n">
        <v>379.5</v>
      </c>
      <c r="K159" t="inlineStr">
        <is>
          <t>NSE</t>
        </is>
      </c>
      <c r="L159" t="inlineStr">
        <is>
          <t>QE-CLEARING</t>
        </is>
      </c>
      <c r="M159" t="inlineStr">
        <is>
          <t>T100159</t>
        </is>
      </c>
    </row>
    <row r="160">
      <c r="A160" t="inlineStr">
        <is>
          <t>T100160</t>
        </is>
      </c>
      <c r="B160" t="inlineStr">
        <is>
          <t>2026-06-30</t>
        </is>
      </c>
      <c r="C160" t="inlineStr">
        <is>
          <t>14:36:50</t>
        </is>
      </c>
      <c r="D160" t="inlineStr">
        <is>
          <t>ICICIBANK</t>
        </is>
      </c>
      <c r="E160" t="inlineStr">
        <is>
          <t>Equity</t>
        </is>
      </c>
      <c r="F160" t="inlineStr">
        <is>
          <t>BUY</t>
        </is>
      </c>
      <c r="G160" t="n">
        <v>100</v>
      </c>
      <c r="H160" t="n">
        <v>1236.93</v>
      </c>
      <c r="I160" t="n">
        <v>123693</v>
      </c>
      <c r="J160" t="n">
        <v>43.29</v>
      </c>
      <c r="K160" t="inlineStr">
        <is>
          <t>BSE</t>
        </is>
      </c>
      <c r="L160" t="inlineStr">
        <is>
          <t>QE-CLEARING</t>
        </is>
      </c>
      <c r="M160" t="inlineStr">
        <is>
          <t>T100160</t>
        </is>
      </c>
    </row>
    <row r="161">
      <c r="A161" t="inlineStr">
        <is>
          <t>T100161</t>
        </is>
      </c>
      <c r="B161" t="inlineStr">
        <is>
          <t>2026-06-30</t>
        </is>
      </c>
      <c r="C161" t="inlineStr">
        <is>
          <t>15:22:31</t>
        </is>
      </c>
      <c r="D161" t="inlineStr">
        <is>
          <t>BAJFINANCE</t>
        </is>
      </c>
      <c r="E161" t="inlineStr">
        <is>
          <t>Equity</t>
        </is>
      </c>
      <c r="F161" t="inlineStr">
        <is>
          <t>BUY</t>
        </is>
      </c>
      <c r="G161" t="n">
        <v>500</v>
      </c>
      <c r="H161" t="n">
        <v>7187.4</v>
      </c>
      <c r="I161" t="n">
        <v>3593700</v>
      </c>
      <c r="J161" t="n">
        <v>1257.8</v>
      </c>
      <c r="K161" t="inlineStr">
        <is>
          <t>NSE</t>
        </is>
      </c>
      <c r="L161" t="inlineStr">
        <is>
          <t>QE-CLEARING</t>
        </is>
      </c>
      <c r="M161" t="inlineStr">
        <is>
          <t>T100161</t>
        </is>
      </c>
    </row>
    <row r="162">
      <c r="A162" t="inlineStr">
        <is>
          <t>T100162</t>
        </is>
      </c>
      <c r="B162" t="inlineStr">
        <is>
          <t>2026-06-30</t>
        </is>
      </c>
      <c r="C162" t="inlineStr">
        <is>
          <t>10:22:30</t>
        </is>
      </c>
      <c r="D162" t="inlineStr">
        <is>
          <t>BHARTIARTL</t>
        </is>
      </c>
      <c r="E162" t="inlineStr">
        <is>
          <t>Equity</t>
        </is>
      </c>
      <c r="F162" t="inlineStr">
        <is>
          <t>SELL</t>
        </is>
      </c>
      <c r="G162" t="n">
        <v>200</v>
      </c>
      <c r="H162" t="n">
        <v>1583.66</v>
      </c>
      <c r="I162" t="n">
        <v>316732</v>
      </c>
      <c r="J162" t="n">
        <v>110.86</v>
      </c>
      <c r="K162" t="inlineStr">
        <is>
          <t>NSE</t>
        </is>
      </c>
      <c r="L162" t="inlineStr">
        <is>
          <t>QE-CLEARING</t>
        </is>
      </c>
      <c r="M162" t="inlineStr">
        <is>
          <t>T100162</t>
        </is>
      </c>
    </row>
    <row r="163">
      <c r="A163" t="inlineStr">
        <is>
          <t>T100163</t>
        </is>
      </c>
      <c r="B163" t="inlineStr">
        <is>
          <t>2026-06-30</t>
        </is>
      </c>
      <c r="C163" t="inlineStr">
        <is>
          <t>15:06:19</t>
        </is>
      </c>
      <c r="D163" t="inlineStr">
        <is>
          <t>TCS</t>
        </is>
      </c>
      <c r="E163" t="inlineStr">
        <is>
          <t>Equity</t>
        </is>
      </c>
      <c r="F163" t="inlineStr">
        <is>
          <t>SELL</t>
        </is>
      </c>
      <c r="G163" t="n">
        <v>150</v>
      </c>
      <c r="H163" t="n">
        <v>3879.26</v>
      </c>
      <c r="I163" t="n">
        <v>581889</v>
      </c>
      <c r="J163" t="n">
        <v>203.66</v>
      </c>
      <c r="K163" t="inlineStr">
        <is>
          <t>BSE</t>
        </is>
      </c>
      <c r="L163" t="inlineStr">
        <is>
          <t>QE-CLEARING</t>
        </is>
      </c>
      <c r="M163" t="inlineStr">
        <is>
          <t>T100163</t>
        </is>
      </c>
    </row>
    <row r="164">
      <c r="A164" t="inlineStr">
        <is>
          <t>T100164</t>
        </is>
      </c>
      <c r="B164" t="inlineStr">
        <is>
          <t>2026-06-30</t>
        </is>
      </c>
      <c r="C164" t="inlineStr">
        <is>
          <t>10:55:24</t>
        </is>
      </c>
      <c r="D164" t="inlineStr">
        <is>
          <t>TATAMOTORS</t>
        </is>
      </c>
      <c r="E164" t="inlineStr">
        <is>
          <t>Equity</t>
        </is>
      </c>
      <c r="F164" t="inlineStr">
        <is>
          <t>BUY</t>
        </is>
      </c>
      <c r="G164" t="n">
        <v>50</v>
      </c>
      <c r="H164" t="n">
        <v>983.38</v>
      </c>
      <c r="I164" t="n">
        <v>49169</v>
      </c>
      <c r="J164" t="n">
        <v>17.21</v>
      </c>
      <c r="K164" t="inlineStr">
        <is>
          <t>BSE</t>
        </is>
      </c>
      <c r="L164" t="inlineStr">
        <is>
          <t>QE-CLEARING</t>
        </is>
      </c>
      <c r="M164" t="inlineStr">
        <is>
          <t>T100164</t>
        </is>
      </c>
    </row>
    <row r="165">
      <c r="A165" t="inlineStr">
        <is>
          <t>T100165</t>
        </is>
      </c>
      <c r="B165" t="inlineStr">
        <is>
          <t>2026-06-30</t>
        </is>
      </c>
      <c r="C165" t="inlineStr">
        <is>
          <t>14:19:25</t>
        </is>
      </c>
      <c r="D165" t="inlineStr">
        <is>
          <t>RELIANCE</t>
        </is>
      </c>
      <c r="E165" t="inlineStr">
        <is>
          <t>Equity</t>
        </is>
      </c>
      <c r="F165" t="inlineStr">
        <is>
          <t>SELL</t>
        </is>
      </c>
      <c r="G165" t="n">
        <v>75</v>
      </c>
      <c r="H165" t="n">
        <v>1424.71</v>
      </c>
      <c r="I165" t="n">
        <v>106853.25</v>
      </c>
      <c r="J165" t="n">
        <v>37.4</v>
      </c>
      <c r="K165" t="inlineStr">
        <is>
          <t>NSE</t>
        </is>
      </c>
      <c r="L165" t="inlineStr">
        <is>
          <t>QE-CLEARING</t>
        </is>
      </c>
      <c r="M165" t="inlineStr">
        <is>
          <t>T100165</t>
        </is>
      </c>
    </row>
    <row r="166">
      <c r="A166" t="inlineStr">
        <is>
          <t>T100166</t>
        </is>
      </c>
      <c r="B166" t="inlineStr">
        <is>
          <t>2026-06-30</t>
        </is>
      </c>
      <c r="C166" t="inlineStr">
        <is>
          <t>15:30:26</t>
        </is>
      </c>
      <c r="D166" t="inlineStr">
        <is>
          <t>RELIANCE</t>
        </is>
      </c>
      <c r="E166" t="inlineStr">
        <is>
          <t>Equity</t>
        </is>
      </c>
      <c r="F166" t="inlineStr">
        <is>
          <t>BUY</t>
        </is>
      </c>
      <c r="G166" t="n">
        <v>300</v>
      </c>
      <c r="H166" t="n">
        <v>1415.21</v>
      </c>
      <c r="I166" t="n">
        <v>424563</v>
      </c>
      <c r="J166" t="n">
        <v>148.6</v>
      </c>
      <c r="K166" t="inlineStr">
        <is>
          <t>NSE</t>
        </is>
      </c>
      <c r="L166" t="inlineStr">
        <is>
          <t>QE-CLEARING</t>
        </is>
      </c>
      <c r="M166" t="inlineStr">
        <is>
          <t>T100166</t>
        </is>
      </c>
    </row>
    <row r="167">
      <c r="A167" t="inlineStr">
        <is>
          <t>T100167</t>
        </is>
      </c>
      <c r="B167" t="inlineStr">
        <is>
          <t>2026-06-30</t>
        </is>
      </c>
      <c r="C167" t="inlineStr">
        <is>
          <t>15:17:58</t>
        </is>
      </c>
      <c r="D167" t="inlineStr">
        <is>
          <t>SBIN</t>
        </is>
      </c>
      <c r="E167" t="inlineStr">
        <is>
          <t>Equity</t>
        </is>
      </c>
      <c r="F167" t="inlineStr">
        <is>
          <t>SELL</t>
        </is>
      </c>
      <c r="G167" t="n">
        <v>300</v>
      </c>
      <c r="H167" t="n">
        <v>811.97</v>
      </c>
      <c r="I167" t="n">
        <v>243591</v>
      </c>
      <c r="J167" t="n">
        <v>85.26000000000001</v>
      </c>
      <c r="K167" t="inlineStr">
        <is>
          <t>BSE</t>
        </is>
      </c>
      <c r="L167" t="inlineStr">
        <is>
          <t>QE-CLEARING</t>
        </is>
      </c>
      <c r="M167" t="inlineStr">
        <is>
          <t>T100167</t>
        </is>
      </c>
    </row>
    <row r="168">
      <c r="A168" t="inlineStr">
        <is>
          <t>T100168</t>
        </is>
      </c>
      <c r="B168" t="inlineStr">
        <is>
          <t>2026-06-30</t>
        </is>
      </c>
      <c r="C168" t="inlineStr">
        <is>
          <t>12:13:35</t>
        </is>
      </c>
      <c r="D168" t="inlineStr">
        <is>
          <t>SBIN</t>
        </is>
      </c>
      <c r="E168" t="inlineStr">
        <is>
          <t>Equity</t>
        </is>
      </c>
      <c r="F168" t="inlineStr">
        <is>
          <t>BUY</t>
        </is>
      </c>
      <c r="G168" t="n">
        <v>500</v>
      </c>
      <c r="H168" t="n">
        <v>816.77</v>
      </c>
      <c r="I168" t="n">
        <v>408385</v>
      </c>
      <c r="J168" t="n">
        <v>142.93</v>
      </c>
      <c r="K168" t="inlineStr">
        <is>
          <t>BSE</t>
        </is>
      </c>
      <c r="L168" t="inlineStr">
        <is>
          <t>QE-CLEARING</t>
        </is>
      </c>
      <c r="M168" t="inlineStr">
        <is>
          <t>T100168</t>
        </is>
      </c>
    </row>
    <row r="169">
      <c r="A169" t="inlineStr">
        <is>
          <t>T100169</t>
        </is>
      </c>
      <c r="B169" t="inlineStr">
        <is>
          <t>2026-06-30</t>
        </is>
      </c>
      <c r="C169" t="inlineStr">
        <is>
          <t>10:16:31</t>
        </is>
      </c>
      <c r="D169" t="inlineStr">
        <is>
          <t>BAJFINANCE</t>
        </is>
      </c>
      <c r="E169" t="inlineStr">
        <is>
          <t>Equity</t>
        </is>
      </c>
      <c r="F169" t="inlineStr">
        <is>
          <t>BUY</t>
        </is>
      </c>
      <c r="G169" t="n">
        <v>75</v>
      </c>
      <c r="H169" t="n">
        <v>7188.09</v>
      </c>
      <c r="I169" t="n">
        <v>539106.75</v>
      </c>
      <c r="J169" t="n">
        <v>188.69</v>
      </c>
      <c r="K169" t="inlineStr">
        <is>
          <t>NSE</t>
        </is>
      </c>
      <c r="L169" t="inlineStr">
        <is>
          <t>QE-CLEARING</t>
        </is>
      </c>
      <c r="M169" t="inlineStr">
        <is>
          <t>T100169</t>
        </is>
      </c>
    </row>
    <row r="170">
      <c r="A170" t="inlineStr">
        <is>
          <t>T100170</t>
        </is>
      </c>
      <c r="B170" t="inlineStr">
        <is>
          <t>2026-06-30</t>
        </is>
      </c>
      <c r="C170" t="inlineStr">
        <is>
          <t>13:06:06</t>
        </is>
      </c>
      <c r="D170" t="inlineStr">
        <is>
          <t>ITC</t>
        </is>
      </c>
      <c r="E170" t="inlineStr">
        <is>
          <t>Equity</t>
        </is>
      </c>
      <c r="F170" t="inlineStr">
        <is>
          <t>SELL</t>
        </is>
      </c>
      <c r="G170" t="n">
        <v>100</v>
      </c>
      <c r="H170" t="n">
        <v>449.11</v>
      </c>
      <c r="I170" t="n">
        <v>44911</v>
      </c>
      <c r="J170" t="n">
        <v>15.72</v>
      </c>
      <c r="K170" t="inlineStr">
        <is>
          <t>BSE</t>
        </is>
      </c>
      <c r="L170" t="inlineStr">
        <is>
          <t>QE-CLEARING</t>
        </is>
      </c>
      <c r="M170" t="inlineStr">
        <is>
          <t>T100170</t>
        </is>
      </c>
    </row>
    <row r="171">
      <c r="A171" t="inlineStr">
        <is>
          <t>T100171</t>
        </is>
      </c>
      <c r="B171" t="inlineStr">
        <is>
          <t>2026-06-30</t>
        </is>
      </c>
      <c r="C171" t="inlineStr">
        <is>
          <t>09:09:29</t>
        </is>
      </c>
      <c r="D171" t="inlineStr">
        <is>
          <t>SBIN</t>
        </is>
      </c>
      <c r="E171" t="inlineStr">
        <is>
          <t>Equity</t>
        </is>
      </c>
      <c r="F171" t="inlineStr">
        <is>
          <t>SELL</t>
        </is>
      </c>
      <c r="G171" t="n">
        <v>150</v>
      </c>
      <c r="H171" t="n">
        <v>816.9299999999999</v>
      </c>
      <c r="I171" t="n">
        <v>122539.5</v>
      </c>
      <c r="J171" t="n">
        <v>42.89</v>
      </c>
      <c r="K171" t="inlineStr">
        <is>
          <t>NSE</t>
        </is>
      </c>
      <c r="L171" t="inlineStr">
        <is>
          <t>QE-CLEARING</t>
        </is>
      </c>
      <c r="M171" t="inlineStr">
        <is>
          <t>T100171</t>
        </is>
      </c>
    </row>
    <row r="172">
      <c r="A172" t="inlineStr">
        <is>
          <t>T100172</t>
        </is>
      </c>
      <c r="B172" t="inlineStr">
        <is>
          <t>2026-06-30</t>
        </is>
      </c>
      <c r="C172" t="inlineStr">
        <is>
          <t>15:16:20</t>
        </is>
      </c>
      <c r="D172" t="inlineStr">
        <is>
          <t>ITC</t>
        </is>
      </c>
      <c r="E172" t="inlineStr">
        <is>
          <t>Equity</t>
        </is>
      </c>
      <c r="F172" t="inlineStr">
        <is>
          <t>BUY</t>
        </is>
      </c>
      <c r="G172" t="n">
        <v>150</v>
      </c>
      <c r="H172" t="n">
        <v>448.08</v>
      </c>
      <c r="I172" t="n">
        <v>67212</v>
      </c>
      <c r="J172" t="n">
        <v>23.52</v>
      </c>
      <c r="K172" t="inlineStr">
        <is>
          <t>NSE</t>
        </is>
      </c>
      <c r="L172" t="inlineStr">
        <is>
          <t>QE-CLEARING</t>
        </is>
      </c>
      <c r="M172" t="inlineStr">
        <is>
          <t>T100172</t>
        </is>
      </c>
    </row>
    <row r="173">
      <c r="A173" t="inlineStr">
        <is>
          <t>T100173</t>
        </is>
      </c>
      <c r="B173" t="inlineStr">
        <is>
          <t>2026-06-30</t>
        </is>
      </c>
      <c r="C173" t="inlineStr">
        <is>
          <t>15:00:33</t>
        </is>
      </c>
      <c r="D173" t="inlineStr">
        <is>
          <t>RELIANCE</t>
        </is>
      </c>
      <c r="E173" t="inlineStr">
        <is>
          <t>Equity</t>
        </is>
      </c>
      <c r="F173" t="inlineStr">
        <is>
          <t>SELL</t>
        </is>
      </c>
      <c r="G173" t="n">
        <v>500</v>
      </c>
      <c r="H173" t="n">
        <v>1416.94</v>
      </c>
      <c r="I173" t="n">
        <v>708470</v>
      </c>
      <c r="J173" t="n">
        <v>247.96</v>
      </c>
      <c r="K173" t="inlineStr">
        <is>
          <t>BSE</t>
        </is>
      </c>
      <c r="L173" t="inlineStr">
        <is>
          <t>QE-CLEARING</t>
        </is>
      </c>
      <c r="M173" t="inlineStr">
        <is>
          <t>T100173</t>
        </is>
      </c>
    </row>
    <row r="174">
      <c r="A174" t="inlineStr">
        <is>
          <t>T100174</t>
        </is>
      </c>
      <c r="B174" t="inlineStr">
        <is>
          <t>2026-06-30</t>
        </is>
      </c>
      <c r="C174" t="inlineStr">
        <is>
          <t>14:32:04</t>
        </is>
      </c>
      <c r="D174" t="inlineStr">
        <is>
          <t>INFY</t>
        </is>
      </c>
      <c r="E174" t="inlineStr">
        <is>
          <t>Equity</t>
        </is>
      </c>
      <c r="F174" t="inlineStr">
        <is>
          <t>BUY</t>
        </is>
      </c>
      <c r="G174" t="n">
        <v>200</v>
      </c>
      <c r="H174" t="n">
        <v>1556.5</v>
      </c>
      <c r="I174" t="n">
        <v>311300</v>
      </c>
      <c r="J174" t="n">
        <v>108.95</v>
      </c>
      <c r="K174" t="inlineStr">
        <is>
          <t>BSE</t>
        </is>
      </c>
      <c r="L174" t="inlineStr">
        <is>
          <t>QE-CLEARING</t>
        </is>
      </c>
      <c r="M174" t="inlineStr">
        <is>
          <t>T100174</t>
        </is>
      </c>
    </row>
    <row r="175">
      <c r="A175" t="inlineStr">
        <is>
          <t>T100175</t>
        </is>
      </c>
      <c r="B175" t="inlineStr">
        <is>
          <t>2026-06-30</t>
        </is>
      </c>
      <c r="C175" t="inlineStr">
        <is>
          <t>11:12:00</t>
        </is>
      </c>
      <c r="D175" t="inlineStr">
        <is>
          <t>SBIN</t>
        </is>
      </c>
      <c r="E175" t="inlineStr">
        <is>
          <t>Equity</t>
        </is>
      </c>
      <c r="F175" t="inlineStr">
        <is>
          <t>SELL</t>
        </is>
      </c>
      <c r="G175" t="n">
        <v>50</v>
      </c>
      <c r="H175" t="n">
        <v>817.46</v>
      </c>
      <c r="I175" t="n">
        <v>40873</v>
      </c>
      <c r="J175" t="n">
        <v>14.31</v>
      </c>
      <c r="K175" t="inlineStr">
        <is>
          <t>NSE</t>
        </is>
      </c>
      <c r="L175" t="inlineStr">
        <is>
          <t>QE-CLEARING</t>
        </is>
      </c>
      <c r="M175" t="inlineStr">
        <is>
          <t>T100175</t>
        </is>
      </c>
    </row>
    <row r="176">
      <c r="A176" t="inlineStr">
        <is>
          <t>T100176</t>
        </is>
      </c>
      <c r="B176" t="inlineStr">
        <is>
          <t>2026-06-30</t>
        </is>
      </c>
      <c r="C176" t="inlineStr">
        <is>
          <t>13:33:28</t>
        </is>
      </c>
      <c r="D176" t="inlineStr">
        <is>
          <t>RELIANCE</t>
        </is>
      </c>
      <c r="E176" t="inlineStr">
        <is>
          <t>Equity</t>
        </is>
      </c>
      <c r="F176" t="inlineStr">
        <is>
          <t>SELL</t>
        </is>
      </c>
      <c r="G176" t="n">
        <v>250</v>
      </c>
      <c r="H176" t="n">
        <v>1417.6</v>
      </c>
      <c r="I176" t="n">
        <v>354400</v>
      </c>
      <c r="J176" t="n">
        <v>124.04</v>
      </c>
      <c r="K176" t="inlineStr">
        <is>
          <t>BSE</t>
        </is>
      </c>
      <c r="L176" t="inlineStr">
        <is>
          <t>QE-CLEARING</t>
        </is>
      </c>
      <c r="M176" t="inlineStr">
        <is>
          <t>T100176</t>
        </is>
      </c>
    </row>
    <row r="177">
      <c r="A177" t="inlineStr">
        <is>
          <t>T100177</t>
        </is>
      </c>
      <c r="B177" t="inlineStr">
        <is>
          <t>2026-06-30</t>
        </is>
      </c>
      <c r="C177" t="inlineStr">
        <is>
          <t>14:23:03</t>
        </is>
      </c>
      <c r="D177" t="inlineStr">
        <is>
          <t>LT</t>
        </is>
      </c>
      <c r="E177" t="inlineStr">
        <is>
          <t>Equity</t>
        </is>
      </c>
      <c r="F177" t="inlineStr">
        <is>
          <t>BUY</t>
        </is>
      </c>
      <c r="G177" t="n">
        <v>300</v>
      </c>
      <c r="H177" t="n">
        <v>3610.03</v>
      </c>
      <c r="I177" t="n">
        <v>1083009</v>
      </c>
      <c r="J177" t="n">
        <v>379.05</v>
      </c>
      <c r="K177" t="inlineStr">
        <is>
          <t>NSE</t>
        </is>
      </c>
      <c r="L177" t="inlineStr">
        <is>
          <t>QE-CLEARING</t>
        </is>
      </c>
      <c r="M177" t="inlineStr">
        <is>
          <t>T100177</t>
        </is>
      </c>
    </row>
    <row r="178">
      <c r="A178" t="inlineStr">
        <is>
          <t>T100178</t>
        </is>
      </c>
      <c r="B178" t="inlineStr">
        <is>
          <t>2026-06-30</t>
        </is>
      </c>
      <c r="C178" t="inlineStr">
        <is>
          <t>11:14:11</t>
        </is>
      </c>
      <c r="D178" t="inlineStr">
        <is>
          <t>HDFCBANK</t>
        </is>
      </c>
      <c r="E178" t="inlineStr">
        <is>
          <t>Equity</t>
        </is>
      </c>
      <c r="F178" t="inlineStr">
        <is>
          <t>SELL</t>
        </is>
      </c>
      <c r="G178" t="n">
        <v>200</v>
      </c>
      <c r="H178" t="n">
        <v>1678.7</v>
      </c>
      <c r="I178" t="n">
        <v>335740</v>
      </c>
      <c r="J178" t="n">
        <v>117.51</v>
      </c>
      <c r="K178" t="inlineStr">
        <is>
          <t>NSE</t>
        </is>
      </c>
      <c r="L178" t="inlineStr">
        <is>
          <t>QE-CLEARING</t>
        </is>
      </c>
      <c r="M178" t="inlineStr">
        <is>
          <t>T100178</t>
        </is>
      </c>
    </row>
    <row r="179">
      <c r="A179" t="inlineStr">
        <is>
          <t>T100179</t>
        </is>
      </c>
      <c r="B179" t="inlineStr">
        <is>
          <t>2026-06-30</t>
        </is>
      </c>
      <c r="C179" t="inlineStr">
        <is>
          <t>13:56:55</t>
        </is>
      </c>
      <c r="D179" t="inlineStr">
        <is>
          <t>INFY</t>
        </is>
      </c>
      <c r="E179" t="inlineStr">
        <is>
          <t>Equity</t>
        </is>
      </c>
      <c r="F179" t="inlineStr">
        <is>
          <t>BUY</t>
        </is>
      </c>
      <c r="G179" t="n">
        <v>75</v>
      </c>
      <c r="H179" t="n">
        <v>1565.79</v>
      </c>
      <c r="I179" t="n">
        <v>117434.25</v>
      </c>
      <c r="J179" t="n">
        <v>41.1</v>
      </c>
      <c r="K179" t="inlineStr">
        <is>
          <t>BSE</t>
        </is>
      </c>
      <c r="L179" t="inlineStr">
        <is>
          <t>QE-CLEARING</t>
        </is>
      </c>
      <c r="M179" t="inlineStr">
        <is>
          <t>T100179</t>
        </is>
      </c>
    </row>
    <row r="180">
      <c r="A180" t="inlineStr">
        <is>
          <t>T100180</t>
        </is>
      </c>
      <c r="B180" t="inlineStr">
        <is>
          <t>2026-06-30</t>
        </is>
      </c>
      <c r="C180" t="inlineStr">
        <is>
          <t>10:08:11</t>
        </is>
      </c>
      <c r="D180" t="inlineStr">
        <is>
          <t>SUNPHARMA</t>
        </is>
      </c>
      <c r="E180" t="inlineStr">
        <is>
          <t>Equity</t>
        </is>
      </c>
      <c r="F180" t="inlineStr">
        <is>
          <t>SELL</t>
        </is>
      </c>
      <c r="G180" t="n">
        <v>250</v>
      </c>
      <c r="H180" t="n">
        <v>1725.9</v>
      </c>
      <c r="I180" t="n">
        <v>431475</v>
      </c>
      <c r="J180" t="n">
        <v>151.02</v>
      </c>
      <c r="K180" t="inlineStr">
        <is>
          <t>NSE</t>
        </is>
      </c>
      <c r="L180" t="inlineStr">
        <is>
          <t>QE-CLEARING</t>
        </is>
      </c>
      <c r="M180" t="inlineStr">
        <is>
          <t>T100180</t>
        </is>
      </c>
    </row>
    <row r="181">
      <c r="A181" t="inlineStr">
        <is>
          <t>T100181</t>
        </is>
      </c>
      <c r="B181" t="inlineStr">
        <is>
          <t>2026-06-30</t>
        </is>
      </c>
      <c r="C181" t="inlineStr">
        <is>
          <t>09:17:19</t>
        </is>
      </c>
      <c r="D181" t="inlineStr">
        <is>
          <t>INFY</t>
        </is>
      </c>
      <c r="E181" t="inlineStr">
        <is>
          <t>Equity</t>
        </is>
      </c>
      <c r="F181" t="inlineStr">
        <is>
          <t>SELL</t>
        </is>
      </c>
      <c r="G181" t="n">
        <v>150</v>
      </c>
      <c r="H181" t="n">
        <v>1557.79</v>
      </c>
      <c r="I181" t="n">
        <v>233668.5</v>
      </c>
      <c r="J181" t="n">
        <v>81.78</v>
      </c>
      <c r="K181" t="inlineStr">
        <is>
          <t>NSE</t>
        </is>
      </c>
      <c r="L181" t="inlineStr">
        <is>
          <t>QE-CLEARING</t>
        </is>
      </c>
      <c r="M181" t="inlineStr">
        <is>
          <t>T100181</t>
        </is>
      </c>
    </row>
    <row r="182">
      <c r="A182" t="inlineStr">
        <is>
          <t>T100182</t>
        </is>
      </c>
      <c r="B182" t="inlineStr">
        <is>
          <t>2026-06-30</t>
        </is>
      </c>
      <c r="C182" t="inlineStr">
        <is>
          <t>15:53:16</t>
        </is>
      </c>
      <c r="D182" t="inlineStr">
        <is>
          <t>SBIN</t>
        </is>
      </c>
      <c r="E182" t="inlineStr">
        <is>
          <t>Equity</t>
        </is>
      </c>
      <c r="F182" t="inlineStr">
        <is>
          <t>BUY</t>
        </is>
      </c>
      <c r="G182" t="n">
        <v>100</v>
      </c>
      <c r="H182" t="n">
        <v>816.37</v>
      </c>
      <c r="I182" t="n">
        <v>81637</v>
      </c>
      <c r="J182" t="n">
        <v>28.57</v>
      </c>
      <c r="K182" t="inlineStr">
        <is>
          <t>BSE</t>
        </is>
      </c>
      <c r="L182" t="inlineStr">
        <is>
          <t>QE-CLEARING</t>
        </is>
      </c>
      <c r="M182" t="inlineStr">
        <is>
          <t>T100182</t>
        </is>
      </c>
    </row>
    <row r="183">
      <c r="A183" t="inlineStr">
        <is>
          <t>T100183</t>
        </is>
      </c>
      <c r="B183" t="inlineStr">
        <is>
          <t>2026-06-30</t>
        </is>
      </c>
      <c r="C183" t="inlineStr">
        <is>
          <t>09:30:12</t>
        </is>
      </c>
      <c r="D183" t="inlineStr">
        <is>
          <t>LT</t>
        </is>
      </c>
      <c r="E183" t="inlineStr">
        <is>
          <t>Equity</t>
        </is>
      </c>
      <c r="F183" t="inlineStr">
        <is>
          <t>BUY</t>
        </is>
      </c>
      <c r="G183" t="n">
        <v>300</v>
      </c>
      <c r="H183" t="n">
        <v>3625.11</v>
      </c>
      <c r="I183" t="n">
        <v>1087533</v>
      </c>
      <c r="J183" t="n">
        <v>380.64</v>
      </c>
      <c r="K183" t="inlineStr">
        <is>
          <t>NSE</t>
        </is>
      </c>
      <c r="L183" t="inlineStr">
        <is>
          <t>QE-CLEARING</t>
        </is>
      </c>
      <c r="M183" t="inlineStr">
        <is>
          <t>T100183</t>
        </is>
      </c>
    </row>
    <row r="184">
      <c r="A184" t="inlineStr">
        <is>
          <t>T100184</t>
        </is>
      </c>
      <c r="B184" t="inlineStr">
        <is>
          <t>2026-06-30</t>
        </is>
      </c>
      <c r="C184" t="inlineStr">
        <is>
          <t>15:15:49</t>
        </is>
      </c>
      <c r="D184" t="inlineStr">
        <is>
          <t>BHARTIARTL</t>
        </is>
      </c>
      <c r="E184" t="inlineStr">
        <is>
          <t>Equity</t>
        </is>
      </c>
      <c r="F184" t="inlineStr">
        <is>
          <t>BUY</t>
        </is>
      </c>
      <c r="G184" t="n">
        <v>500</v>
      </c>
      <c r="H184" t="n">
        <v>1587.63</v>
      </c>
      <c r="I184" t="n">
        <v>793815</v>
      </c>
      <c r="J184" t="n">
        <v>277.84</v>
      </c>
      <c r="K184" t="inlineStr">
        <is>
          <t>BSE</t>
        </is>
      </c>
      <c r="L184" t="inlineStr">
        <is>
          <t>QE-CLEARING</t>
        </is>
      </c>
      <c r="M184" t="inlineStr">
        <is>
          <t>T100184</t>
        </is>
      </c>
    </row>
    <row r="185">
      <c r="A185" t="inlineStr">
        <is>
          <t>T100185</t>
        </is>
      </c>
      <c r="B185" t="inlineStr">
        <is>
          <t>2026-06-30</t>
        </is>
      </c>
      <c r="C185" t="inlineStr">
        <is>
          <t>10:45:53</t>
        </is>
      </c>
      <c r="D185" t="inlineStr">
        <is>
          <t>ICICIBANK</t>
        </is>
      </c>
      <c r="E185" t="inlineStr">
        <is>
          <t>Equity</t>
        </is>
      </c>
      <c r="F185" t="inlineStr">
        <is>
          <t>BUY</t>
        </is>
      </c>
      <c r="G185" t="n">
        <v>50</v>
      </c>
      <c r="H185" t="n">
        <v>1242.19</v>
      </c>
      <c r="I185" t="n">
        <v>62109.5</v>
      </c>
      <c r="J185" t="n">
        <v>21.74</v>
      </c>
      <c r="K185" t="inlineStr">
        <is>
          <t>BSE</t>
        </is>
      </c>
      <c r="L185" t="inlineStr">
        <is>
          <t>QE-CLEARING</t>
        </is>
      </c>
      <c r="M185" t="inlineStr">
        <is>
          <t>T100185</t>
        </is>
      </c>
    </row>
    <row r="186">
      <c r="A186" t="inlineStr">
        <is>
          <t>T100186</t>
        </is>
      </c>
      <c r="B186" t="inlineStr">
        <is>
          <t>2026-06-30</t>
        </is>
      </c>
      <c r="C186" t="inlineStr">
        <is>
          <t>15:11:24</t>
        </is>
      </c>
      <c r="D186" t="inlineStr">
        <is>
          <t>ITC</t>
        </is>
      </c>
      <c r="E186" t="inlineStr">
        <is>
          <t>Equity</t>
        </is>
      </c>
      <c r="F186" t="inlineStr">
        <is>
          <t>BUY</t>
        </is>
      </c>
      <c r="G186" t="n">
        <v>200</v>
      </c>
      <c r="H186" t="n">
        <v>448.23</v>
      </c>
      <c r="I186" t="n">
        <v>89646</v>
      </c>
      <c r="J186" t="n">
        <v>31.38</v>
      </c>
      <c r="K186" t="inlineStr">
        <is>
          <t>BSE</t>
        </is>
      </c>
      <c r="L186" t="inlineStr">
        <is>
          <t>QE-CLEARING</t>
        </is>
      </c>
      <c r="M186" t="inlineStr">
        <is>
          <t>T100186</t>
        </is>
      </c>
    </row>
    <row r="187">
      <c r="A187" t="inlineStr">
        <is>
          <t>T100187</t>
        </is>
      </c>
      <c r="B187" t="inlineStr">
        <is>
          <t>2026-06-30</t>
        </is>
      </c>
      <c r="C187" t="inlineStr">
        <is>
          <t>09:06:12</t>
        </is>
      </c>
      <c r="D187" t="inlineStr">
        <is>
          <t>MARUTI</t>
        </is>
      </c>
      <c r="E187" t="inlineStr">
        <is>
          <t>Equity</t>
        </is>
      </c>
      <c r="F187" t="inlineStr">
        <is>
          <t>BUY</t>
        </is>
      </c>
      <c r="G187" t="n">
        <v>300</v>
      </c>
      <c r="H187" t="n">
        <v>12602.68</v>
      </c>
      <c r="I187" t="n">
        <v>3780804</v>
      </c>
      <c r="J187" t="n">
        <v>1323.28</v>
      </c>
      <c r="K187" t="inlineStr">
        <is>
          <t>BSE</t>
        </is>
      </c>
      <c r="L187" t="inlineStr">
        <is>
          <t>QE-CLEARING</t>
        </is>
      </c>
      <c r="M187" t="inlineStr">
        <is>
          <t>T100187</t>
        </is>
      </c>
    </row>
    <row r="188">
      <c r="A188" t="inlineStr">
        <is>
          <t>T100188</t>
        </is>
      </c>
      <c r="B188" t="inlineStr">
        <is>
          <t>2026-06-30</t>
        </is>
      </c>
      <c r="C188" t="inlineStr">
        <is>
          <t>12:00:02</t>
        </is>
      </c>
      <c r="D188" t="inlineStr">
        <is>
          <t>HDFCBANK</t>
        </is>
      </c>
      <c r="E188" t="inlineStr">
        <is>
          <t>Equity</t>
        </is>
      </c>
      <c r="F188" t="inlineStr">
        <is>
          <t>SELL</t>
        </is>
      </c>
      <c r="G188" t="n">
        <v>500</v>
      </c>
      <c r="H188" t="n">
        <v>1685.51</v>
      </c>
      <c r="I188" t="n">
        <v>842755</v>
      </c>
      <c r="J188" t="n">
        <v>294.96</v>
      </c>
      <c r="K188" t="inlineStr">
        <is>
          <t>NSE</t>
        </is>
      </c>
      <c r="L188" t="inlineStr">
        <is>
          <t>QE-CLEARING</t>
        </is>
      </c>
      <c r="M188" t="inlineStr">
        <is>
          <t>T100188</t>
        </is>
      </c>
    </row>
    <row r="189">
      <c r="A189" t="inlineStr">
        <is>
          <t>T100189</t>
        </is>
      </c>
      <c r="B189" t="inlineStr">
        <is>
          <t>2026-06-30</t>
        </is>
      </c>
      <c r="C189" t="inlineStr">
        <is>
          <t>11:02:45</t>
        </is>
      </c>
      <c r="D189" t="inlineStr">
        <is>
          <t>TCS</t>
        </is>
      </c>
      <c r="E189" t="inlineStr">
        <is>
          <t>Equity</t>
        </is>
      </c>
      <c r="F189" t="inlineStr">
        <is>
          <t>SELL</t>
        </is>
      </c>
      <c r="G189" t="n">
        <v>250</v>
      </c>
      <c r="H189" t="n">
        <v>3891.22</v>
      </c>
      <c r="I189" t="n">
        <v>972805</v>
      </c>
      <c r="J189" t="n">
        <v>340.48</v>
      </c>
      <c r="K189" t="inlineStr">
        <is>
          <t>BSE</t>
        </is>
      </c>
      <c r="L189" t="inlineStr">
        <is>
          <t>QE-CLEARING</t>
        </is>
      </c>
      <c r="M189" t="inlineStr">
        <is>
          <t>T100189</t>
        </is>
      </c>
    </row>
    <row r="190">
      <c r="A190" t="inlineStr">
        <is>
          <t>T100190</t>
        </is>
      </c>
      <c r="B190" t="inlineStr">
        <is>
          <t>2026-06-30</t>
        </is>
      </c>
      <c r="C190" t="inlineStr">
        <is>
          <t>15:38:28</t>
        </is>
      </c>
      <c r="D190" t="inlineStr">
        <is>
          <t>KOTAKBANK</t>
        </is>
      </c>
      <c r="E190" t="inlineStr">
        <is>
          <t>Equity</t>
        </is>
      </c>
      <c r="F190" t="inlineStr">
        <is>
          <t>BUY</t>
        </is>
      </c>
      <c r="G190" t="n">
        <v>250</v>
      </c>
      <c r="H190" t="n">
        <v>1794.61</v>
      </c>
      <c r="I190" t="n">
        <v>448652.5</v>
      </c>
      <c r="J190" t="n">
        <v>157.03</v>
      </c>
      <c r="K190" t="inlineStr">
        <is>
          <t>BSE</t>
        </is>
      </c>
      <c r="L190" t="inlineStr">
        <is>
          <t>QE-CLEARING</t>
        </is>
      </c>
      <c r="M190" t="inlineStr">
        <is>
          <t>T100190</t>
        </is>
      </c>
    </row>
    <row r="191">
      <c r="A191" t="inlineStr">
        <is>
          <t>T100191</t>
        </is>
      </c>
      <c r="B191" t="inlineStr">
        <is>
          <t>2026-06-30</t>
        </is>
      </c>
      <c r="C191" t="inlineStr">
        <is>
          <t>10:35:47</t>
        </is>
      </c>
      <c r="D191" t="inlineStr">
        <is>
          <t>BHARTIARTL</t>
        </is>
      </c>
      <c r="E191" t="inlineStr">
        <is>
          <t>Equity</t>
        </is>
      </c>
      <c r="F191" t="inlineStr">
        <is>
          <t>BUY</t>
        </is>
      </c>
      <c r="G191" t="n">
        <v>200</v>
      </c>
      <c r="H191" t="n">
        <v>1589.13</v>
      </c>
      <c r="I191" t="n">
        <v>317826</v>
      </c>
      <c r="J191" t="n">
        <v>111.24</v>
      </c>
      <c r="K191" t="inlineStr">
        <is>
          <t>NSE</t>
        </is>
      </c>
      <c r="L191" t="inlineStr">
        <is>
          <t>QE-CLEARING</t>
        </is>
      </c>
      <c r="M191" t="inlineStr">
        <is>
          <t>T100191</t>
        </is>
      </c>
    </row>
    <row r="192">
      <c r="A192" t="inlineStr">
        <is>
          <t>T100192</t>
        </is>
      </c>
      <c r="B192" t="inlineStr">
        <is>
          <t>2026-06-30</t>
        </is>
      </c>
      <c r="C192" t="inlineStr">
        <is>
          <t>14:40:52</t>
        </is>
      </c>
      <c r="D192" t="inlineStr">
        <is>
          <t>HDFCBANK</t>
        </is>
      </c>
      <c r="E192" t="inlineStr">
        <is>
          <t>Equity</t>
        </is>
      </c>
      <c r="F192" t="inlineStr">
        <is>
          <t>SELL</t>
        </is>
      </c>
      <c r="G192" t="n">
        <v>200</v>
      </c>
      <c r="H192" t="n">
        <v>1680.86</v>
      </c>
      <c r="I192" t="n">
        <v>336172</v>
      </c>
      <c r="J192" t="n">
        <v>117.66</v>
      </c>
      <c r="K192" t="inlineStr">
        <is>
          <t>BSE</t>
        </is>
      </c>
      <c r="L192" t="inlineStr">
        <is>
          <t>QE-CLEARING</t>
        </is>
      </c>
      <c r="M192" t="inlineStr">
        <is>
          <t>T100192</t>
        </is>
      </c>
    </row>
    <row r="193">
      <c r="A193" t="inlineStr">
        <is>
          <t>T100193</t>
        </is>
      </c>
      <c r="B193" t="inlineStr">
        <is>
          <t>2026-06-30</t>
        </is>
      </c>
      <c r="C193" t="inlineStr">
        <is>
          <t>15:48:59</t>
        </is>
      </c>
      <c r="D193" t="inlineStr">
        <is>
          <t>BHARTIARTL</t>
        </is>
      </c>
      <c r="E193" t="inlineStr">
        <is>
          <t>Equity</t>
        </is>
      </c>
      <c r="F193" t="inlineStr">
        <is>
          <t>BUY</t>
        </is>
      </c>
      <c r="G193" t="n">
        <v>50</v>
      </c>
      <c r="H193" t="n">
        <v>1580.39</v>
      </c>
      <c r="I193" t="n">
        <v>79019.5</v>
      </c>
      <c r="J193" t="n">
        <v>27.66</v>
      </c>
      <c r="K193" t="inlineStr">
        <is>
          <t>NSE</t>
        </is>
      </c>
      <c r="L193" t="inlineStr">
        <is>
          <t>QE-CLEARING</t>
        </is>
      </c>
      <c r="M193" t="inlineStr">
        <is>
          <t>T100193</t>
        </is>
      </c>
    </row>
    <row r="194">
      <c r="A194" t="inlineStr">
        <is>
          <t>T100194</t>
        </is>
      </c>
      <c r="B194" t="inlineStr">
        <is>
          <t>2026-06-30</t>
        </is>
      </c>
      <c r="C194" t="inlineStr">
        <is>
          <t>11:39:29</t>
        </is>
      </c>
      <c r="D194" t="inlineStr">
        <is>
          <t>TATAMOTORS</t>
        </is>
      </c>
      <c r="E194" t="inlineStr">
        <is>
          <t>Equity</t>
        </is>
      </c>
      <c r="F194" t="inlineStr">
        <is>
          <t>SELL</t>
        </is>
      </c>
      <c r="G194" t="n">
        <v>75</v>
      </c>
      <c r="H194" t="n">
        <v>982.95</v>
      </c>
      <c r="I194" t="n">
        <v>73721.25</v>
      </c>
      <c r="J194" t="n">
        <v>25.8</v>
      </c>
      <c r="K194" t="inlineStr">
        <is>
          <t>NSE</t>
        </is>
      </c>
      <c r="L194" t="inlineStr">
        <is>
          <t>QE-CLEARING</t>
        </is>
      </c>
      <c r="M194" t="inlineStr">
        <is>
          <t>T100194</t>
        </is>
      </c>
    </row>
    <row r="195">
      <c r="A195" t="inlineStr">
        <is>
          <t>T100195</t>
        </is>
      </c>
      <c r="B195" t="inlineStr">
        <is>
          <t>2026-06-30</t>
        </is>
      </c>
      <c r="C195" t="inlineStr">
        <is>
          <t>09:37:20</t>
        </is>
      </c>
      <c r="D195" t="inlineStr">
        <is>
          <t>SUNPHARMA</t>
        </is>
      </c>
      <c r="E195" t="inlineStr">
        <is>
          <t>Equity</t>
        </is>
      </c>
      <c r="F195" t="inlineStr">
        <is>
          <t>BUY</t>
        </is>
      </c>
      <c r="G195" t="n">
        <v>75</v>
      </c>
      <c r="H195" t="n">
        <v>1716.57</v>
      </c>
      <c r="I195" t="n">
        <v>128742.75</v>
      </c>
      <c r="J195" t="n">
        <v>45.06</v>
      </c>
      <c r="K195" t="inlineStr">
        <is>
          <t>BSE</t>
        </is>
      </c>
      <c r="L195" t="inlineStr">
        <is>
          <t>QE-CLEARING</t>
        </is>
      </c>
      <c r="M195" t="inlineStr">
        <is>
          <t>T100195</t>
        </is>
      </c>
    </row>
    <row r="196">
      <c r="A196" t="inlineStr">
        <is>
          <t>T100196</t>
        </is>
      </c>
      <c r="B196" t="inlineStr">
        <is>
          <t>2026-06-30</t>
        </is>
      </c>
      <c r="C196" t="inlineStr">
        <is>
          <t>09:55:28</t>
        </is>
      </c>
      <c r="D196" t="inlineStr">
        <is>
          <t>HINDUNILVR</t>
        </is>
      </c>
      <c r="E196" t="inlineStr">
        <is>
          <t>Equity</t>
        </is>
      </c>
      <c r="F196" t="inlineStr">
        <is>
          <t>SELL</t>
        </is>
      </c>
      <c r="G196" t="n">
        <v>50</v>
      </c>
      <c r="H196" t="n">
        <v>2358.25</v>
      </c>
      <c r="I196" t="n">
        <v>117912.5</v>
      </c>
      <c r="J196" t="n">
        <v>41.27</v>
      </c>
      <c r="K196" t="inlineStr">
        <is>
          <t>NSE</t>
        </is>
      </c>
      <c r="L196" t="inlineStr">
        <is>
          <t>QE-CLEARING</t>
        </is>
      </c>
      <c r="M196" t="inlineStr">
        <is>
          <t>T100196</t>
        </is>
      </c>
    </row>
    <row r="197">
      <c r="A197" t="inlineStr">
        <is>
          <t>T100197</t>
        </is>
      </c>
      <c r="B197" t="inlineStr">
        <is>
          <t>2026-06-30</t>
        </is>
      </c>
      <c r="C197" t="inlineStr">
        <is>
          <t>09:33:24</t>
        </is>
      </c>
      <c r="D197" t="inlineStr">
        <is>
          <t>TATAMOTORS</t>
        </is>
      </c>
      <c r="E197" t="inlineStr">
        <is>
          <t>Equity</t>
        </is>
      </c>
      <c r="F197" t="inlineStr">
        <is>
          <t>BUY</t>
        </is>
      </c>
      <c r="G197" t="n">
        <v>75</v>
      </c>
      <c r="H197" t="n">
        <v>983.9400000000001</v>
      </c>
      <c r="I197" t="n">
        <v>73795.5</v>
      </c>
      <c r="J197" t="n">
        <v>25.83</v>
      </c>
      <c r="K197" t="inlineStr">
        <is>
          <t>NSE</t>
        </is>
      </c>
      <c r="L197" t="inlineStr">
        <is>
          <t>QE-CLEARING</t>
        </is>
      </c>
      <c r="M197" t="inlineStr">
        <is>
          <t>T100197</t>
        </is>
      </c>
    </row>
    <row r="198">
      <c r="A198" t="inlineStr">
        <is>
          <t>T100198</t>
        </is>
      </c>
      <c r="B198" t="inlineStr">
        <is>
          <t>2026-06-30</t>
        </is>
      </c>
      <c r="C198" t="inlineStr">
        <is>
          <t>12:43:40</t>
        </is>
      </c>
      <c r="D198" t="inlineStr">
        <is>
          <t>HDFCBANK</t>
        </is>
      </c>
      <c r="E198" t="inlineStr">
        <is>
          <t>Equity</t>
        </is>
      </c>
      <c r="F198" t="inlineStr">
        <is>
          <t>SELL</t>
        </is>
      </c>
      <c r="G198" t="n">
        <v>50</v>
      </c>
      <c r="H198" t="n">
        <v>1681.35</v>
      </c>
      <c r="I198" t="n">
        <v>84067.5</v>
      </c>
      <c r="J198" t="n">
        <v>29.42</v>
      </c>
      <c r="K198" t="inlineStr">
        <is>
          <t>NSE</t>
        </is>
      </c>
      <c r="L198" t="inlineStr">
        <is>
          <t>QE-CLEARING</t>
        </is>
      </c>
      <c r="M198" t="inlineStr">
        <is>
          <t>T100198</t>
        </is>
      </c>
    </row>
    <row r="199">
      <c r="A199" t="inlineStr">
        <is>
          <t>T100199</t>
        </is>
      </c>
      <c r="B199" t="inlineStr">
        <is>
          <t>2026-06-30</t>
        </is>
      </c>
      <c r="C199" t="inlineStr">
        <is>
          <t>15:21:11</t>
        </is>
      </c>
      <c r="D199" t="inlineStr">
        <is>
          <t>KOTAKBANK</t>
        </is>
      </c>
      <c r="E199" t="inlineStr">
        <is>
          <t>Equity</t>
        </is>
      </c>
      <c r="F199" t="inlineStr">
        <is>
          <t>SELL</t>
        </is>
      </c>
      <c r="G199" t="n">
        <v>50</v>
      </c>
      <c r="H199" t="n">
        <v>1790.03</v>
      </c>
      <c r="I199" t="n">
        <v>89501.5</v>
      </c>
      <c r="J199" t="n">
        <v>31.33</v>
      </c>
      <c r="K199" t="inlineStr">
        <is>
          <t>BSE</t>
        </is>
      </c>
      <c r="L199" t="inlineStr">
        <is>
          <t>QE-CLEARING</t>
        </is>
      </c>
      <c r="M199" t="inlineStr">
        <is>
          <t>T100199</t>
        </is>
      </c>
    </row>
    <row r="200">
      <c r="A200" t="inlineStr">
        <is>
          <t>T100200</t>
        </is>
      </c>
      <c r="B200" t="inlineStr">
        <is>
          <t>2026-06-30</t>
        </is>
      </c>
      <c r="C200" t="inlineStr">
        <is>
          <t>09:59:36</t>
        </is>
      </c>
      <c r="D200" t="inlineStr">
        <is>
          <t>RELIANCE</t>
        </is>
      </c>
      <c r="E200" t="inlineStr">
        <is>
          <t>Equity</t>
        </is>
      </c>
      <c r="F200" t="inlineStr">
        <is>
          <t>SELL</t>
        </is>
      </c>
      <c r="G200" t="n">
        <v>250</v>
      </c>
      <c r="H200" t="n">
        <v>1418.69</v>
      </c>
      <c r="I200" t="n">
        <v>354672.5</v>
      </c>
      <c r="J200" t="n">
        <v>124.14</v>
      </c>
      <c r="K200" t="inlineStr">
        <is>
          <t>BSE</t>
        </is>
      </c>
      <c r="L200" t="inlineStr">
        <is>
          <t>QE-CLEARING</t>
        </is>
      </c>
      <c r="M200" t="inlineStr">
        <is>
          <t>T100200</t>
        </is>
      </c>
    </row>
    <row r="201">
      <c r="A201" t="inlineStr">
        <is>
          <t>T100201</t>
        </is>
      </c>
      <c r="B201" t="inlineStr">
        <is>
          <t>2026-06-30</t>
        </is>
      </c>
      <c r="C201" t="inlineStr">
        <is>
          <t>15:22:13</t>
        </is>
      </c>
      <c r="D201" t="inlineStr">
        <is>
          <t>TATAMOTORS</t>
        </is>
      </c>
      <c r="E201" t="inlineStr">
        <is>
          <t>Equity</t>
        </is>
      </c>
      <c r="F201" t="inlineStr">
        <is>
          <t>SELL</t>
        </is>
      </c>
      <c r="G201" t="n">
        <v>200</v>
      </c>
      <c r="H201" t="n">
        <v>988.14</v>
      </c>
      <c r="I201" t="n">
        <v>197628</v>
      </c>
      <c r="J201" t="n">
        <v>69.17</v>
      </c>
      <c r="K201" t="inlineStr">
        <is>
          <t>BSE</t>
        </is>
      </c>
      <c r="L201" t="inlineStr">
        <is>
          <t>QE-CLEARING</t>
        </is>
      </c>
      <c r="M201" t="inlineStr">
        <is>
          <t>T100201</t>
        </is>
      </c>
    </row>
    <row r="202">
      <c r="A202" t="inlineStr">
        <is>
          <t>T100202</t>
        </is>
      </c>
      <c r="B202" t="inlineStr">
        <is>
          <t>2026-06-30</t>
        </is>
      </c>
      <c r="C202" t="inlineStr">
        <is>
          <t>13:25:15</t>
        </is>
      </c>
      <c r="D202" t="inlineStr">
        <is>
          <t>SBIN</t>
        </is>
      </c>
      <c r="E202" t="inlineStr">
        <is>
          <t>Equity</t>
        </is>
      </c>
      <c r="F202" t="inlineStr">
        <is>
          <t>SELL</t>
        </is>
      </c>
      <c r="G202" t="n">
        <v>150</v>
      </c>
      <c r="H202" t="n">
        <v>816.65</v>
      </c>
      <c r="I202" t="n">
        <v>122497.5</v>
      </c>
      <c r="J202" t="n">
        <v>42.87</v>
      </c>
      <c r="K202" t="inlineStr">
        <is>
          <t>BSE</t>
        </is>
      </c>
      <c r="L202" t="inlineStr">
        <is>
          <t>QE-CLEARING</t>
        </is>
      </c>
      <c r="M202" t="inlineStr">
        <is>
          <t>T100202</t>
        </is>
      </c>
    </row>
    <row r="203">
      <c r="A203" t="inlineStr">
        <is>
          <t>T100203</t>
        </is>
      </c>
      <c r="B203" t="inlineStr">
        <is>
          <t>2026-06-30</t>
        </is>
      </c>
      <c r="C203" t="inlineStr">
        <is>
          <t>14:28:27</t>
        </is>
      </c>
      <c r="D203" t="inlineStr">
        <is>
          <t>AXISBANK</t>
        </is>
      </c>
      <c r="E203" t="inlineStr">
        <is>
          <t>Equity</t>
        </is>
      </c>
      <c r="F203" t="inlineStr">
        <is>
          <t>SELL</t>
        </is>
      </c>
      <c r="G203" t="n">
        <v>200</v>
      </c>
      <c r="H203" t="n">
        <v>1128.46</v>
      </c>
      <c r="I203" t="n">
        <v>225692</v>
      </c>
      <c r="J203" t="n">
        <v>78.98999999999999</v>
      </c>
      <c r="K203" t="inlineStr">
        <is>
          <t>BSE</t>
        </is>
      </c>
      <c r="L203" t="inlineStr">
        <is>
          <t>QE-CLEARING</t>
        </is>
      </c>
      <c r="M203" t="inlineStr">
        <is>
          <t>T100203</t>
        </is>
      </c>
    </row>
    <row r="204">
      <c r="A204" t="inlineStr">
        <is>
          <t>T100204</t>
        </is>
      </c>
      <c r="B204" t="inlineStr">
        <is>
          <t>2026-06-30</t>
        </is>
      </c>
      <c r="C204" t="inlineStr">
        <is>
          <t>15:14:18</t>
        </is>
      </c>
      <c r="D204" t="inlineStr">
        <is>
          <t>INFY</t>
        </is>
      </c>
      <c r="E204" t="inlineStr">
        <is>
          <t>Equity</t>
        </is>
      </c>
      <c r="F204" t="inlineStr">
        <is>
          <t>BUY</t>
        </is>
      </c>
      <c r="G204" t="n">
        <v>150</v>
      </c>
      <c r="H204" t="n">
        <v>1560.3</v>
      </c>
      <c r="I204" t="n">
        <v>234045</v>
      </c>
      <c r="J204" t="n">
        <v>81.92</v>
      </c>
      <c r="K204" t="inlineStr">
        <is>
          <t>NSE</t>
        </is>
      </c>
      <c r="L204" t="inlineStr">
        <is>
          <t>QE-CLEARING</t>
        </is>
      </c>
      <c r="M204" t="inlineStr">
        <is>
          <t>T100204</t>
        </is>
      </c>
    </row>
    <row r="205">
      <c r="A205" t="inlineStr">
        <is>
          <t>T100205</t>
        </is>
      </c>
      <c r="B205" t="inlineStr">
        <is>
          <t>2026-06-30</t>
        </is>
      </c>
      <c r="C205" t="inlineStr">
        <is>
          <t>15:13:40</t>
        </is>
      </c>
      <c r="D205" t="inlineStr">
        <is>
          <t>HDFCBANK</t>
        </is>
      </c>
      <c r="E205" t="inlineStr">
        <is>
          <t>Equity</t>
        </is>
      </c>
      <c r="F205" t="inlineStr">
        <is>
          <t>BUY</t>
        </is>
      </c>
      <c r="G205" t="n">
        <v>200</v>
      </c>
      <c r="H205" t="n">
        <v>1685.98</v>
      </c>
      <c r="I205" t="n">
        <v>337196</v>
      </c>
      <c r="J205" t="n">
        <v>118.02</v>
      </c>
      <c r="K205" t="inlineStr">
        <is>
          <t>BSE</t>
        </is>
      </c>
      <c r="L205" t="inlineStr">
        <is>
          <t>QE-CLEARING</t>
        </is>
      </c>
      <c r="M205" t="inlineStr">
        <is>
          <t>T100205</t>
        </is>
      </c>
    </row>
    <row r="206">
      <c r="A206" t="inlineStr">
        <is>
          <t>T100206</t>
        </is>
      </c>
      <c r="B206" t="inlineStr">
        <is>
          <t>2026-06-30</t>
        </is>
      </c>
      <c r="C206" t="inlineStr">
        <is>
          <t>11:17:15</t>
        </is>
      </c>
      <c r="D206" t="inlineStr">
        <is>
          <t>SUNPHARMA</t>
        </is>
      </c>
      <c r="E206" t="inlineStr">
        <is>
          <t>Equity</t>
        </is>
      </c>
      <c r="F206" t="inlineStr">
        <is>
          <t>SELL</t>
        </is>
      </c>
      <c r="G206" t="n">
        <v>150</v>
      </c>
      <c r="H206" t="n">
        <v>1721.7</v>
      </c>
      <c r="I206" t="n">
        <v>258255</v>
      </c>
      <c r="J206" t="n">
        <v>90.39</v>
      </c>
      <c r="K206" t="inlineStr">
        <is>
          <t>BSE</t>
        </is>
      </c>
      <c r="L206" t="inlineStr">
        <is>
          <t>QE-CLEARING</t>
        </is>
      </c>
      <c r="M206" t="inlineStr">
        <is>
          <t>T100206</t>
        </is>
      </c>
    </row>
    <row r="207">
      <c r="A207" t="inlineStr">
        <is>
          <t>T100207</t>
        </is>
      </c>
      <c r="B207" t="inlineStr">
        <is>
          <t>2026-06-30</t>
        </is>
      </c>
      <c r="C207" t="inlineStr">
        <is>
          <t>12:19:39</t>
        </is>
      </c>
      <c r="D207" t="inlineStr">
        <is>
          <t>RELIANCE</t>
        </is>
      </c>
      <c r="E207" t="inlineStr">
        <is>
          <t>Equity</t>
        </is>
      </c>
      <c r="F207" t="inlineStr">
        <is>
          <t>SELL</t>
        </is>
      </c>
      <c r="G207" t="n">
        <v>500</v>
      </c>
      <c r="H207" t="n">
        <v>1416.41</v>
      </c>
      <c r="I207" t="n">
        <v>708205</v>
      </c>
      <c r="J207" t="n">
        <v>247.87</v>
      </c>
      <c r="K207" t="inlineStr">
        <is>
          <t>BSE</t>
        </is>
      </c>
      <c r="L207" t="inlineStr">
        <is>
          <t>QE-CLEARING</t>
        </is>
      </c>
      <c r="M207" t="inlineStr">
        <is>
          <t>T100207</t>
        </is>
      </c>
    </row>
    <row r="208">
      <c r="A208" t="inlineStr">
        <is>
          <t>T100208</t>
        </is>
      </c>
      <c r="B208" t="inlineStr">
        <is>
          <t>2026-06-30</t>
        </is>
      </c>
      <c r="C208" t="inlineStr">
        <is>
          <t>15:16:22</t>
        </is>
      </c>
      <c r="D208" t="inlineStr">
        <is>
          <t>HDFCBANK</t>
        </is>
      </c>
      <c r="E208" t="inlineStr">
        <is>
          <t>Equity</t>
        </is>
      </c>
      <c r="F208" t="inlineStr">
        <is>
          <t>SELL</t>
        </is>
      </c>
      <c r="G208" t="n">
        <v>200</v>
      </c>
      <c r="H208" t="n">
        <v>1688.51</v>
      </c>
      <c r="I208" t="n">
        <v>337702</v>
      </c>
      <c r="J208" t="n">
        <v>118.2</v>
      </c>
      <c r="K208" t="inlineStr">
        <is>
          <t>BSE</t>
        </is>
      </c>
      <c r="L208" t="inlineStr">
        <is>
          <t>QE-CLEARING</t>
        </is>
      </c>
      <c r="M208" t="inlineStr">
        <is>
          <t>T100208</t>
        </is>
      </c>
    </row>
    <row r="209">
      <c r="A209" t="inlineStr">
        <is>
          <t>T100209</t>
        </is>
      </c>
      <c r="B209" t="inlineStr">
        <is>
          <t>2026-06-30</t>
        </is>
      </c>
      <c r="C209" t="inlineStr">
        <is>
          <t>09:05:15</t>
        </is>
      </c>
      <c r="D209" t="inlineStr">
        <is>
          <t>ICICIBANK</t>
        </is>
      </c>
      <c r="E209" t="inlineStr">
        <is>
          <t>Equity</t>
        </is>
      </c>
      <c r="F209" t="inlineStr">
        <is>
          <t>BUY</t>
        </is>
      </c>
      <c r="G209" t="n">
        <v>300</v>
      </c>
      <c r="H209" t="n">
        <v>1241.54</v>
      </c>
      <c r="I209" t="n">
        <v>372462</v>
      </c>
      <c r="J209" t="n">
        <v>130.36</v>
      </c>
      <c r="K209" t="inlineStr">
        <is>
          <t>BSE</t>
        </is>
      </c>
      <c r="L209" t="inlineStr">
        <is>
          <t>QE-CLEARING</t>
        </is>
      </c>
      <c r="M209" t="inlineStr">
        <is>
          <t>T100209</t>
        </is>
      </c>
    </row>
    <row r="210">
      <c r="A210" t="inlineStr">
        <is>
          <t>T100210</t>
        </is>
      </c>
      <c r="B210" t="inlineStr">
        <is>
          <t>2026-06-30</t>
        </is>
      </c>
      <c r="C210" t="inlineStr">
        <is>
          <t>12:14:32</t>
        </is>
      </c>
      <c r="D210" t="inlineStr">
        <is>
          <t>RELIANCE</t>
        </is>
      </c>
      <c r="E210" t="inlineStr">
        <is>
          <t>Equity</t>
        </is>
      </c>
      <c r="F210" t="inlineStr">
        <is>
          <t>BUY</t>
        </is>
      </c>
      <c r="G210" t="n">
        <v>500</v>
      </c>
      <c r="H210" t="n">
        <v>1422.7</v>
      </c>
      <c r="I210" t="n">
        <v>711350</v>
      </c>
      <c r="J210" t="n">
        <v>248.97</v>
      </c>
      <c r="K210" t="inlineStr">
        <is>
          <t>BSE</t>
        </is>
      </c>
      <c r="L210" t="inlineStr">
        <is>
          <t>QE-CLEARING</t>
        </is>
      </c>
      <c r="M210" t="inlineStr">
        <is>
          <t>T100210</t>
        </is>
      </c>
    </row>
    <row r="211">
      <c r="A211" t="inlineStr">
        <is>
          <t>T100211</t>
        </is>
      </c>
      <c r="B211" t="inlineStr">
        <is>
          <t>2026-06-30</t>
        </is>
      </c>
      <c r="C211" t="inlineStr">
        <is>
          <t>14:13:55</t>
        </is>
      </c>
      <c r="D211" t="inlineStr">
        <is>
          <t>RELIANCE</t>
        </is>
      </c>
      <c r="E211" t="inlineStr">
        <is>
          <t>Equity</t>
        </is>
      </c>
      <c r="F211" t="inlineStr">
        <is>
          <t>SELL</t>
        </is>
      </c>
      <c r="G211" t="n">
        <v>50</v>
      </c>
      <c r="H211" t="n">
        <v>1421.69</v>
      </c>
      <c r="I211" t="n">
        <v>71084.5</v>
      </c>
      <c r="J211" t="n">
        <v>24.88</v>
      </c>
      <c r="K211" t="inlineStr">
        <is>
          <t>NSE</t>
        </is>
      </c>
      <c r="L211" t="inlineStr">
        <is>
          <t>QE-CLEARING</t>
        </is>
      </c>
      <c r="M211" t="inlineStr">
        <is>
          <t>T100211</t>
        </is>
      </c>
    </row>
    <row r="212">
      <c r="A212" t="inlineStr">
        <is>
          <t>T100212</t>
        </is>
      </c>
      <c r="B212" t="inlineStr">
        <is>
          <t>2026-06-30</t>
        </is>
      </c>
      <c r="C212" t="inlineStr">
        <is>
          <t>15:39:53</t>
        </is>
      </c>
      <c r="D212" t="inlineStr">
        <is>
          <t>SBIN</t>
        </is>
      </c>
      <c r="E212" t="inlineStr">
        <is>
          <t>Equity</t>
        </is>
      </c>
      <c r="F212" t="inlineStr">
        <is>
          <t>SELL</t>
        </is>
      </c>
      <c r="G212" t="n">
        <v>150</v>
      </c>
      <c r="H212" t="n">
        <v>815.95</v>
      </c>
      <c r="I212" t="n">
        <v>122392.5</v>
      </c>
      <c r="J212" t="n">
        <v>42.84</v>
      </c>
      <c r="K212" t="inlineStr">
        <is>
          <t>BSE</t>
        </is>
      </c>
      <c r="L212" t="inlineStr">
        <is>
          <t>QE-CLEARING</t>
        </is>
      </c>
      <c r="M212" t="inlineStr">
        <is>
          <t>T100212</t>
        </is>
      </c>
    </row>
    <row r="213">
      <c r="A213" t="inlineStr">
        <is>
          <t>T100214</t>
        </is>
      </c>
      <c r="B213" t="inlineStr">
        <is>
          <t>2026-06-30</t>
        </is>
      </c>
      <c r="C213" t="inlineStr">
        <is>
          <t>10:34:56</t>
        </is>
      </c>
      <c r="D213" t="inlineStr">
        <is>
          <t>SUNPHARMA</t>
        </is>
      </c>
      <c r="E213" t="inlineStr">
        <is>
          <t>Equity</t>
        </is>
      </c>
      <c r="F213" t="inlineStr">
        <is>
          <t>BUY</t>
        </is>
      </c>
      <c r="G213" t="n">
        <v>100</v>
      </c>
      <c r="H213" t="n">
        <v>1717.46</v>
      </c>
      <c r="I213" t="n">
        <v>171746</v>
      </c>
      <c r="J213" t="n">
        <v>60.11</v>
      </c>
      <c r="K213" t="inlineStr">
        <is>
          <t>NSE</t>
        </is>
      </c>
      <c r="L213" t="inlineStr">
        <is>
          <t>QE-CLEARING</t>
        </is>
      </c>
      <c r="M213" t="inlineStr">
        <is>
          <t>T100214</t>
        </is>
      </c>
    </row>
    <row r="214">
      <c r="A214" t="inlineStr">
        <is>
          <t>T100215</t>
        </is>
      </c>
      <c r="B214" t="inlineStr">
        <is>
          <t>2026-06-30</t>
        </is>
      </c>
      <c r="C214" t="inlineStr">
        <is>
          <t>14:00:47</t>
        </is>
      </c>
      <c r="D214" t="inlineStr">
        <is>
          <t>SBIN</t>
        </is>
      </c>
      <c r="E214" t="inlineStr">
        <is>
          <t>Equity</t>
        </is>
      </c>
      <c r="F214" t="inlineStr">
        <is>
          <t>BUY</t>
        </is>
      </c>
      <c r="G214" t="n">
        <v>75</v>
      </c>
      <c r="H214" t="n">
        <v>815.9299999999999</v>
      </c>
      <c r="I214" t="n">
        <v>61194.75</v>
      </c>
      <c r="J214" t="n">
        <v>21.42</v>
      </c>
      <c r="K214" t="inlineStr">
        <is>
          <t>NSE</t>
        </is>
      </c>
      <c r="L214" t="inlineStr">
        <is>
          <t>QE-CLEARING</t>
        </is>
      </c>
      <c r="M214" t="inlineStr">
        <is>
          <t>T100215</t>
        </is>
      </c>
    </row>
    <row r="215">
      <c r="A215" t="inlineStr">
        <is>
          <t>T100216</t>
        </is>
      </c>
      <c r="B215" t="inlineStr">
        <is>
          <t>2026-06-30</t>
        </is>
      </c>
      <c r="C215" t="inlineStr">
        <is>
          <t>15:36:45</t>
        </is>
      </c>
      <c r="D215" t="inlineStr">
        <is>
          <t>LT</t>
        </is>
      </c>
      <c r="E215" t="inlineStr">
        <is>
          <t>Equity</t>
        </is>
      </c>
      <c r="F215" t="inlineStr">
        <is>
          <t>BUY</t>
        </is>
      </c>
      <c r="G215" t="n">
        <v>100</v>
      </c>
      <c r="H215" t="n">
        <v>3631.97</v>
      </c>
      <c r="I215" t="n">
        <v>363197</v>
      </c>
      <c r="J215" t="n">
        <v>127.12</v>
      </c>
      <c r="K215" t="inlineStr">
        <is>
          <t>NSE</t>
        </is>
      </c>
      <c r="L215" t="inlineStr">
        <is>
          <t>QE-CLEARING</t>
        </is>
      </c>
      <c r="M215" t="inlineStr">
        <is>
          <t>T100216</t>
        </is>
      </c>
    </row>
    <row r="216">
      <c r="A216" t="inlineStr">
        <is>
          <t>T100217</t>
        </is>
      </c>
      <c r="B216" t="inlineStr">
        <is>
          <t>2026-06-30</t>
        </is>
      </c>
      <c r="C216" t="inlineStr">
        <is>
          <t>12:18:51</t>
        </is>
      </c>
      <c r="D216" t="inlineStr">
        <is>
          <t>SUNPHARMA</t>
        </is>
      </c>
      <c r="E216" t="inlineStr">
        <is>
          <t>Equity</t>
        </is>
      </c>
      <c r="F216" t="inlineStr">
        <is>
          <t>SELL</t>
        </is>
      </c>
      <c r="G216" t="n">
        <v>150</v>
      </c>
      <c r="H216" t="n">
        <v>1723.84</v>
      </c>
      <c r="I216" t="n">
        <v>258576</v>
      </c>
      <c r="J216" t="n">
        <v>90.5</v>
      </c>
      <c r="K216" t="inlineStr">
        <is>
          <t>NSE</t>
        </is>
      </c>
      <c r="L216" t="inlineStr">
        <is>
          <t>QE-CLEARING</t>
        </is>
      </c>
      <c r="M216" t="inlineStr">
        <is>
          <t>T100217</t>
        </is>
      </c>
    </row>
    <row r="217">
      <c r="A217" t="inlineStr">
        <is>
          <t>T100218</t>
        </is>
      </c>
      <c r="B217" t="inlineStr">
        <is>
          <t>2026-06-30</t>
        </is>
      </c>
      <c r="C217" t="inlineStr">
        <is>
          <t>15:20:57</t>
        </is>
      </c>
      <c r="D217" t="inlineStr">
        <is>
          <t>BAJFINANCE</t>
        </is>
      </c>
      <c r="E217" t="inlineStr">
        <is>
          <t>Equity</t>
        </is>
      </c>
      <c r="F217" t="inlineStr">
        <is>
          <t>BUY</t>
        </is>
      </c>
      <c r="G217" t="n">
        <v>200</v>
      </c>
      <c r="H217" t="n">
        <v>7178.43</v>
      </c>
      <c r="I217" t="n">
        <v>1435686</v>
      </c>
      <c r="J217" t="n">
        <v>502.49</v>
      </c>
      <c r="K217" t="inlineStr">
        <is>
          <t>BSE</t>
        </is>
      </c>
      <c r="L217" t="inlineStr">
        <is>
          <t>QE-CLEARING</t>
        </is>
      </c>
      <c r="M217" t="inlineStr">
        <is>
          <t>T100218</t>
        </is>
      </c>
    </row>
    <row r="218">
      <c r="A218" t="inlineStr">
        <is>
          <t>T100219</t>
        </is>
      </c>
      <c r="B218" t="inlineStr">
        <is>
          <t>2026-06-30</t>
        </is>
      </c>
      <c r="C218" t="inlineStr">
        <is>
          <t>09:34:49</t>
        </is>
      </c>
      <c r="D218" t="inlineStr">
        <is>
          <t>BAJFINANCE</t>
        </is>
      </c>
      <c r="E218" t="inlineStr">
        <is>
          <t>Equity</t>
        </is>
      </c>
      <c r="F218" t="inlineStr">
        <is>
          <t>SELL</t>
        </is>
      </c>
      <c r="G218" t="n">
        <v>50</v>
      </c>
      <c r="H218" t="n">
        <v>7165.85</v>
      </c>
      <c r="I218" t="n">
        <v>358292.5</v>
      </c>
      <c r="J218" t="n">
        <v>125.4</v>
      </c>
      <c r="K218" t="inlineStr">
        <is>
          <t>BSE</t>
        </is>
      </c>
      <c r="L218" t="inlineStr">
        <is>
          <t>QE-CLEARING</t>
        </is>
      </c>
      <c r="M218" t="inlineStr">
        <is>
          <t>T100219</t>
        </is>
      </c>
    </row>
    <row r="219">
      <c r="A219" t="inlineStr">
        <is>
          <t>T100220</t>
        </is>
      </c>
      <c r="B219" t="inlineStr">
        <is>
          <t>2026-06-30</t>
        </is>
      </c>
      <c r="C219" t="inlineStr">
        <is>
          <t>12:17:06</t>
        </is>
      </c>
      <c r="D219" t="inlineStr">
        <is>
          <t>SUNPHARMA</t>
        </is>
      </c>
      <c r="E219" t="inlineStr">
        <is>
          <t>Equity</t>
        </is>
      </c>
      <c r="F219" t="inlineStr">
        <is>
          <t>SELL</t>
        </is>
      </c>
      <c r="G219" t="n">
        <v>50</v>
      </c>
      <c r="H219" t="n">
        <v>1714.45</v>
      </c>
      <c r="I219" t="n">
        <v>85722.5</v>
      </c>
      <c r="J219" t="n">
        <v>30</v>
      </c>
      <c r="K219" t="inlineStr">
        <is>
          <t>NSE</t>
        </is>
      </c>
      <c r="L219" t="inlineStr">
        <is>
          <t>QE-CLEARING</t>
        </is>
      </c>
      <c r="M219" t="inlineStr">
        <is>
          <t>T100220</t>
        </is>
      </c>
    </row>
    <row r="220">
      <c r="A220" t="inlineStr">
        <is>
          <t>T100221</t>
        </is>
      </c>
      <c r="B220" t="inlineStr">
        <is>
          <t>2026-06-30</t>
        </is>
      </c>
      <c r="C220" t="inlineStr">
        <is>
          <t>12:58:44</t>
        </is>
      </c>
      <c r="D220" t="inlineStr">
        <is>
          <t>MARUTI</t>
        </is>
      </c>
      <c r="E220" t="inlineStr">
        <is>
          <t>Equity</t>
        </is>
      </c>
      <c r="F220" t="inlineStr">
        <is>
          <t>BUY</t>
        </is>
      </c>
      <c r="G220" t="n">
        <v>150</v>
      </c>
      <c r="H220" t="n">
        <v>12655.85</v>
      </c>
      <c r="I220" t="n">
        <v>1898377.5</v>
      </c>
      <c r="J220" t="n">
        <v>664.4299999999999</v>
      </c>
      <c r="K220" t="inlineStr">
        <is>
          <t>NSE</t>
        </is>
      </c>
      <c r="L220" t="inlineStr">
        <is>
          <t>QE-CLEARING</t>
        </is>
      </c>
      <c r="M220" t="inlineStr">
        <is>
          <t>T100221</t>
        </is>
      </c>
    </row>
    <row r="221">
      <c r="A221" t="inlineStr">
        <is>
          <t>T100222</t>
        </is>
      </c>
      <c r="B221" t="inlineStr">
        <is>
          <t>2026-06-30</t>
        </is>
      </c>
      <c r="C221" t="inlineStr">
        <is>
          <t>14:14:08</t>
        </is>
      </c>
      <c r="D221" t="inlineStr">
        <is>
          <t>HDFCBANK</t>
        </is>
      </c>
      <c r="E221" t="inlineStr">
        <is>
          <t>Equity</t>
        </is>
      </c>
      <c r="F221" t="inlineStr">
        <is>
          <t>SELL</t>
        </is>
      </c>
      <c r="G221" t="n">
        <v>100</v>
      </c>
      <c r="H221" t="n">
        <v>1683.6</v>
      </c>
      <c r="I221" t="n">
        <v>168360</v>
      </c>
      <c r="J221" t="n">
        <v>58.93</v>
      </c>
      <c r="K221" t="inlineStr">
        <is>
          <t>BSE</t>
        </is>
      </c>
      <c r="L221" t="inlineStr">
        <is>
          <t>QE-CLEARING</t>
        </is>
      </c>
      <c r="M221" t="inlineStr">
        <is>
          <t>T100222</t>
        </is>
      </c>
    </row>
    <row r="222">
      <c r="A222" t="inlineStr">
        <is>
          <t>T100223</t>
        </is>
      </c>
      <c r="B222" t="inlineStr">
        <is>
          <t>2026-06-30</t>
        </is>
      </c>
      <c r="C222" t="inlineStr">
        <is>
          <t>14:57:27</t>
        </is>
      </c>
      <c r="D222" t="inlineStr">
        <is>
          <t>ICICIBANK</t>
        </is>
      </c>
      <c r="E222" t="inlineStr">
        <is>
          <t>Equity</t>
        </is>
      </c>
      <c r="F222" t="inlineStr">
        <is>
          <t>BUY</t>
        </is>
      </c>
      <c r="G222" t="n">
        <v>300</v>
      </c>
      <c r="H222" t="n">
        <v>1241.69</v>
      </c>
      <c r="I222" t="n">
        <v>372507</v>
      </c>
      <c r="J222" t="n">
        <v>130.38</v>
      </c>
      <c r="K222" t="inlineStr">
        <is>
          <t>BSE</t>
        </is>
      </c>
      <c r="L222" t="inlineStr">
        <is>
          <t>QE-CLEARING</t>
        </is>
      </c>
      <c r="M222" t="inlineStr">
        <is>
          <t>T100223</t>
        </is>
      </c>
    </row>
    <row r="223">
      <c r="A223" t="inlineStr">
        <is>
          <t>T100224</t>
        </is>
      </c>
      <c r="B223" t="inlineStr">
        <is>
          <t>2026-06-30</t>
        </is>
      </c>
      <c r="C223" t="inlineStr">
        <is>
          <t>12:51:01</t>
        </is>
      </c>
      <c r="D223" t="inlineStr">
        <is>
          <t>RELIANCE</t>
        </is>
      </c>
      <c r="E223" t="inlineStr">
        <is>
          <t>Equity</t>
        </is>
      </c>
      <c r="F223" t="inlineStr">
        <is>
          <t>SELL</t>
        </is>
      </c>
      <c r="G223" t="n">
        <v>150</v>
      </c>
      <c r="H223" t="n">
        <v>1421.85</v>
      </c>
      <c r="I223" t="n">
        <v>213277.5</v>
      </c>
      <c r="J223" t="n">
        <v>74.65000000000001</v>
      </c>
      <c r="K223" t="inlineStr">
        <is>
          <t>NSE</t>
        </is>
      </c>
      <c r="L223" t="inlineStr">
        <is>
          <t>QE-CLEARING</t>
        </is>
      </c>
      <c r="M223" t="inlineStr">
        <is>
          <t>T100224</t>
        </is>
      </c>
    </row>
    <row r="224">
      <c r="A224" t="inlineStr">
        <is>
          <t>T100225</t>
        </is>
      </c>
      <c r="B224" t="inlineStr">
        <is>
          <t>2026-06-30</t>
        </is>
      </c>
      <c r="C224" t="inlineStr">
        <is>
          <t>11:03:28</t>
        </is>
      </c>
      <c r="D224" t="inlineStr">
        <is>
          <t>HDFCBANK</t>
        </is>
      </c>
      <c r="E224" t="inlineStr">
        <is>
          <t>Equity</t>
        </is>
      </c>
      <c r="F224" t="inlineStr">
        <is>
          <t>SELL</t>
        </is>
      </c>
      <c r="G224" t="n">
        <v>150</v>
      </c>
      <c r="H224" t="n">
        <v>1682.99</v>
      </c>
      <c r="I224" t="n">
        <v>252448.5</v>
      </c>
      <c r="J224" t="n">
        <v>88.36</v>
      </c>
      <c r="K224" t="inlineStr">
        <is>
          <t>NSE</t>
        </is>
      </c>
      <c r="L224" t="inlineStr">
        <is>
          <t>QE-CLEARING</t>
        </is>
      </c>
      <c r="M224" t="inlineStr">
        <is>
          <t>T100225</t>
        </is>
      </c>
    </row>
    <row r="225">
      <c r="A225" t="inlineStr">
        <is>
          <t>T100226</t>
        </is>
      </c>
      <c r="B225" t="inlineStr">
        <is>
          <t>2026-06-30</t>
        </is>
      </c>
      <c r="C225" t="inlineStr">
        <is>
          <t>15:27:36</t>
        </is>
      </c>
      <c r="D225" t="inlineStr">
        <is>
          <t>RELIANCE</t>
        </is>
      </c>
      <c r="E225" t="inlineStr">
        <is>
          <t>Equity</t>
        </is>
      </c>
      <c r="F225" t="inlineStr">
        <is>
          <t>SELL</t>
        </is>
      </c>
      <c r="G225" t="n">
        <v>200</v>
      </c>
      <c r="H225" t="n">
        <v>1417.35</v>
      </c>
      <c r="I225" t="n">
        <v>283470</v>
      </c>
      <c r="J225" t="n">
        <v>99.20999999999999</v>
      </c>
      <c r="K225" t="inlineStr">
        <is>
          <t>BSE</t>
        </is>
      </c>
      <c r="L225" t="inlineStr">
        <is>
          <t>QE-CLEARING</t>
        </is>
      </c>
      <c r="M225" t="inlineStr">
        <is>
          <t>T100226</t>
        </is>
      </c>
    </row>
    <row r="226">
      <c r="A226" t="inlineStr">
        <is>
          <t>T100227</t>
        </is>
      </c>
      <c r="B226" t="inlineStr">
        <is>
          <t>2026-06-30</t>
        </is>
      </c>
      <c r="C226" t="inlineStr">
        <is>
          <t>12:12:42</t>
        </is>
      </c>
      <c r="D226" t="inlineStr">
        <is>
          <t>RELIANCE</t>
        </is>
      </c>
      <c r="E226" t="inlineStr">
        <is>
          <t>Equity</t>
        </is>
      </c>
      <c r="F226" t="inlineStr">
        <is>
          <t>BUY</t>
        </is>
      </c>
      <c r="G226" t="n">
        <v>200</v>
      </c>
      <c r="H226" t="n">
        <v>1419.49</v>
      </c>
      <c r="I226" t="n">
        <v>283898</v>
      </c>
      <c r="J226" t="n">
        <v>99.36</v>
      </c>
      <c r="K226" t="inlineStr">
        <is>
          <t>BSE</t>
        </is>
      </c>
      <c r="L226" t="inlineStr">
        <is>
          <t>QE-CLEARING</t>
        </is>
      </c>
      <c r="M226" t="inlineStr">
        <is>
          <t>T100227</t>
        </is>
      </c>
    </row>
    <row r="227">
      <c r="A227" t="inlineStr">
        <is>
          <t>T100228</t>
        </is>
      </c>
      <c r="B227" t="inlineStr">
        <is>
          <t>2026-06-30</t>
        </is>
      </c>
      <c r="C227" t="inlineStr">
        <is>
          <t>09:11:09</t>
        </is>
      </c>
      <c r="D227" t="inlineStr">
        <is>
          <t>ITC</t>
        </is>
      </c>
      <c r="E227" t="inlineStr">
        <is>
          <t>Equity</t>
        </is>
      </c>
      <c r="F227" t="inlineStr">
        <is>
          <t>BUY</t>
        </is>
      </c>
      <c r="G227" t="n">
        <v>50</v>
      </c>
      <c r="H227" t="n">
        <v>446.76</v>
      </c>
      <c r="I227" t="n">
        <v>22338</v>
      </c>
      <c r="J227" t="n">
        <v>7.82</v>
      </c>
      <c r="K227" t="inlineStr">
        <is>
          <t>NSE</t>
        </is>
      </c>
      <c r="L227" t="inlineStr">
        <is>
          <t>QE-CLEARING</t>
        </is>
      </c>
      <c r="M227" t="inlineStr">
        <is>
          <t>T100228</t>
        </is>
      </c>
    </row>
    <row r="228">
      <c r="A228" t="inlineStr">
        <is>
          <t>T100229</t>
        </is>
      </c>
      <c r="B228" t="inlineStr">
        <is>
          <t>2026-06-30</t>
        </is>
      </c>
      <c r="C228" t="inlineStr">
        <is>
          <t>09:21:47</t>
        </is>
      </c>
      <c r="D228" t="inlineStr">
        <is>
          <t>LT</t>
        </is>
      </c>
      <c r="E228" t="inlineStr">
        <is>
          <t>Equity</t>
        </is>
      </c>
      <c r="F228" t="inlineStr">
        <is>
          <t>SELL</t>
        </is>
      </c>
      <c r="G228" t="n">
        <v>150</v>
      </c>
      <c r="H228" t="n">
        <v>3612.17</v>
      </c>
      <c r="I228" t="n">
        <v>541825.5</v>
      </c>
      <c r="J228" t="n">
        <v>189.64</v>
      </c>
      <c r="K228" t="inlineStr">
        <is>
          <t>NSE</t>
        </is>
      </c>
      <c r="L228" t="inlineStr">
        <is>
          <t>QE-CLEARING</t>
        </is>
      </c>
      <c r="M228" t="inlineStr">
        <is>
          <t>T100229</t>
        </is>
      </c>
    </row>
    <row r="229">
      <c r="A229" t="inlineStr">
        <is>
          <t>T100230</t>
        </is>
      </c>
      <c r="B229" t="inlineStr">
        <is>
          <t>2026-06-30</t>
        </is>
      </c>
      <c r="C229" t="inlineStr">
        <is>
          <t>11:22:17</t>
        </is>
      </c>
      <c r="D229" t="inlineStr">
        <is>
          <t>AXISBANK</t>
        </is>
      </c>
      <c r="E229" t="inlineStr">
        <is>
          <t>Equity</t>
        </is>
      </c>
      <c r="F229" t="inlineStr">
        <is>
          <t>BUY</t>
        </is>
      </c>
      <c r="G229" t="n">
        <v>50</v>
      </c>
      <c r="H229" t="n">
        <v>1128.83</v>
      </c>
      <c r="I229" t="n">
        <v>56441.5</v>
      </c>
      <c r="J229" t="n">
        <v>19.75</v>
      </c>
      <c r="K229" t="inlineStr">
        <is>
          <t>NSE</t>
        </is>
      </c>
      <c r="L229" t="inlineStr">
        <is>
          <t>QE-CLEARING</t>
        </is>
      </c>
      <c r="M229" t="inlineStr">
        <is>
          <t>T100230</t>
        </is>
      </c>
    </row>
    <row r="230">
      <c r="A230" t="inlineStr">
        <is>
          <t>T100231</t>
        </is>
      </c>
      <c r="B230" t="inlineStr">
        <is>
          <t>2026-06-30</t>
        </is>
      </c>
      <c r="C230" t="inlineStr">
        <is>
          <t>09:29:00</t>
        </is>
      </c>
      <c r="D230" t="inlineStr">
        <is>
          <t>BAJFINANCE</t>
        </is>
      </c>
      <c r="E230" t="inlineStr">
        <is>
          <t>Equity</t>
        </is>
      </c>
      <c r="F230" t="inlineStr">
        <is>
          <t>SELL</t>
        </is>
      </c>
      <c r="G230" t="n">
        <v>50</v>
      </c>
      <c r="H230" t="n">
        <v>7151.91</v>
      </c>
      <c r="I230" t="n">
        <v>357595.5</v>
      </c>
      <c r="J230" t="n">
        <v>125.16</v>
      </c>
      <c r="K230" t="inlineStr">
        <is>
          <t>NSE</t>
        </is>
      </c>
      <c r="L230" t="inlineStr">
        <is>
          <t>QE-CLEARING</t>
        </is>
      </c>
      <c r="M230" t="inlineStr">
        <is>
          <t>T100231</t>
        </is>
      </c>
    </row>
    <row r="231">
      <c r="A231" t="inlineStr">
        <is>
          <t>T100232</t>
        </is>
      </c>
      <c r="B231" t="inlineStr">
        <is>
          <t>2026-06-30</t>
        </is>
      </c>
      <c r="C231" t="inlineStr">
        <is>
          <t>15:54:18</t>
        </is>
      </c>
      <c r="D231" t="inlineStr">
        <is>
          <t>SBIN</t>
        </is>
      </c>
      <c r="E231" t="inlineStr">
        <is>
          <t>Equity</t>
        </is>
      </c>
      <c r="F231" t="inlineStr">
        <is>
          <t>BUY</t>
        </is>
      </c>
      <c r="G231" t="n">
        <v>50</v>
      </c>
      <c r="H231" t="n">
        <v>814.62</v>
      </c>
      <c r="I231" t="n">
        <v>40731</v>
      </c>
      <c r="J231" t="n">
        <v>14.26</v>
      </c>
      <c r="K231" t="inlineStr">
        <is>
          <t>NSE</t>
        </is>
      </c>
      <c r="L231" t="inlineStr">
        <is>
          <t>QE-CLEARING</t>
        </is>
      </c>
      <c r="M231" t="inlineStr">
        <is>
          <t>T100232</t>
        </is>
      </c>
    </row>
    <row r="232">
      <c r="A232" t="inlineStr">
        <is>
          <t>T100233</t>
        </is>
      </c>
      <c r="B232" t="inlineStr">
        <is>
          <t>2026-06-30</t>
        </is>
      </c>
      <c r="C232" t="inlineStr">
        <is>
          <t>10:41:48</t>
        </is>
      </c>
      <c r="D232" t="inlineStr">
        <is>
          <t>MARUTI</t>
        </is>
      </c>
      <c r="E232" t="inlineStr">
        <is>
          <t>Equity</t>
        </is>
      </c>
      <c r="F232" t="inlineStr">
        <is>
          <t>SELL</t>
        </is>
      </c>
      <c r="G232" t="n">
        <v>300</v>
      </c>
      <c r="H232" t="n">
        <v>12640.58</v>
      </c>
      <c r="I232" t="n">
        <v>3792174</v>
      </c>
      <c r="J232" t="n">
        <v>1327.26</v>
      </c>
      <c r="K232" t="inlineStr">
        <is>
          <t>BSE</t>
        </is>
      </c>
      <c r="L232" t="inlineStr">
        <is>
          <t>QE-CLEARING</t>
        </is>
      </c>
      <c r="M232" t="inlineStr">
        <is>
          <t>T100233</t>
        </is>
      </c>
    </row>
    <row r="233">
      <c r="A233" t="inlineStr">
        <is>
          <t>T100234</t>
        </is>
      </c>
      <c r="B233" t="inlineStr">
        <is>
          <t>2026-06-30</t>
        </is>
      </c>
      <c r="C233" t="inlineStr">
        <is>
          <t>11:37:17</t>
        </is>
      </c>
      <c r="D233" t="inlineStr">
        <is>
          <t>MARUTI</t>
        </is>
      </c>
      <c r="E233" t="inlineStr">
        <is>
          <t>Equity</t>
        </is>
      </c>
      <c r="F233" t="inlineStr">
        <is>
          <t>SELL</t>
        </is>
      </c>
      <c r="G233" t="n">
        <v>500</v>
      </c>
      <c r="H233" t="n">
        <v>12655.06</v>
      </c>
      <c r="I233" t="n">
        <v>6327530</v>
      </c>
      <c r="J233" t="n">
        <v>2214.64</v>
      </c>
      <c r="K233" t="inlineStr">
        <is>
          <t>NSE</t>
        </is>
      </c>
      <c r="L233" t="inlineStr">
        <is>
          <t>QE-CLEARING</t>
        </is>
      </c>
      <c r="M233" t="inlineStr">
        <is>
          <t>T100234</t>
        </is>
      </c>
    </row>
    <row r="234">
      <c r="A234" t="inlineStr">
        <is>
          <t>T100235</t>
        </is>
      </c>
      <c r="B234" t="inlineStr">
        <is>
          <t>2026-06-30</t>
        </is>
      </c>
      <c r="C234" t="inlineStr">
        <is>
          <t>09:04:25</t>
        </is>
      </c>
      <c r="D234" t="inlineStr">
        <is>
          <t>TCS</t>
        </is>
      </c>
      <c r="E234" t="inlineStr">
        <is>
          <t>Equity</t>
        </is>
      </c>
      <c r="F234" t="inlineStr">
        <is>
          <t>SELL</t>
        </is>
      </c>
      <c r="G234" t="n">
        <v>75</v>
      </c>
      <c r="H234" t="n">
        <v>3901.25</v>
      </c>
      <c r="I234" t="n">
        <v>292593.75</v>
      </c>
      <c r="J234" t="n">
        <v>102.41</v>
      </c>
      <c r="K234" t="inlineStr">
        <is>
          <t>NSE</t>
        </is>
      </c>
      <c r="L234" t="inlineStr">
        <is>
          <t>QE-CLEARING</t>
        </is>
      </c>
      <c r="M234" t="inlineStr">
        <is>
          <t>T100235</t>
        </is>
      </c>
    </row>
    <row r="235">
      <c r="A235" t="inlineStr">
        <is>
          <t>T100236</t>
        </is>
      </c>
      <c r="B235" t="inlineStr">
        <is>
          <t>2026-06-30</t>
        </is>
      </c>
      <c r="C235" t="inlineStr">
        <is>
          <t>15:06:09</t>
        </is>
      </c>
      <c r="D235" t="inlineStr">
        <is>
          <t>ICICIBANK</t>
        </is>
      </c>
      <c r="E235" t="inlineStr">
        <is>
          <t>Equity</t>
        </is>
      </c>
      <c r="F235" t="inlineStr">
        <is>
          <t>SELL</t>
        </is>
      </c>
      <c r="G235" t="n">
        <v>50</v>
      </c>
      <c r="H235" t="n">
        <v>1241.36</v>
      </c>
      <c r="I235" t="n">
        <v>62068</v>
      </c>
      <c r="J235" t="n">
        <v>21.72</v>
      </c>
      <c r="K235" t="inlineStr">
        <is>
          <t>BSE</t>
        </is>
      </c>
      <c r="L235" t="inlineStr">
        <is>
          <t>QE-CLEARING</t>
        </is>
      </c>
      <c r="M235" t="inlineStr">
        <is>
          <t>T100236</t>
        </is>
      </c>
    </row>
    <row r="236">
      <c r="A236" t="inlineStr">
        <is>
          <t>T100237</t>
        </is>
      </c>
      <c r="B236" t="inlineStr">
        <is>
          <t>2026-06-30</t>
        </is>
      </c>
      <c r="C236" t="inlineStr">
        <is>
          <t>15:53:06</t>
        </is>
      </c>
      <c r="D236" t="inlineStr">
        <is>
          <t>HDFCBANK</t>
        </is>
      </c>
      <c r="E236" t="inlineStr">
        <is>
          <t>Equity</t>
        </is>
      </c>
      <c r="F236" t="inlineStr">
        <is>
          <t>SELL</t>
        </is>
      </c>
      <c r="G236" t="n">
        <v>250</v>
      </c>
      <c r="H236" t="n">
        <v>1685.39</v>
      </c>
      <c r="I236" t="n">
        <v>421347.5</v>
      </c>
      <c r="J236" t="n">
        <v>147.47</v>
      </c>
      <c r="K236" t="inlineStr">
        <is>
          <t>BSE</t>
        </is>
      </c>
      <c r="L236" t="inlineStr">
        <is>
          <t>QE-CLEARING</t>
        </is>
      </c>
      <c r="M236" t="inlineStr">
        <is>
          <t>T100237</t>
        </is>
      </c>
    </row>
    <row r="237">
      <c r="A237" t="inlineStr">
        <is>
          <t>T100238</t>
        </is>
      </c>
      <c r="B237" t="inlineStr">
        <is>
          <t>2026-06-30</t>
        </is>
      </c>
      <c r="C237" t="inlineStr">
        <is>
          <t>11:19:11</t>
        </is>
      </c>
      <c r="D237" t="inlineStr">
        <is>
          <t>TATAMOTORS</t>
        </is>
      </c>
      <c r="E237" t="inlineStr">
        <is>
          <t>Equity</t>
        </is>
      </c>
      <c r="F237" t="inlineStr">
        <is>
          <t>SELL</t>
        </is>
      </c>
      <c r="G237" t="n">
        <v>300</v>
      </c>
      <c r="H237" t="n">
        <v>984.74</v>
      </c>
      <c r="I237" t="n">
        <v>295422</v>
      </c>
      <c r="J237" t="n">
        <v>103.4</v>
      </c>
      <c r="K237" t="inlineStr">
        <is>
          <t>BSE</t>
        </is>
      </c>
      <c r="L237" t="inlineStr">
        <is>
          <t>QE-CLEARING</t>
        </is>
      </c>
      <c r="M237" t="inlineStr">
        <is>
          <t>T100238</t>
        </is>
      </c>
    </row>
    <row r="238">
      <c r="A238" t="inlineStr">
        <is>
          <t>T100239</t>
        </is>
      </c>
      <c r="B238" t="inlineStr">
        <is>
          <t>2026-06-30</t>
        </is>
      </c>
      <c r="C238" t="inlineStr">
        <is>
          <t>13:53:08</t>
        </is>
      </c>
      <c r="D238" t="inlineStr">
        <is>
          <t>BHARTIARTL</t>
        </is>
      </c>
      <c r="E238" t="inlineStr">
        <is>
          <t>Equity</t>
        </is>
      </c>
      <c r="F238" t="inlineStr">
        <is>
          <t>BUY</t>
        </is>
      </c>
      <c r="G238" t="n">
        <v>100</v>
      </c>
      <c r="H238" t="n">
        <v>1581.8</v>
      </c>
      <c r="I238" t="n">
        <v>158180</v>
      </c>
      <c r="J238" t="n">
        <v>55.36</v>
      </c>
      <c r="K238" t="inlineStr">
        <is>
          <t>BSE</t>
        </is>
      </c>
      <c r="L238" t="inlineStr">
        <is>
          <t>QE-CLEARING</t>
        </is>
      </c>
      <c r="M238" t="inlineStr">
        <is>
          <t>T100239</t>
        </is>
      </c>
    </row>
    <row r="239">
      <c r="A239" t="inlineStr">
        <is>
          <t>T100240</t>
        </is>
      </c>
      <c r="B239" t="inlineStr">
        <is>
          <t>2026-06-30</t>
        </is>
      </c>
      <c r="C239" t="inlineStr">
        <is>
          <t>15:45:16</t>
        </is>
      </c>
      <c r="D239" t="inlineStr">
        <is>
          <t>LT</t>
        </is>
      </c>
      <c r="E239" t="inlineStr">
        <is>
          <t>Equity</t>
        </is>
      </c>
      <c r="F239" t="inlineStr">
        <is>
          <t>BUY</t>
        </is>
      </c>
      <c r="G239" t="n">
        <v>50</v>
      </c>
      <c r="H239" t="n">
        <v>3607.16</v>
      </c>
      <c r="I239" t="n">
        <v>180358</v>
      </c>
      <c r="J239" t="n">
        <v>63.13</v>
      </c>
      <c r="K239" t="inlineStr">
        <is>
          <t>NSE</t>
        </is>
      </c>
      <c r="L239" t="inlineStr">
        <is>
          <t>QE-CLEARING</t>
        </is>
      </c>
      <c r="M239" t="inlineStr">
        <is>
          <t>T100240</t>
        </is>
      </c>
    </row>
    <row r="240">
      <c r="A240" t="inlineStr">
        <is>
          <t>T100241</t>
        </is>
      </c>
      <c r="B240" t="inlineStr">
        <is>
          <t>2026-06-30</t>
        </is>
      </c>
      <c r="C240" t="inlineStr">
        <is>
          <t>10:00:07</t>
        </is>
      </c>
      <c r="D240" t="inlineStr">
        <is>
          <t>KOTAKBANK</t>
        </is>
      </c>
      <c r="E240" t="inlineStr">
        <is>
          <t>Equity</t>
        </is>
      </c>
      <c r="F240" t="inlineStr">
        <is>
          <t>BUY</t>
        </is>
      </c>
      <c r="G240" t="n">
        <v>200</v>
      </c>
      <c r="H240" t="n">
        <v>1793.57</v>
      </c>
      <c r="I240" t="n">
        <v>358714</v>
      </c>
      <c r="J240" t="n">
        <v>125.55</v>
      </c>
      <c r="K240" t="inlineStr">
        <is>
          <t>NSE</t>
        </is>
      </c>
      <c r="L240" t="inlineStr">
        <is>
          <t>QE-CLEARING</t>
        </is>
      </c>
      <c r="M240" t="inlineStr">
        <is>
          <t>T100241</t>
        </is>
      </c>
    </row>
    <row r="241">
      <c r="A241" t="inlineStr">
        <is>
          <t>T100242</t>
        </is>
      </c>
      <c r="B241" t="inlineStr">
        <is>
          <t>2026-06-30</t>
        </is>
      </c>
      <c r="C241" t="inlineStr">
        <is>
          <t>14:37:18</t>
        </is>
      </c>
      <c r="D241" t="inlineStr">
        <is>
          <t>AXISBANK</t>
        </is>
      </c>
      <c r="E241" t="inlineStr">
        <is>
          <t>Equity</t>
        </is>
      </c>
      <c r="F241" t="inlineStr">
        <is>
          <t>BUY</t>
        </is>
      </c>
      <c r="G241" t="n">
        <v>500</v>
      </c>
      <c r="H241" t="n">
        <v>1134.37</v>
      </c>
      <c r="I241" t="n">
        <v>567185</v>
      </c>
      <c r="J241" t="n">
        <v>198.51</v>
      </c>
      <c r="K241" t="inlineStr">
        <is>
          <t>BSE</t>
        </is>
      </c>
      <c r="L241" t="inlineStr">
        <is>
          <t>QE-CLEARING</t>
        </is>
      </c>
      <c r="M241" t="inlineStr">
        <is>
          <t>T100242</t>
        </is>
      </c>
    </row>
    <row r="242">
      <c r="A242" t="inlineStr">
        <is>
          <t>T100243</t>
        </is>
      </c>
      <c r="B242" t="inlineStr">
        <is>
          <t>2026-06-30</t>
        </is>
      </c>
      <c r="C242" t="inlineStr">
        <is>
          <t>13:34:31</t>
        </is>
      </c>
      <c r="D242" t="inlineStr">
        <is>
          <t>AXISBANK</t>
        </is>
      </c>
      <c r="E242" t="inlineStr">
        <is>
          <t>Equity</t>
        </is>
      </c>
      <c r="F242" t="inlineStr">
        <is>
          <t>SELL</t>
        </is>
      </c>
      <c r="G242" t="n">
        <v>100</v>
      </c>
      <c r="H242" t="n">
        <v>1131.79</v>
      </c>
      <c r="I242" t="n">
        <v>113179</v>
      </c>
      <c r="J242" t="n">
        <v>39.61</v>
      </c>
      <c r="K242" t="inlineStr">
        <is>
          <t>NSE</t>
        </is>
      </c>
      <c r="L242" t="inlineStr">
        <is>
          <t>QE-CLEARING</t>
        </is>
      </c>
      <c r="M242" t="inlineStr">
        <is>
          <t>T100243</t>
        </is>
      </c>
    </row>
    <row r="243">
      <c r="A243" t="inlineStr">
        <is>
          <t>T100244</t>
        </is>
      </c>
      <c r="B243" t="inlineStr">
        <is>
          <t>2026-06-30</t>
        </is>
      </c>
      <c r="C243" t="inlineStr">
        <is>
          <t>15:28:16</t>
        </is>
      </c>
      <c r="D243" t="inlineStr">
        <is>
          <t>HINDUNILVR</t>
        </is>
      </c>
      <c r="E243" t="inlineStr">
        <is>
          <t>Equity</t>
        </is>
      </c>
      <c r="F243" t="inlineStr">
        <is>
          <t>SELL</t>
        </is>
      </c>
      <c r="G243" t="n">
        <v>150</v>
      </c>
      <c r="H243" t="n">
        <v>2367.2</v>
      </c>
      <c r="I243" t="n">
        <v>355080</v>
      </c>
      <c r="J243" t="n">
        <v>124.28</v>
      </c>
      <c r="K243" t="inlineStr">
        <is>
          <t>NSE</t>
        </is>
      </c>
      <c r="L243" t="inlineStr">
        <is>
          <t>QE-CLEARING</t>
        </is>
      </c>
      <c r="M243" t="inlineStr">
        <is>
          <t>T100244</t>
        </is>
      </c>
    </row>
    <row r="244">
      <c r="A244" t="inlineStr">
        <is>
          <t>T100245</t>
        </is>
      </c>
      <c r="B244" t="inlineStr">
        <is>
          <t>2026-06-30</t>
        </is>
      </c>
      <c r="C244" t="inlineStr">
        <is>
          <t>13:10:37</t>
        </is>
      </c>
      <c r="D244" t="inlineStr">
        <is>
          <t>HINDUNILVR</t>
        </is>
      </c>
      <c r="E244" t="inlineStr">
        <is>
          <t>Equity</t>
        </is>
      </c>
      <c r="F244" t="inlineStr">
        <is>
          <t>BUY</t>
        </is>
      </c>
      <c r="G244" t="n">
        <v>300</v>
      </c>
      <c r="H244" t="n">
        <v>2362.66</v>
      </c>
      <c r="I244" t="n">
        <v>708798</v>
      </c>
      <c r="J244" t="n">
        <v>248.08</v>
      </c>
      <c r="K244" t="inlineStr">
        <is>
          <t>NSE</t>
        </is>
      </c>
      <c r="L244" t="inlineStr">
        <is>
          <t>QE-CLEARING</t>
        </is>
      </c>
      <c r="M244" t="inlineStr">
        <is>
          <t>T100245</t>
        </is>
      </c>
    </row>
    <row r="245">
      <c r="A245" t="inlineStr">
        <is>
          <t>T100246</t>
        </is>
      </c>
      <c r="B245" t="inlineStr">
        <is>
          <t>2026-06-30</t>
        </is>
      </c>
      <c r="C245" t="inlineStr">
        <is>
          <t>15:21:59</t>
        </is>
      </c>
      <c r="D245" t="inlineStr">
        <is>
          <t>BHARTIARTL</t>
        </is>
      </c>
      <c r="E245" t="inlineStr">
        <is>
          <t>Equity</t>
        </is>
      </c>
      <c r="F245" t="inlineStr">
        <is>
          <t>BUY</t>
        </is>
      </c>
      <c r="G245" t="n">
        <v>75</v>
      </c>
      <c r="H245" t="n">
        <v>1579.74</v>
      </c>
      <c r="I245" t="n">
        <v>118480.5</v>
      </c>
      <c r="J245" t="n">
        <v>41.47</v>
      </c>
      <c r="K245" t="inlineStr">
        <is>
          <t>NSE</t>
        </is>
      </c>
      <c r="L245" t="inlineStr">
        <is>
          <t>QE-CLEARING</t>
        </is>
      </c>
      <c r="M245" t="inlineStr">
        <is>
          <t>T100246</t>
        </is>
      </c>
    </row>
    <row r="246">
      <c r="A246" t="inlineStr">
        <is>
          <t>T100247</t>
        </is>
      </c>
      <c r="B246" t="inlineStr">
        <is>
          <t>2026-06-30</t>
        </is>
      </c>
      <c r="C246" t="inlineStr">
        <is>
          <t>13:41:34</t>
        </is>
      </c>
      <c r="D246" t="inlineStr">
        <is>
          <t>BHARTIARTL</t>
        </is>
      </c>
      <c r="E246" t="inlineStr">
        <is>
          <t>Equity</t>
        </is>
      </c>
      <c r="F246" t="inlineStr">
        <is>
          <t>SELL</t>
        </is>
      </c>
      <c r="G246" t="n">
        <v>150</v>
      </c>
      <c r="H246" t="n">
        <v>1584.31</v>
      </c>
      <c r="I246" t="n">
        <v>237646.5</v>
      </c>
      <c r="J246" t="n">
        <v>83.18000000000001</v>
      </c>
      <c r="K246" t="inlineStr">
        <is>
          <t>NSE</t>
        </is>
      </c>
      <c r="L246" t="inlineStr">
        <is>
          <t>QE-CLEARING</t>
        </is>
      </c>
      <c r="M246" t="inlineStr">
        <is>
          <t>T100247</t>
        </is>
      </c>
    </row>
    <row r="247">
      <c r="A247" t="inlineStr">
        <is>
          <t>T100248</t>
        </is>
      </c>
      <c r="B247" t="inlineStr">
        <is>
          <t>2026-06-30</t>
        </is>
      </c>
      <c r="C247" t="inlineStr">
        <is>
          <t>11:42:35</t>
        </is>
      </c>
      <c r="D247" t="inlineStr">
        <is>
          <t>TATAMOTORS</t>
        </is>
      </c>
      <c r="E247" t="inlineStr">
        <is>
          <t>Equity</t>
        </is>
      </c>
      <c r="F247" t="inlineStr">
        <is>
          <t>SELL</t>
        </is>
      </c>
      <c r="G247" t="n">
        <v>300</v>
      </c>
      <c r="H247" t="n">
        <v>981.61</v>
      </c>
      <c r="I247" t="n">
        <v>294483</v>
      </c>
      <c r="J247" t="n">
        <v>103.07</v>
      </c>
      <c r="K247" t="inlineStr">
        <is>
          <t>NSE</t>
        </is>
      </c>
      <c r="L247" t="inlineStr">
        <is>
          <t>QE-CLEARING</t>
        </is>
      </c>
      <c r="M247" t="inlineStr">
        <is>
          <t>T100248</t>
        </is>
      </c>
    </row>
    <row r="248">
      <c r="A248" t="inlineStr">
        <is>
          <t>T100249</t>
        </is>
      </c>
      <c r="B248" t="inlineStr">
        <is>
          <t>2026-06-30</t>
        </is>
      </c>
      <c r="C248" t="inlineStr">
        <is>
          <t>14:40:53</t>
        </is>
      </c>
      <c r="D248" t="inlineStr">
        <is>
          <t>AXISBANK</t>
        </is>
      </c>
      <c r="E248" t="inlineStr">
        <is>
          <t>Equity</t>
        </is>
      </c>
      <c r="F248" t="inlineStr">
        <is>
          <t>SELL</t>
        </is>
      </c>
      <c r="G248" t="n">
        <v>150</v>
      </c>
      <c r="H248" t="n">
        <v>1130.33</v>
      </c>
      <c r="I248" t="n">
        <v>169549.5</v>
      </c>
      <c r="J248" t="n">
        <v>59.34</v>
      </c>
      <c r="K248" t="inlineStr">
        <is>
          <t>NSE</t>
        </is>
      </c>
      <c r="L248" t="inlineStr">
        <is>
          <t>QE-CLEARING</t>
        </is>
      </c>
      <c r="M248" t="inlineStr">
        <is>
          <t>T100249</t>
        </is>
      </c>
    </row>
    <row r="249">
      <c r="A249" t="inlineStr">
        <is>
          <t>T100250</t>
        </is>
      </c>
      <c r="B249" t="inlineStr">
        <is>
          <t>2026-06-30</t>
        </is>
      </c>
      <c r="C249" t="inlineStr">
        <is>
          <t>09:32:17</t>
        </is>
      </c>
      <c r="D249" t="inlineStr">
        <is>
          <t>SUNPHARMA</t>
        </is>
      </c>
      <c r="E249" t="inlineStr">
        <is>
          <t>Equity</t>
        </is>
      </c>
      <c r="F249" t="inlineStr">
        <is>
          <t>SELL</t>
        </is>
      </c>
      <c r="G249" t="n">
        <v>450</v>
      </c>
      <c r="H249" t="n">
        <v>1715.27</v>
      </c>
      <c r="I249" t="n">
        <v>771871.5</v>
      </c>
      <c r="J249" t="n">
        <v>270.16</v>
      </c>
      <c r="K249" t="inlineStr">
        <is>
          <t>NSE</t>
        </is>
      </c>
      <c r="L249" t="inlineStr">
        <is>
          <t>QE-CLEARING</t>
        </is>
      </c>
      <c r="M249" t="inlineStr">
        <is>
          <t>T100250</t>
        </is>
      </c>
    </row>
    <row r="250">
      <c r="A250" t="inlineStr">
        <is>
          <t>T100251</t>
        </is>
      </c>
      <c r="B250" t="inlineStr">
        <is>
          <t>2026-06-30</t>
        </is>
      </c>
      <c r="C250" t="inlineStr">
        <is>
          <t>11:18:31</t>
        </is>
      </c>
      <c r="D250" t="inlineStr">
        <is>
          <t>HDFCBANK</t>
        </is>
      </c>
      <c r="E250" t="inlineStr">
        <is>
          <t>Equity</t>
        </is>
      </c>
      <c r="F250" t="inlineStr">
        <is>
          <t>SELL</t>
        </is>
      </c>
      <c r="G250" t="n">
        <v>100</v>
      </c>
      <c r="H250" t="n">
        <v>1686.72</v>
      </c>
      <c r="I250" t="n">
        <v>168672</v>
      </c>
      <c r="J250" t="n">
        <v>59.04</v>
      </c>
      <c r="K250" t="inlineStr">
        <is>
          <t>NSE</t>
        </is>
      </c>
      <c r="L250" t="inlineStr">
        <is>
          <t>QE-CLEARING</t>
        </is>
      </c>
      <c r="M250" t="inlineStr">
        <is>
          <t>T100251</t>
        </is>
      </c>
    </row>
    <row r="251">
      <c r="A251" t="inlineStr">
        <is>
          <t>T100252</t>
        </is>
      </c>
      <c r="B251" t="inlineStr">
        <is>
          <t>2026-06-30</t>
        </is>
      </c>
      <c r="C251" t="inlineStr">
        <is>
          <t>10:11:11</t>
        </is>
      </c>
      <c r="D251" t="inlineStr">
        <is>
          <t>HDFCBANK</t>
        </is>
      </c>
      <c r="E251" t="inlineStr">
        <is>
          <t>Equity</t>
        </is>
      </c>
      <c r="F251" t="inlineStr">
        <is>
          <t>BUY</t>
        </is>
      </c>
      <c r="G251" t="n">
        <v>500</v>
      </c>
      <c r="H251" t="n">
        <v>1689.8</v>
      </c>
      <c r="I251" t="n">
        <v>844900</v>
      </c>
      <c r="J251" t="n">
        <v>295.71</v>
      </c>
      <c r="K251" t="inlineStr">
        <is>
          <t>BSE</t>
        </is>
      </c>
      <c r="L251" t="inlineStr">
        <is>
          <t>QE-CLEARING</t>
        </is>
      </c>
      <c r="M251" t="inlineStr">
        <is>
          <t>T100252</t>
        </is>
      </c>
    </row>
    <row r="252">
      <c r="A252" t="inlineStr">
        <is>
          <t>T100253</t>
        </is>
      </c>
      <c r="B252" t="inlineStr">
        <is>
          <t>2026-06-30</t>
        </is>
      </c>
      <c r="C252" t="inlineStr">
        <is>
          <t>14:43:30</t>
        </is>
      </c>
      <c r="D252" t="inlineStr">
        <is>
          <t>SBIN</t>
        </is>
      </c>
      <c r="E252" t="inlineStr">
        <is>
          <t>Equity</t>
        </is>
      </c>
      <c r="F252" t="inlineStr">
        <is>
          <t>BUY</t>
        </is>
      </c>
      <c r="G252" t="n">
        <v>75</v>
      </c>
      <c r="H252" t="n">
        <v>814.12</v>
      </c>
      <c r="I252" t="n">
        <v>61059</v>
      </c>
      <c r="J252" t="n">
        <v>21.37</v>
      </c>
      <c r="K252" t="inlineStr">
        <is>
          <t>NSE</t>
        </is>
      </c>
      <c r="L252" t="inlineStr">
        <is>
          <t>QE-CLEARING</t>
        </is>
      </c>
      <c r="M252" t="inlineStr">
        <is>
          <t>T100253</t>
        </is>
      </c>
    </row>
    <row r="253">
      <c r="A253" t="inlineStr">
        <is>
          <t>T100254</t>
        </is>
      </c>
      <c r="B253" t="inlineStr">
        <is>
          <t>2026-06-30</t>
        </is>
      </c>
      <c r="C253" t="inlineStr">
        <is>
          <t>12:02:51</t>
        </is>
      </c>
      <c r="D253" t="inlineStr">
        <is>
          <t>TCS</t>
        </is>
      </c>
      <c r="E253" t="inlineStr">
        <is>
          <t>Equity</t>
        </is>
      </c>
      <c r="F253" t="inlineStr">
        <is>
          <t>BUY</t>
        </is>
      </c>
      <c r="G253" t="n">
        <v>500</v>
      </c>
      <c r="H253" t="n">
        <v>3901.25</v>
      </c>
      <c r="I253" t="n">
        <v>1950625</v>
      </c>
      <c r="J253" t="n">
        <v>682.72</v>
      </c>
      <c r="K253" t="inlineStr">
        <is>
          <t>BSE</t>
        </is>
      </c>
      <c r="L253" t="inlineStr">
        <is>
          <t>QE-CLEARING</t>
        </is>
      </c>
      <c r="M253" t="inlineStr">
        <is>
          <t>T100254</t>
        </is>
      </c>
    </row>
    <row r="254">
      <c r="A254" t="inlineStr">
        <is>
          <t>T100255</t>
        </is>
      </c>
      <c r="B254" t="inlineStr">
        <is>
          <t>2026-06-30</t>
        </is>
      </c>
      <c r="C254" t="inlineStr">
        <is>
          <t>14:06:45</t>
        </is>
      </c>
      <c r="D254" t="inlineStr">
        <is>
          <t>ITC</t>
        </is>
      </c>
      <c r="E254" t="inlineStr">
        <is>
          <t>Equity</t>
        </is>
      </c>
      <c r="F254" t="inlineStr">
        <is>
          <t>BUY</t>
        </is>
      </c>
      <c r="G254" t="n">
        <v>75</v>
      </c>
      <c r="H254" t="n">
        <v>447.65</v>
      </c>
      <c r="I254" t="n">
        <v>33573.75</v>
      </c>
      <c r="J254" t="n">
        <v>11.75</v>
      </c>
      <c r="K254" t="inlineStr">
        <is>
          <t>BSE</t>
        </is>
      </c>
      <c r="L254" t="inlineStr">
        <is>
          <t>QE-CLEARING</t>
        </is>
      </c>
      <c r="M254" t="inlineStr">
        <is>
          <t>T100255</t>
        </is>
      </c>
    </row>
    <row r="255">
      <c r="A255" t="inlineStr">
        <is>
          <t>T100256</t>
        </is>
      </c>
      <c r="B255" t="inlineStr">
        <is>
          <t>2026-06-30</t>
        </is>
      </c>
      <c r="C255" t="inlineStr">
        <is>
          <t>11:43:59</t>
        </is>
      </c>
      <c r="D255" t="inlineStr">
        <is>
          <t>ICICIBANK</t>
        </is>
      </c>
      <c r="E255" t="inlineStr">
        <is>
          <t>Equity</t>
        </is>
      </c>
      <c r="F255" t="inlineStr">
        <is>
          <t>BUY</t>
        </is>
      </c>
      <c r="G255" t="n">
        <v>200</v>
      </c>
      <c r="H255" t="n">
        <v>1238.34</v>
      </c>
      <c r="I255" t="n">
        <v>247668</v>
      </c>
      <c r="J255" t="n">
        <v>86.68000000000001</v>
      </c>
      <c r="K255" t="inlineStr">
        <is>
          <t>NSE</t>
        </is>
      </c>
      <c r="L255" t="inlineStr">
        <is>
          <t>QE-CLEARING</t>
        </is>
      </c>
      <c r="M255" t="inlineStr">
        <is>
          <t>T100256</t>
        </is>
      </c>
    </row>
    <row r="256">
      <c r="A256" t="inlineStr">
        <is>
          <t>T100257</t>
        </is>
      </c>
      <c r="B256" t="inlineStr">
        <is>
          <t>2026-06-30</t>
        </is>
      </c>
      <c r="C256" t="inlineStr">
        <is>
          <t>13:59:01</t>
        </is>
      </c>
      <c r="D256" t="inlineStr">
        <is>
          <t>ICICIBANK</t>
        </is>
      </c>
      <c r="E256" t="inlineStr">
        <is>
          <t>Equity</t>
        </is>
      </c>
      <c r="F256" t="inlineStr">
        <is>
          <t>BUY</t>
        </is>
      </c>
      <c r="G256" t="n">
        <v>250</v>
      </c>
      <c r="H256" t="n">
        <v>1241.27</v>
      </c>
      <c r="I256" t="n">
        <v>310317.5</v>
      </c>
      <c r="J256" t="n">
        <v>108.61</v>
      </c>
      <c r="K256" t="inlineStr">
        <is>
          <t>NSE</t>
        </is>
      </c>
      <c r="L256" t="inlineStr">
        <is>
          <t>QE-CLEARING</t>
        </is>
      </c>
      <c r="M256" t="inlineStr">
        <is>
          <t>T100257</t>
        </is>
      </c>
    </row>
    <row r="257">
      <c r="A257" t="inlineStr">
        <is>
          <t>T100258</t>
        </is>
      </c>
      <c r="B257" t="inlineStr">
        <is>
          <t>2026-06-30</t>
        </is>
      </c>
      <c r="C257" t="inlineStr">
        <is>
          <t>11:52:53</t>
        </is>
      </c>
      <c r="D257" t="inlineStr">
        <is>
          <t>SBIN</t>
        </is>
      </c>
      <c r="E257" t="inlineStr">
        <is>
          <t>Equity</t>
        </is>
      </c>
      <c r="F257" t="inlineStr">
        <is>
          <t>SELL</t>
        </is>
      </c>
      <c r="G257" t="n">
        <v>250</v>
      </c>
      <c r="H257" t="n">
        <v>814.25</v>
      </c>
      <c r="I257" t="n">
        <v>203562.5</v>
      </c>
      <c r="J257" t="n">
        <v>71.25</v>
      </c>
      <c r="K257" t="inlineStr">
        <is>
          <t>NSE</t>
        </is>
      </c>
      <c r="L257" t="inlineStr">
        <is>
          <t>QE-CLEARING</t>
        </is>
      </c>
      <c r="M257" t="inlineStr">
        <is>
          <t>T100258</t>
        </is>
      </c>
    </row>
    <row r="258">
      <c r="A258" t="inlineStr">
        <is>
          <t>T100259</t>
        </is>
      </c>
      <c r="B258" t="inlineStr">
        <is>
          <t>2026-06-30</t>
        </is>
      </c>
      <c r="C258" t="inlineStr">
        <is>
          <t>14:51:57</t>
        </is>
      </c>
      <c r="D258" t="inlineStr">
        <is>
          <t>SUNPHARMA</t>
        </is>
      </c>
      <c r="E258" t="inlineStr">
        <is>
          <t>Equity</t>
        </is>
      </c>
      <c r="F258" t="inlineStr">
        <is>
          <t>BUY</t>
        </is>
      </c>
      <c r="G258" t="n">
        <v>75</v>
      </c>
      <c r="H258" t="n">
        <v>1721.94</v>
      </c>
      <c r="I258" t="n">
        <v>129145.5</v>
      </c>
      <c r="J258" t="n">
        <v>45.2</v>
      </c>
      <c r="K258" t="inlineStr">
        <is>
          <t>NSE</t>
        </is>
      </c>
      <c r="L258" t="inlineStr">
        <is>
          <t>QE-CLEARING</t>
        </is>
      </c>
      <c r="M258" t="inlineStr">
        <is>
          <t>T100259</t>
        </is>
      </c>
    </row>
    <row r="259">
      <c r="A259" t="inlineStr">
        <is>
          <t>T100260</t>
        </is>
      </c>
      <c r="B259" t="inlineStr">
        <is>
          <t>2026-06-30</t>
        </is>
      </c>
      <c r="C259" t="inlineStr">
        <is>
          <t>15:31:45</t>
        </is>
      </c>
      <c r="D259" t="inlineStr">
        <is>
          <t>KOTAKBANK</t>
        </is>
      </c>
      <c r="E259" t="inlineStr">
        <is>
          <t>Equity</t>
        </is>
      </c>
      <c r="F259" t="inlineStr">
        <is>
          <t>SELL</t>
        </is>
      </c>
      <c r="G259" t="n">
        <v>100</v>
      </c>
      <c r="H259" t="n">
        <v>1796.63</v>
      </c>
      <c r="I259" t="n">
        <v>179663</v>
      </c>
      <c r="J259" t="n">
        <v>62.88</v>
      </c>
      <c r="K259" t="inlineStr">
        <is>
          <t>NSE</t>
        </is>
      </c>
      <c r="L259" t="inlineStr">
        <is>
          <t>QE-CLEARING</t>
        </is>
      </c>
      <c r="M259" t="inlineStr">
        <is>
          <t>T100260</t>
        </is>
      </c>
    </row>
    <row r="260">
      <c r="A260" t="inlineStr">
        <is>
          <t>T100261</t>
        </is>
      </c>
      <c r="B260" t="inlineStr">
        <is>
          <t>2026-06-30</t>
        </is>
      </c>
      <c r="C260" t="inlineStr">
        <is>
          <t>11:37:51</t>
        </is>
      </c>
      <c r="D260" t="inlineStr">
        <is>
          <t>SUNPHARMA</t>
        </is>
      </c>
      <c r="E260" t="inlineStr">
        <is>
          <t>Equity</t>
        </is>
      </c>
      <c r="F260" t="inlineStr">
        <is>
          <t>SELL</t>
        </is>
      </c>
      <c r="G260" t="n">
        <v>75</v>
      </c>
      <c r="H260" t="n">
        <v>1716.22</v>
      </c>
      <c r="I260" t="n">
        <v>128716.5</v>
      </c>
      <c r="J260" t="n">
        <v>45.05</v>
      </c>
      <c r="K260" t="inlineStr">
        <is>
          <t>BSE</t>
        </is>
      </c>
      <c r="L260" t="inlineStr">
        <is>
          <t>QE-CLEARING</t>
        </is>
      </c>
      <c r="M260" t="inlineStr">
        <is>
          <t>T100261</t>
        </is>
      </c>
    </row>
    <row r="261">
      <c r="A261" t="inlineStr">
        <is>
          <t>T100262</t>
        </is>
      </c>
      <c r="B261" t="inlineStr">
        <is>
          <t>2026-06-30</t>
        </is>
      </c>
      <c r="C261" t="inlineStr">
        <is>
          <t>10:34:56</t>
        </is>
      </c>
      <c r="D261" t="inlineStr">
        <is>
          <t>BAJFINANCE</t>
        </is>
      </c>
      <c r="E261" t="inlineStr">
        <is>
          <t>Equity</t>
        </is>
      </c>
      <c r="F261" t="inlineStr">
        <is>
          <t>SELL</t>
        </is>
      </c>
      <c r="G261" t="n">
        <v>500</v>
      </c>
      <c r="H261" t="n">
        <v>7165.88</v>
      </c>
      <c r="I261" t="n">
        <v>3582940</v>
      </c>
      <c r="J261" t="n">
        <v>1254.03</v>
      </c>
      <c r="K261" t="inlineStr">
        <is>
          <t>NSE</t>
        </is>
      </c>
      <c r="L261" t="inlineStr">
        <is>
          <t>QE-CLEARING</t>
        </is>
      </c>
      <c r="M261" t="inlineStr">
        <is>
          <t>T100262</t>
        </is>
      </c>
    </row>
    <row r="262">
      <c r="A262" t="inlineStr">
        <is>
          <t>T100263</t>
        </is>
      </c>
      <c r="B262" t="inlineStr">
        <is>
          <t>2026-06-30</t>
        </is>
      </c>
      <c r="C262" t="inlineStr">
        <is>
          <t>13:07:53</t>
        </is>
      </c>
      <c r="D262" t="inlineStr">
        <is>
          <t>LT</t>
        </is>
      </c>
      <c r="E262" t="inlineStr">
        <is>
          <t>Equity</t>
        </is>
      </c>
      <c r="F262" t="inlineStr">
        <is>
          <t>SELL</t>
        </is>
      </c>
      <c r="G262" t="n">
        <v>200</v>
      </c>
      <c r="H262" t="n">
        <v>3630.13</v>
      </c>
      <c r="I262" t="n">
        <v>726026</v>
      </c>
      <c r="J262" t="n">
        <v>254.11</v>
      </c>
      <c r="K262" t="inlineStr">
        <is>
          <t>BSE</t>
        </is>
      </c>
      <c r="L262" t="inlineStr">
        <is>
          <t>QE-CLEARING</t>
        </is>
      </c>
      <c r="M262" t="inlineStr">
        <is>
          <t>T100263</t>
        </is>
      </c>
    </row>
    <row r="263">
      <c r="A263" t="inlineStr">
        <is>
          <t>T100264</t>
        </is>
      </c>
      <c r="B263" t="inlineStr">
        <is>
          <t>2026-06-30</t>
        </is>
      </c>
      <c r="C263" t="inlineStr">
        <is>
          <t>10:53:28</t>
        </is>
      </c>
      <c r="D263" t="inlineStr">
        <is>
          <t>BAJFINANCE</t>
        </is>
      </c>
      <c r="E263" t="inlineStr">
        <is>
          <t>Equity</t>
        </is>
      </c>
      <c r="F263" t="inlineStr">
        <is>
          <t>BUY</t>
        </is>
      </c>
      <c r="G263" t="n">
        <v>150</v>
      </c>
      <c r="H263" t="n">
        <v>7166.67</v>
      </c>
      <c r="I263" t="n">
        <v>1075000.5</v>
      </c>
      <c r="J263" t="n">
        <v>376.25</v>
      </c>
      <c r="K263" t="inlineStr">
        <is>
          <t>NSE</t>
        </is>
      </c>
      <c r="L263" t="inlineStr">
        <is>
          <t>QE-CLEARING</t>
        </is>
      </c>
      <c r="M263" t="inlineStr">
        <is>
          <t>T100264</t>
        </is>
      </c>
    </row>
    <row r="264">
      <c r="A264" t="inlineStr">
        <is>
          <t>T100265</t>
        </is>
      </c>
      <c r="B264" t="inlineStr">
        <is>
          <t>2026-06-30</t>
        </is>
      </c>
      <c r="C264" t="inlineStr">
        <is>
          <t>13:04:52</t>
        </is>
      </c>
      <c r="D264" t="inlineStr">
        <is>
          <t>BHARTIARTL</t>
        </is>
      </c>
      <c r="E264" t="inlineStr">
        <is>
          <t>Equity</t>
        </is>
      </c>
      <c r="F264" t="inlineStr">
        <is>
          <t>BUY</t>
        </is>
      </c>
      <c r="G264" t="n">
        <v>200</v>
      </c>
      <c r="H264" t="n">
        <v>1587.26</v>
      </c>
      <c r="I264" t="n">
        <v>317452</v>
      </c>
      <c r="J264" t="n">
        <v>110.94</v>
      </c>
      <c r="K264" t="inlineStr">
        <is>
          <t>NSE</t>
        </is>
      </c>
      <c r="L264" t="inlineStr">
        <is>
          <t>QE-CLEARING</t>
        </is>
      </c>
      <c r="M264" t="inlineStr">
        <is>
          <t>T100265</t>
        </is>
      </c>
    </row>
    <row r="265">
      <c r="A265" t="inlineStr">
        <is>
          <t>T100266</t>
        </is>
      </c>
      <c r="B265" t="inlineStr">
        <is>
          <t>2026-06-30</t>
        </is>
      </c>
      <c r="C265" t="inlineStr">
        <is>
          <t>09:06:49</t>
        </is>
      </c>
      <c r="D265" t="inlineStr">
        <is>
          <t>LT</t>
        </is>
      </c>
      <c r="E265" t="inlineStr">
        <is>
          <t>Equity</t>
        </is>
      </c>
      <c r="F265" t="inlineStr">
        <is>
          <t>SELL</t>
        </is>
      </c>
      <c r="G265" t="n">
        <v>250</v>
      </c>
      <c r="H265" t="n">
        <v>3619.39</v>
      </c>
      <c r="I265" t="n">
        <v>904847.5</v>
      </c>
      <c r="J265" t="n">
        <v>316.7</v>
      </c>
      <c r="K265" t="inlineStr">
        <is>
          <t>NSE</t>
        </is>
      </c>
      <c r="L265" t="inlineStr">
        <is>
          <t>QE-CLEARING</t>
        </is>
      </c>
      <c r="M265" t="inlineStr">
        <is>
          <t>T100266</t>
        </is>
      </c>
    </row>
    <row r="266">
      <c r="A266" t="inlineStr">
        <is>
          <t>T100267</t>
        </is>
      </c>
      <c r="B266" t="inlineStr">
        <is>
          <t>2026-06-30</t>
        </is>
      </c>
      <c r="C266" t="inlineStr">
        <is>
          <t>11:21:39</t>
        </is>
      </c>
      <c r="D266" t="inlineStr">
        <is>
          <t>KOTAKBANK</t>
        </is>
      </c>
      <c r="E266" t="inlineStr">
        <is>
          <t>Equity</t>
        </is>
      </c>
      <c r="F266" t="inlineStr">
        <is>
          <t>SELL</t>
        </is>
      </c>
      <c r="G266" t="n">
        <v>100</v>
      </c>
      <c r="H266" t="n">
        <v>1791.94</v>
      </c>
      <c r="I266" t="n">
        <v>179194</v>
      </c>
      <c r="J266" t="n">
        <v>62.72</v>
      </c>
      <c r="K266" t="inlineStr">
        <is>
          <t>NSE</t>
        </is>
      </c>
      <c r="L266" t="inlineStr">
        <is>
          <t>QE-CLEARING</t>
        </is>
      </c>
      <c r="M266" t="inlineStr">
        <is>
          <t>T100267</t>
        </is>
      </c>
    </row>
    <row r="267">
      <c r="A267" t="inlineStr">
        <is>
          <t>T100268</t>
        </is>
      </c>
      <c r="B267" t="inlineStr">
        <is>
          <t>2026-06-30</t>
        </is>
      </c>
      <c r="C267" t="inlineStr">
        <is>
          <t>15:54:13</t>
        </is>
      </c>
      <c r="D267" t="inlineStr">
        <is>
          <t>RELIANCE</t>
        </is>
      </c>
      <c r="E267" t="inlineStr">
        <is>
          <t>Equity</t>
        </is>
      </c>
      <c r="F267" t="inlineStr">
        <is>
          <t>BUY</t>
        </is>
      </c>
      <c r="G267" t="n">
        <v>250</v>
      </c>
      <c r="H267" t="n">
        <v>1419.43</v>
      </c>
      <c r="I267" t="n">
        <v>354857.5</v>
      </c>
      <c r="J267" t="n">
        <v>124.2</v>
      </c>
      <c r="K267" t="inlineStr">
        <is>
          <t>NSE</t>
        </is>
      </c>
      <c r="L267" t="inlineStr">
        <is>
          <t>QE-CLEARING</t>
        </is>
      </c>
      <c r="M267" t="inlineStr">
        <is>
          <t>T100268</t>
        </is>
      </c>
    </row>
    <row r="268">
      <c r="A268" t="inlineStr">
        <is>
          <t>T100269</t>
        </is>
      </c>
      <c r="B268" t="inlineStr">
        <is>
          <t>2026-06-30</t>
        </is>
      </c>
      <c r="C268" t="inlineStr">
        <is>
          <t>09:36:06</t>
        </is>
      </c>
      <c r="D268" t="inlineStr">
        <is>
          <t>SBIN</t>
        </is>
      </c>
      <c r="E268" t="inlineStr">
        <is>
          <t>Equity</t>
        </is>
      </c>
      <c r="F268" t="inlineStr">
        <is>
          <t>SELL</t>
        </is>
      </c>
      <c r="G268" t="n">
        <v>500</v>
      </c>
      <c r="H268" t="n">
        <v>813.64</v>
      </c>
      <c r="I268" t="n">
        <v>406820</v>
      </c>
      <c r="J268" t="n">
        <v>142.39</v>
      </c>
      <c r="K268" t="inlineStr">
        <is>
          <t>NSE</t>
        </is>
      </c>
      <c r="L268" t="inlineStr">
        <is>
          <t>QE-CLEARING</t>
        </is>
      </c>
      <c r="M268" t="inlineStr">
        <is>
          <t>T100269</t>
        </is>
      </c>
    </row>
    <row r="269">
      <c r="A269" t="inlineStr">
        <is>
          <t>T100270</t>
        </is>
      </c>
      <c r="B269" t="inlineStr">
        <is>
          <t>2026-06-30</t>
        </is>
      </c>
      <c r="C269" t="inlineStr">
        <is>
          <t>09:58:14</t>
        </is>
      </c>
      <c r="D269" t="inlineStr">
        <is>
          <t>BHARTIARTL</t>
        </is>
      </c>
      <c r="E269" t="inlineStr">
        <is>
          <t>Equity</t>
        </is>
      </c>
      <c r="F269" t="inlineStr">
        <is>
          <t>SELL</t>
        </is>
      </c>
      <c r="G269" t="n">
        <v>200</v>
      </c>
      <c r="H269" t="n">
        <v>1582.71</v>
      </c>
      <c r="I269" t="n">
        <v>316542</v>
      </c>
      <c r="J269" t="n">
        <v>110.79</v>
      </c>
      <c r="K269" t="inlineStr">
        <is>
          <t>NSE</t>
        </is>
      </c>
      <c r="L269" t="inlineStr">
        <is>
          <t>QE-CLEARING</t>
        </is>
      </c>
      <c r="M269" t="inlineStr">
        <is>
          <t>T100270</t>
        </is>
      </c>
    </row>
    <row r="270">
      <c r="A270" t="inlineStr">
        <is>
          <t>T100271</t>
        </is>
      </c>
      <c r="B270" t="inlineStr">
        <is>
          <t>2026-06-30</t>
        </is>
      </c>
      <c r="C270" t="inlineStr">
        <is>
          <t>15:19:46</t>
        </is>
      </c>
      <c r="D270" t="inlineStr">
        <is>
          <t>SUNPHARMA</t>
        </is>
      </c>
      <c r="E270" t="inlineStr">
        <is>
          <t>Equity</t>
        </is>
      </c>
      <c r="F270" t="inlineStr">
        <is>
          <t>BUY</t>
        </is>
      </c>
      <c r="G270" t="n">
        <v>500</v>
      </c>
      <c r="H270" t="n">
        <v>1714.29</v>
      </c>
      <c r="I270" t="n">
        <v>857145</v>
      </c>
      <c r="J270" t="n">
        <v>300</v>
      </c>
      <c r="K270" t="inlineStr">
        <is>
          <t>BSE</t>
        </is>
      </c>
      <c r="L270" t="inlineStr">
        <is>
          <t>QE-CLEARING</t>
        </is>
      </c>
      <c r="M270" t="inlineStr">
        <is>
          <t>T100271</t>
        </is>
      </c>
    </row>
    <row r="271">
      <c r="A271" t="inlineStr">
        <is>
          <t>T100272</t>
        </is>
      </c>
      <c r="B271" t="inlineStr">
        <is>
          <t>2026-06-30</t>
        </is>
      </c>
      <c r="C271" t="inlineStr">
        <is>
          <t>15:22:36</t>
        </is>
      </c>
      <c r="D271" t="inlineStr">
        <is>
          <t>BHARTIARTL</t>
        </is>
      </c>
      <c r="E271" t="inlineStr">
        <is>
          <t>Equity</t>
        </is>
      </c>
      <c r="F271" t="inlineStr">
        <is>
          <t>SELL</t>
        </is>
      </c>
      <c r="G271" t="n">
        <v>150</v>
      </c>
      <c r="H271" t="n">
        <v>1583.4</v>
      </c>
      <c r="I271" t="n">
        <v>237510</v>
      </c>
      <c r="J271" t="n">
        <v>83.13</v>
      </c>
      <c r="K271" t="inlineStr">
        <is>
          <t>BSE</t>
        </is>
      </c>
      <c r="L271" t="inlineStr">
        <is>
          <t>QE-CLEARING</t>
        </is>
      </c>
      <c r="M271" t="inlineStr">
        <is>
          <t>T100272</t>
        </is>
      </c>
    </row>
    <row r="272">
      <c r="A272" t="inlineStr">
        <is>
          <t>T100273</t>
        </is>
      </c>
      <c r="B272" t="inlineStr">
        <is>
          <t>2026-06-30</t>
        </is>
      </c>
      <c r="C272" t="inlineStr">
        <is>
          <t>12:28:09</t>
        </is>
      </c>
      <c r="D272" t="inlineStr">
        <is>
          <t>INFY</t>
        </is>
      </c>
      <c r="E272" t="inlineStr">
        <is>
          <t>Equity</t>
        </is>
      </c>
      <c r="F272" t="inlineStr">
        <is>
          <t>SELL</t>
        </is>
      </c>
      <c r="G272" t="n">
        <v>100</v>
      </c>
      <c r="H272" t="n">
        <v>1555.66</v>
      </c>
      <c r="I272" t="n">
        <v>155566</v>
      </c>
      <c r="J272" t="n">
        <v>54.45</v>
      </c>
      <c r="K272" t="inlineStr">
        <is>
          <t>NSE</t>
        </is>
      </c>
      <c r="L272" t="inlineStr">
        <is>
          <t>QE-CLEARING</t>
        </is>
      </c>
      <c r="M272" t="inlineStr">
        <is>
          <t>T100273</t>
        </is>
      </c>
    </row>
    <row r="273">
      <c r="A273" t="inlineStr">
        <is>
          <t>T100274</t>
        </is>
      </c>
      <c r="B273" t="inlineStr">
        <is>
          <t>2026-06-30</t>
        </is>
      </c>
      <c r="C273" t="inlineStr">
        <is>
          <t>09:40:31</t>
        </is>
      </c>
      <c r="D273" t="inlineStr">
        <is>
          <t>AXISBANK</t>
        </is>
      </c>
      <c r="E273" t="inlineStr">
        <is>
          <t>Equity</t>
        </is>
      </c>
      <c r="F273" t="inlineStr">
        <is>
          <t>SELL</t>
        </is>
      </c>
      <c r="G273" t="n">
        <v>150</v>
      </c>
      <c r="H273" t="n">
        <v>1127.34</v>
      </c>
      <c r="I273" t="n">
        <v>169101</v>
      </c>
      <c r="J273" t="n">
        <v>59.19</v>
      </c>
      <c r="K273" t="inlineStr">
        <is>
          <t>BSE</t>
        </is>
      </c>
      <c r="L273" t="inlineStr">
        <is>
          <t>QE-CLEARING</t>
        </is>
      </c>
      <c r="M273" t="inlineStr">
        <is>
          <t>T100274</t>
        </is>
      </c>
    </row>
    <row r="274">
      <c r="A274" t="inlineStr">
        <is>
          <t>T100275</t>
        </is>
      </c>
      <c r="B274" t="inlineStr">
        <is>
          <t>2026-06-30</t>
        </is>
      </c>
      <c r="C274" t="inlineStr">
        <is>
          <t>11:04:43</t>
        </is>
      </c>
      <c r="D274" t="inlineStr">
        <is>
          <t>MARUTI</t>
        </is>
      </c>
      <c r="E274" t="inlineStr">
        <is>
          <t>Equity</t>
        </is>
      </c>
      <c r="F274" t="inlineStr">
        <is>
          <t>BUY</t>
        </is>
      </c>
      <c r="G274" t="n">
        <v>150</v>
      </c>
      <c r="H274" t="n">
        <v>12688.41</v>
      </c>
      <c r="I274" t="n">
        <v>1903261.5</v>
      </c>
      <c r="J274" t="n">
        <v>666.14</v>
      </c>
      <c r="K274" t="inlineStr">
        <is>
          <t>BSE</t>
        </is>
      </c>
      <c r="L274" t="inlineStr">
        <is>
          <t>QE-CLEARING</t>
        </is>
      </c>
      <c r="M274" t="inlineStr">
        <is>
          <t>T100275</t>
        </is>
      </c>
    </row>
    <row r="275">
      <c r="A275" t="inlineStr">
        <is>
          <t>T100276</t>
        </is>
      </c>
      <c r="B275" t="inlineStr">
        <is>
          <t>2026-06-30</t>
        </is>
      </c>
      <c r="C275" t="inlineStr">
        <is>
          <t>09:27:29</t>
        </is>
      </c>
      <c r="D275" t="inlineStr">
        <is>
          <t>TCS</t>
        </is>
      </c>
      <c r="E275" t="inlineStr">
        <is>
          <t>Equity</t>
        </is>
      </c>
      <c r="F275" t="inlineStr">
        <is>
          <t>BUY</t>
        </is>
      </c>
      <c r="G275" t="n">
        <v>75</v>
      </c>
      <c r="H275" t="n">
        <v>3896.38</v>
      </c>
      <c r="I275" t="n">
        <v>292228.5</v>
      </c>
      <c r="J275" t="n">
        <v>102.28</v>
      </c>
      <c r="K275" t="inlineStr">
        <is>
          <t>NSE</t>
        </is>
      </c>
      <c r="L275" t="inlineStr">
        <is>
          <t>QE-CLEARING</t>
        </is>
      </c>
      <c r="M275" t="inlineStr">
        <is>
          <t>T100276</t>
        </is>
      </c>
    </row>
    <row r="276">
      <c r="A276" t="inlineStr">
        <is>
          <t>T100277</t>
        </is>
      </c>
      <c r="B276" t="inlineStr">
        <is>
          <t>2026-06-30</t>
        </is>
      </c>
      <c r="C276" t="inlineStr">
        <is>
          <t>14:43:42</t>
        </is>
      </c>
      <c r="D276" t="inlineStr">
        <is>
          <t>TCS</t>
        </is>
      </c>
      <c r="E276" t="inlineStr">
        <is>
          <t>Equity</t>
        </is>
      </c>
      <c r="F276" t="inlineStr">
        <is>
          <t>SELL</t>
        </is>
      </c>
      <c r="G276" t="n">
        <v>500</v>
      </c>
      <c r="H276" t="n">
        <v>3891.56</v>
      </c>
      <c r="I276" t="n">
        <v>1945780</v>
      </c>
      <c r="J276" t="n">
        <v>681.02</v>
      </c>
      <c r="K276" t="inlineStr">
        <is>
          <t>BSE</t>
        </is>
      </c>
      <c r="L276" t="inlineStr">
        <is>
          <t>QE-CLEARING</t>
        </is>
      </c>
      <c r="M276" t="inlineStr">
        <is>
          <t>T100277</t>
        </is>
      </c>
    </row>
    <row r="277">
      <c r="A277" t="inlineStr">
        <is>
          <t>T100278</t>
        </is>
      </c>
      <c r="B277" t="inlineStr">
        <is>
          <t>2026-06-30</t>
        </is>
      </c>
      <c r="C277" t="inlineStr">
        <is>
          <t>09:35:53</t>
        </is>
      </c>
      <c r="D277" t="inlineStr">
        <is>
          <t>LT</t>
        </is>
      </c>
      <c r="E277" t="inlineStr">
        <is>
          <t>Equity</t>
        </is>
      </c>
      <c r="F277" t="inlineStr">
        <is>
          <t>SELL</t>
        </is>
      </c>
      <c r="G277" t="n">
        <v>200</v>
      </c>
      <c r="H277" t="n">
        <v>3608.56</v>
      </c>
      <c r="I277" t="n">
        <v>721712</v>
      </c>
      <c r="J277" t="n">
        <v>252.6</v>
      </c>
      <c r="K277" t="inlineStr">
        <is>
          <t>BSE</t>
        </is>
      </c>
      <c r="L277" t="inlineStr">
        <is>
          <t>QE-CLEARING</t>
        </is>
      </c>
      <c r="M277" t="inlineStr">
        <is>
          <t>T100278</t>
        </is>
      </c>
    </row>
    <row r="278">
      <c r="A278" t="inlineStr">
        <is>
          <t>T100279</t>
        </is>
      </c>
      <c r="B278" t="inlineStr">
        <is>
          <t>2026-06-30</t>
        </is>
      </c>
      <c r="C278" t="inlineStr">
        <is>
          <t>10:07:39</t>
        </is>
      </c>
      <c r="D278" t="inlineStr">
        <is>
          <t>ICICIBANK</t>
        </is>
      </c>
      <c r="E278" t="inlineStr">
        <is>
          <t>Equity</t>
        </is>
      </c>
      <c r="F278" t="inlineStr">
        <is>
          <t>BUY</t>
        </is>
      </c>
      <c r="G278" t="n">
        <v>300</v>
      </c>
      <c r="H278" t="n">
        <v>1235.82</v>
      </c>
      <c r="I278" t="n">
        <v>370746</v>
      </c>
      <c r="J278" t="n">
        <v>129.76</v>
      </c>
      <c r="K278" t="inlineStr">
        <is>
          <t>BSE</t>
        </is>
      </c>
      <c r="L278" t="inlineStr">
        <is>
          <t>QE-CLEARING</t>
        </is>
      </c>
      <c r="M278" t="inlineStr">
        <is>
          <t>T100279</t>
        </is>
      </c>
    </row>
    <row r="279">
      <c r="A279" t="inlineStr">
        <is>
          <t>T100280</t>
        </is>
      </c>
      <c r="B279" t="inlineStr">
        <is>
          <t>2026-06-30</t>
        </is>
      </c>
      <c r="C279" t="inlineStr">
        <is>
          <t>14:04:29</t>
        </is>
      </c>
      <c r="D279" t="inlineStr">
        <is>
          <t>HDFCBANK</t>
        </is>
      </c>
      <c r="E279" t="inlineStr">
        <is>
          <t>Equity</t>
        </is>
      </c>
      <c r="F279" t="inlineStr">
        <is>
          <t>BUY</t>
        </is>
      </c>
      <c r="G279" t="n">
        <v>75</v>
      </c>
      <c r="H279" t="n">
        <v>1687.88</v>
      </c>
      <c r="I279" t="n">
        <v>126591</v>
      </c>
      <c r="J279" t="n">
        <v>44.31</v>
      </c>
      <c r="K279" t="inlineStr">
        <is>
          <t>BSE</t>
        </is>
      </c>
      <c r="L279" t="inlineStr">
        <is>
          <t>QE-CLEARING</t>
        </is>
      </c>
      <c r="M279" t="inlineStr">
        <is>
          <t>T100280</t>
        </is>
      </c>
    </row>
    <row r="280">
      <c r="A280" t="inlineStr">
        <is>
          <t>T100281</t>
        </is>
      </c>
      <c r="B280" t="inlineStr">
        <is>
          <t>2026-06-30</t>
        </is>
      </c>
      <c r="C280" t="inlineStr">
        <is>
          <t>14:17:53</t>
        </is>
      </c>
      <c r="D280" t="inlineStr">
        <is>
          <t>ICICIBANK</t>
        </is>
      </c>
      <c r="E280" t="inlineStr">
        <is>
          <t>Equity</t>
        </is>
      </c>
      <c r="F280" t="inlineStr">
        <is>
          <t>SELL</t>
        </is>
      </c>
      <c r="G280" t="n">
        <v>500</v>
      </c>
      <c r="H280" t="n">
        <v>1244.64</v>
      </c>
      <c r="I280" t="n">
        <v>622320</v>
      </c>
      <c r="J280" t="n">
        <v>217.81</v>
      </c>
      <c r="K280" t="inlineStr">
        <is>
          <t>NSE</t>
        </is>
      </c>
      <c r="L280" t="inlineStr">
        <is>
          <t>QE-CLEARING</t>
        </is>
      </c>
      <c r="M280" t="inlineStr">
        <is>
          <t>T100281</t>
        </is>
      </c>
    </row>
    <row r="281">
      <c r="A281" t="inlineStr">
        <is>
          <t>T100282</t>
        </is>
      </c>
      <c r="B281" t="inlineStr">
        <is>
          <t>2026-06-30</t>
        </is>
      </c>
      <c r="C281" t="inlineStr">
        <is>
          <t>13:37:03</t>
        </is>
      </c>
      <c r="D281" t="inlineStr">
        <is>
          <t>SUNPHARMA</t>
        </is>
      </c>
      <c r="E281" t="inlineStr">
        <is>
          <t>Equity</t>
        </is>
      </c>
      <c r="F281" t="inlineStr">
        <is>
          <t>BUY</t>
        </is>
      </c>
      <c r="G281" t="n">
        <v>75</v>
      </c>
      <c r="H281" t="n">
        <v>1726.53</v>
      </c>
      <c r="I281" t="n">
        <v>129489.75</v>
      </c>
      <c r="J281" t="n">
        <v>45.32</v>
      </c>
      <c r="K281" t="inlineStr">
        <is>
          <t>BSE</t>
        </is>
      </c>
      <c r="L281" t="inlineStr">
        <is>
          <t>QE-CLEARING</t>
        </is>
      </c>
      <c r="M281" t="inlineStr">
        <is>
          <t>T100282</t>
        </is>
      </c>
    </row>
    <row r="282">
      <c r="A282" t="inlineStr">
        <is>
          <t>T100283</t>
        </is>
      </c>
      <c r="B282" t="inlineStr">
        <is>
          <t>2026-06-30</t>
        </is>
      </c>
      <c r="C282" t="inlineStr">
        <is>
          <t>10:27:58</t>
        </is>
      </c>
      <c r="D282" t="inlineStr">
        <is>
          <t>TATAMOTORS</t>
        </is>
      </c>
      <c r="E282" t="inlineStr">
        <is>
          <t>Equity</t>
        </is>
      </c>
      <c r="F282" t="inlineStr">
        <is>
          <t>BUY</t>
        </is>
      </c>
      <c r="G282" t="n">
        <v>75</v>
      </c>
      <c r="H282" t="n">
        <v>983.59</v>
      </c>
      <c r="I282" t="n">
        <v>73769.25</v>
      </c>
      <c r="J282" t="n">
        <v>25.82</v>
      </c>
      <c r="K282" t="inlineStr">
        <is>
          <t>BSE</t>
        </is>
      </c>
      <c r="L282" t="inlineStr">
        <is>
          <t>QE-CLEARING</t>
        </is>
      </c>
      <c r="M282" t="inlineStr">
        <is>
          <t>T100283</t>
        </is>
      </c>
    </row>
    <row r="283">
      <c r="A283" t="inlineStr">
        <is>
          <t>T100284</t>
        </is>
      </c>
      <c r="B283" t="inlineStr">
        <is>
          <t>2026-06-30</t>
        </is>
      </c>
      <c r="C283" t="inlineStr">
        <is>
          <t>09:09:09</t>
        </is>
      </c>
      <c r="D283" t="inlineStr">
        <is>
          <t>LT</t>
        </is>
      </c>
      <c r="E283" t="inlineStr">
        <is>
          <t>Equity</t>
        </is>
      </c>
      <c r="F283" t="inlineStr">
        <is>
          <t>BUY</t>
        </is>
      </c>
      <c r="G283" t="n">
        <v>100</v>
      </c>
      <c r="H283" t="n">
        <v>3620.78</v>
      </c>
      <c r="I283" t="n">
        <v>362078</v>
      </c>
      <c r="J283" t="n">
        <v>126.73</v>
      </c>
      <c r="K283" t="inlineStr">
        <is>
          <t>BSE</t>
        </is>
      </c>
      <c r="L283" t="inlineStr">
        <is>
          <t>QE-CLEARING</t>
        </is>
      </c>
      <c r="M283" t="inlineStr">
        <is>
          <t>T100284</t>
        </is>
      </c>
    </row>
    <row r="284">
      <c r="A284" t="inlineStr">
        <is>
          <t>T100285</t>
        </is>
      </c>
      <c r="B284" t="inlineStr">
        <is>
          <t>2026-06-30</t>
        </is>
      </c>
      <c r="C284" t="inlineStr">
        <is>
          <t>12:34:21</t>
        </is>
      </c>
      <c r="D284" t="inlineStr">
        <is>
          <t>TATAMOTORS</t>
        </is>
      </c>
      <c r="E284" t="inlineStr">
        <is>
          <t>Equity</t>
        </is>
      </c>
      <c r="F284" t="inlineStr">
        <is>
          <t>SELL</t>
        </is>
      </c>
      <c r="G284" t="n">
        <v>75</v>
      </c>
      <c r="H284" t="n">
        <v>988.71</v>
      </c>
      <c r="I284" t="n">
        <v>74153.25</v>
      </c>
      <c r="J284" t="n">
        <v>25.95</v>
      </c>
      <c r="K284" t="inlineStr">
        <is>
          <t>BSE</t>
        </is>
      </c>
      <c r="L284" t="inlineStr">
        <is>
          <t>QE-CLEARING</t>
        </is>
      </c>
      <c r="M284" t="inlineStr">
        <is>
          <t>T100285</t>
        </is>
      </c>
    </row>
    <row r="285">
      <c r="A285" t="inlineStr">
        <is>
          <t>T100286</t>
        </is>
      </c>
      <c r="B285" t="inlineStr">
        <is>
          <t>2026-06-30</t>
        </is>
      </c>
      <c r="C285" t="inlineStr">
        <is>
          <t>10:00:11</t>
        </is>
      </c>
      <c r="D285" t="inlineStr">
        <is>
          <t>AXISBANK</t>
        </is>
      </c>
      <c r="E285" t="inlineStr">
        <is>
          <t>Equity</t>
        </is>
      </c>
      <c r="F285" t="inlineStr">
        <is>
          <t>SELL</t>
        </is>
      </c>
      <c r="G285" t="n">
        <v>50</v>
      </c>
      <c r="H285" t="n">
        <v>1131.67</v>
      </c>
      <c r="I285" t="n">
        <v>56583.5</v>
      </c>
      <c r="J285" t="n">
        <v>19.8</v>
      </c>
      <c r="K285" t="inlineStr">
        <is>
          <t>NSE</t>
        </is>
      </c>
      <c r="L285" t="inlineStr">
        <is>
          <t>QE-CLEARING</t>
        </is>
      </c>
      <c r="M285" t="inlineStr">
        <is>
          <t>T100286</t>
        </is>
      </c>
    </row>
    <row r="286">
      <c r="A286" t="inlineStr">
        <is>
          <t>T100287</t>
        </is>
      </c>
      <c r="B286" t="inlineStr">
        <is>
          <t>2026-06-30</t>
        </is>
      </c>
      <c r="C286" t="inlineStr">
        <is>
          <t>11:47:01</t>
        </is>
      </c>
      <c r="D286" t="inlineStr">
        <is>
          <t>ICICIBANK</t>
        </is>
      </c>
      <c r="E286" t="inlineStr">
        <is>
          <t>Equity</t>
        </is>
      </c>
      <c r="F286" t="inlineStr">
        <is>
          <t>SELL</t>
        </is>
      </c>
      <c r="G286" t="n">
        <v>150</v>
      </c>
      <c r="H286" t="n">
        <v>1244.55</v>
      </c>
      <c r="I286" t="n">
        <v>186682.5</v>
      </c>
      <c r="J286" t="n">
        <v>65.34</v>
      </c>
      <c r="K286" t="inlineStr">
        <is>
          <t>NSE</t>
        </is>
      </c>
      <c r="L286" t="inlineStr">
        <is>
          <t>QE-CLEARING</t>
        </is>
      </c>
      <c r="M286" t="inlineStr">
        <is>
          <t>T100287</t>
        </is>
      </c>
    </row>
    <row r="287">
      <c r="A287" t="inlineStr">
        <is>
          <t>T100288</t>
        </is>
      </c>
      <c r="B287" t="inlineStr">
        <is>
          <t>2026-06-30</t>
        </is>
      </c>
      <c r="C287" t="inlineStr">
        <is>
          <t>11:29:52</t>
        </is>
      </c>
      <c r="D287" t="inlineStr">
        <is>
          <t>ITC</t>
        </is>
      </c>
      <c r="E287" t="inlineStr">
        <is>
          <t>Equity</t>
        </is>
      </c>
      <c r="F287" t="inlineStr">
        <is>
          <t>BUY</t>
        </is>
      </c>
      <c r="G287" t="n">
        <v>250</v>
      </c>
      <c r="H287" t="n">
        <v>446.45</v>
      </c>
      <c r="I287" t="n">
        <v>111612.5</v>
      </c>
      <c r="J287" t="n">
        <v>39.06</v>
      </c>
      <c r="K287" t="inlineStr">
        <is>
          <t>BSE</t>
        </is>
      </c>
      <c r="L287" t="inlineStr">
        <is>
          <t>QE-CLEARING</t>
        </is>
      </c>
      <c r="M287" t="inlineStr">
        <is>
          <t>T100288</t>
        </is>
      </c>
    </row>
    <row r="288">
      <c r="A288" t="inlineStr">
        <is>
          <t>T100289</t>
        </is>
      </c>
      <c r="B288" t="inlineStr">
        <is>
          <t>2026-06-30</t>
        </is>
      </c>
      <c r="C288" t="inlineStr">
        <is>
          <t>09:59:24</t>
        </is>
      </c>
      <c r="D288" t="inlineStr">
        <is>
          <t>LT</t>
        </is>
      </c>
      <c r="E288" t="inlineStr">
        <is>
          <t>Equity</t>
        </is>
      </c>
      <c r="F288" t="inlineStr">
        <is>
          <t>BUY</t>
        </is>
      </c>
      <c r="G288" t="n">
        <v>500</v>
      </c>
      <c r="H288" t="n">
        <v>3608.07</v>
      </c>
      <c r="I288" t="n">
        <v>1804035</v>
      </c>
      <c r="J288" t="n">
        <v>631.41</v>
      </c>
      <c r="K288" t="inlineStr">
        <is>
          <t>NSE</t>
        </is>
      </c>
      <c r="L288" t="inlineStr">
        <is>
          <t>QE-CLEARING</t>
        </is>
      </c>
      <c r="M288" t="inlineStr">
        <is>
          <t>T100289</t>
        </is>
      </c>
    </row>
    <row r="289">
      <c r="A289" t="inlineStr">
        <is>
          <t>T100290</t>
        </is>
      </c>
      <c r="B289" t="inlineStr">
        <is>
          <t>2026-06-30</t>
        </is>
      </c>
      <c r="C289" t="inlineStr">
        <is>
          <t>11:41:32</t>
        </is>
      </c>
      <c r="D289" t="inlineStr">
        <is>
          <t>RELIANCE</t>
        </is>
      </c>
      <c r="E289" t="inlineStr">
        <is>
          <t>Equity</t>
        </is>
      </c>
      <c r="F289" t="inlineStr">
        <is>
          <t>SELL</t>
        </is>
      </c>
      <c r="G289" t="n">
        <v>250</v>
      </c>
      <c r="H289" t="n">
        <v>1424.92</v>
      </c>
      <c r="I289" t="n">
        <v>356230</v>
      </c>
      <c r="J289" t="n">
        <v>124.68</v>
      </c>
      <c r="K289" t="inlineStr">
        <is>
          <t>NSE</t>
        </is>
      </c>
      <c r="L289" t="inlineStr">
        <is>
          <t>QE-CLEARING</t>
        </is>
      </c>
      <c r="M289" t="inlineStr">
        <is>
          <t>T100290</t>
        </is>
      </c>
    </row>
    <row r="290">
      <c r="A290" t="inlineStr">
        <is>
          <t>T100291</t>
        </is>
      </c>
      <c r="B290" t="inlineStr">
        <is>
          <t>2026-06-30</t>
        </is>
      </c>
      <c r="C290" t="inlineStr">
        <is>
          <t>12:44:06</t>
        </is>
      </c>
      <c r="D290" t="inlineStr">
        <is>
          <t>AXISBANK</t>
        </is>
      </c>
      <c r="E290" t="inlineStr">
        <is>
          <t>Equity</t>
        </is>
      </c>
      <c r="F290" t="inlineStr">
        <is>
          <t>BUY</t>
        </is>
      </c>
      <c r="G290" t="n">
        <v>50</v>
      </c>
      <c r="H290" t="n">
        <v>1132.64</v>
      </c>
      <c r="I290" t="n">
        <v>56632</v>
      </c>
      <c r="J290" t="n">
        <v>19.82</v>
      </c>
      <c r="K290" t="inlineStr">
        <is>
          <t>NSE</t>
        </is>
      </c>
      <c r="L290" t="inlineStr">
        <is>
          <t>QE-CLEARING</t>
        </is>
      </c>
      <c r="M290" t="inlineStr">
        <is>
          <t>T100291</t>
        </is>
      </c>
    </row>
    <row r="291">
      <c r="A291" t="inlineStr">
        <is>
          <t>T100292</t>
        </is>
      </c>
      <c r="B291" t="inlineStr">
        <is>
          <t>2026-06-30</t>
        </is>
      </c>
      <c r="C291" t="inlineStr">
        <is>
          <t>11:03:38</t>
        </is>
      </c>
      <c r="D291" t="inlineStr">
        <is>
          <t>RELIANCE</t>
        </is>
      </c>
      <c r="E291" t="inlineStr">
        <is>
          <t>Equity</t>
        </is>
      </c>
      <c r="F291" t="inlineStr">
        <is>
          <t>BUY</t>
        </is>
      </c>
      <c r="G291" t="n">
        <v>500</v>
      </c>
      <c r="H291" t="n">
        <v>1426.59</v>
      </c>
      <c r="I291" t="n">
        <v>713295</v>
      </c>
      <c r="J291" t="n">
        <v>248.91</v>
      </c>
      <c r="K291" t="inlineStr">
        <is>
          <t>BSE</t>
        </is>
      </c>
      <c r="L291" t="inlineStr">
        <is>
          <t>QE-CLEARING</t>
        </is>
      </c>
      <c r="M291" t="inlineStr">
        <is>
          <t>T100292</t>
        </is>
      </c>
    </row>
    <row r="292">
      <c r="A292" t="inlineStr">
        <is>
          <t>T100293</t>
        </is>
      </c>
      <c r="B292" t="inlineStr">
        <is>
          <t>2026-06-30</t>
        </is>
      </c>
      <c r="C292" t="inlineStr">
        <is>
          <t>10:27:05</t>
        </is>
      </c>
      <c r="D292" t="inlineStr">
        <is>
          <t>BAJFINANCE</t>
        </is>
      </c>
      <c r="E292" t="inlineStr">
        <is>
          <t>Equity</t>
        </is>
      </c>
      <c r="F292" t="inlineStr">
        <is>
          <t>SELL</t>
        </is>
      </c>
      <c r="G292" t="n">
        <v>200</v>
      </c>
      <c r="H292" t="n">
        <v>7158.91</v>
      </c>
      <c r="I292" t="n">
        <v>1431782</v>
      </c>
      <c r="J292" t="n">
        <v>501.12</v>
      </c>
      <c r="K292" t="inlineStr">
        <is>
          <t>NSE</t>
        </is>
      </c>
      <c r="L292" t="inlineStr">
        <is>
          <t>QE-CLEARING</t>
        </is>
      </c>
      <c r="M292" t="inlineStr">
        <is>
          <t>T100293</t>
        </is>
      </c>
    </row>
    <row r="293">
      <c r="A293" t="inlineStr">
        <is>
          <t>T100294</t>
        </is>
      </c>
      <c r="B293" t="inlineStr">
        <is>
          <t>2026-06-30</t>
        </is>
      </c>
      <c r="C293" t="inlineStr">
        <is>
          <t>10:32:03</t>
        </is>
      </c>
      <c r="D293" t="inlineStr">
        <is>
          <t>LT</t>
        </is>
      </c>
      <c r="E293" t="inlineStr">
        <is>
          <t>Equity</t>
        </is>
      </c>
      <c r="F293" t="inlineStr">
        <is>
          <t>BUY</t>
        </is>
      </c>
      <c r="G293" t="n">
        <v>150</v>
      </c>
      <c r="H293" t="n">
        <v>3606.89</v>
      </c>
      <c r="I293" t="n">
        <v>541033.5</v>
      </c>
      <c r="J293" t="n">
        <v>189.36</v>
      </c>
      <c r="K293" t="inlineStr">
        <is>
          <t>NSE</t>
        </is>
      </c>
      <c r="L293" t="inlineStr">
        <is>
          <t>QE-CLEARING</t>
        </is>
      </c>
      <c r="M293" t="inlineStr">
        <is>
          <t>T100294</t>
        </is>
      </c>
    </row>
    <row r="294">
      <c r="A294" t="inlineStr">
        <is>
          <t>T100295</t>
        </is>
      </c>
      <c r="B294" t="inlineStr">
        <is>
          <t>2026-06-30</t>
        </is>
      </c>
      <c r="C294" t="inlineStr">
        <is>
          <t>12:42:41</t>
        </is>
      </c>
      <c r="D294" t="inlineStr">
        <is>
          <t>SBIN</t>
        </is>
      </c>
      <c r="E294" t="inlineStr">
        <is>
          <t>Equity</t>
        </is>
      </c>
      <c r="F294" t="inlineStr">
        <is>
          <t>SELL</t>
        </is>
      </c>
      <c r="G294" t="n">
        <v>250</v>
      </c>
      <c r="H294" t="n">
        <v>814.8099999999999</v>
      </c>
      <c r="I294" t="n">
        <v>203702.5</v>
      </c>
      <c r="J294" t="n">
        <v>71.3</v>
      </c>
      <c r="K294" t="inlineStr">
        <is>
          <t>BSE</t>
        </is>
      </c>
      <c r="L294" t="inlineStr">
        <is>
          <t>QE-CLEARING</t>
        </is>
      </c>
      <c r="M294" t="inlineStr">
        <is>
          <t>T100295</t>
        </is>
      </c>
    </row>
    <row r="295">
      <c r="A295" t="inlineStr">
        <is>
          <t>T100296</t>
        </is>
      </c>
      <c r="B295" t="inlineStr">
        <is>
          <t>2026-06-30</t>
        </is>
      </c>
      <c r="C295" t="inlineStr">
        <is>
          <t>12:28:06</t>
        </is>
      </c>
      <c r="D295" t="inlineStr">
        <is>
          <t>LT</t>
        </is>
      </c>
      <c r="E295" t="inlineStr">
        <is>
          <t>Equity</t>
        </is>
      </c>
      <c r="F295" t="inlineStr">
        <is>
          <t>SELL</t>
        </is>
      </c>
      <c r="G295" t="n">
        <v>100</v>
      </c>
      <c r="H295" t="n">
        <v>3631.28</v>
      </c>
      <c r="I295" t="n">
        <v>363128</v>
      </c>
      <c r="J295" t="n">
        <v>127.09</v>
      </c>
      <c r="K295" t="inlineStr">
        <is>
          <t>NSE</t>
        </is>
      </c>
      <c r="L295" t="inlineStr">
        <is>
          <t>QE-CLEARING</t>
        </is>
      </c>
      <c r="M295" t="inlineStr">
        <is>
          <t>T100296</t>
        </is>
      </c>
    </row>
    <row r="296">
      <c r="A296" t="inlineStr">
        <is>
          <t>T100297</t>
        </is>
      </c>
      <c r="B296" t="inlineStr">
        <is>
          <t>2026-06-30</t>
        </is>
      </c>
      <c r="C296" t="inlineStr">
        <is>
          <t>11:00:56</t>
        </is>
      </c>
      <c r="D296" t="inlineStr">
        <is>
          <t>RELIANCE</t>
        </is>
      </c>
      <c r="E296" t="inlineStr">
        <is>
          <t>Equity</t>
        </is>
      </c>
      <c r="F296" t="inlineStr">
        <is>
          <t>BUY</t>
        </is>
      </c>
      <c r="G296" t="n">
        <v>75</v>
      </c>
      <c r="H296" t="n">
        <v>1416.76</v>
      </c>
      <c r="I296" t="n">
        <v>106257</v>
      </c>
      <c r="J296" t="n">
        <v>37.19</v>
      </c>
      <c r="K296" t="inlineStr">
        <is>
          <t>NSE</t>
        </is>
      </c>
      <c r="L296" t="inlineStr">
        <is>
          <t>QE-CLEARING</t>
        </is>
      </c>
      <c r="M296" t="inlineStr">
        <is>
          <t>T100297</t>
        </is>
      </c>
    </row>
    <row r="297">
      <c r="A297" t="inlineStr">
        <is>
          <t>T100298</t>
        </is>
      </c>
      <c r="B297" t="inlineStr">
        <is>
          <t>2026-06-30</t>
        </is>
      </c>
      <c r="C297" t="inlineStr">
        <is>
          <t>09:15:22</t>
        </is>
      </c>
      <c r="D297" t="inlineStr">
        <is>
          <t>KOTAKBANK</t>
        </is>
      </c>
      <c r="E297" t="inlineStr">
        <is>
          <t>Equity</t>
        </is>
      </c>
      <c r="F297" t="inlineStr">
        <is>
          <t>SELL</t>
        </is>
      </c>
      <c r="G297" t="n">
        <v>150</v>
      </c>
      <c r="H297" t="n">
        <v>1791.13</v>
      </c>
      <c r="I297" t="n">
        <v>268669.5</v>
      </c>
      <c r="J297" t="n">
        <v>94.03</v>
      </c>
      <c r="K297" t="inlineStr">
        <is>
          <t>BSE</t>
        </is>
      </c>
      <c r="L297" t="inlineStr">
        <is>
          <t>QE-CLEARING</t>
        </is>
      </c>
      <c r="M297" t="inlineStr">
        <is>
          <t>T100298</t>
        </is>
      </c>
    </row>
    <row r="298">
      <c r="A298" t="inlineStr">
        <is>
          <t>T100299</t>
        </is>
      </c>
      <c r="B298" t="inlineStr">
        <is>
          <t>2026-06-30</t>
        </is>
      </c>
      <c r="C298" t="inlineStr">
        <is>
          <t>15:51:49</t>
        </is>
      </c>
      <c r="D298" t="inlineStr">
        <is>
          <t>ICICIBANK</t>
        </is>
      </c>
      <c r="E298" t="inlineStr">
        <is>
          <t>Equity</t>
        </is>
      </c>
      <c r="F298" t="inlineStr">
        <is>
          <t>SELL</t>
        </is>
      </c>
      <c r="G298" t="n">
        <v>100</v>
      </c>
      <c r="H298" t="n">
        <v>1237.25</v>
      </c>
      <c r="I298" t="n">
        <v>123725</v>
      </c>
      <c r="J298" t="n">
        <v>43.3</v>
      </c>
      <c r="K298" t="inlineStr">
        <is>
          <t>BSE</t>
        </is>
      </c>
      <c r="L298" t="inlineStr">
        <is>
          <t>QE-CLEARING</t>
        </is>
      </c>
      <c r="M298" t="inlineStr">
        <is>
          <t>T100299</t>
        </is>
      </c>
    </row>
    <row r="299">
      <c r="A299" t="inlineStr">
        <is>
          <t>T100300</t>
        </is>
      </c>
      <c r="B299" t="inlineStr">
        <is>
          <t>2026-06-30</t>
        </is>
      </c>
      <c r="C299" t="inlineStr">
        <is>
          <t>14:44:15</t>
        </is>
      </c>
      <c r="D299" t="inlineStr">
        <is>
          <t>LT</t>
        </is>
      </c>
      <c r="E299" t="inlineStr">
        <is>
          <t>Equity</t>
        </is>
      </c>
      <c r="F299" t="inlineStr">
        <is>
          <t>BUY</t>
        </is>
      </c>
      <c r="G299" t="n">
        <v>200</v>
      </c>
      <c r="H299" t="n">
        <v>3607.17</v>
      </c>
      <c r="I299" t="n">
        <v>721434</v>
      </c>
      <c r="J299" t="n">
        <v>252.5</v>
      </c>
      <c r="K299" t="inlineStr">
        <is>
          <t>BSE</t>
        </is>
      </c>
      <c r="L299" t="inlineStr">
        <is>
          <t>QE-CLEARING</t>
        </is>
      </c>
      <c r="M299" t="inlineStr">
        <is>
          <t>T100300</t>
        </is>
      </c>
    </row>
    <row r="300">
      <c r="A300" t="inlineStr">
        <is>
          <t>T100301</t>
        </is>
      </c>
      <c r="B300" t="inlineStr">
        <is>
          <t>2026-06-30</t>
        </is>
      </c>
      <c r="C300" t="inlineStr">
        <is>
          <t>11:51:28</t>
        </is>
      </c>
      <c r="D300" t="inlineStr">
        <is>
          <t>NIFTY-FUT</t>
        </is>
      </c>
      <c r="E300" t="inlineStr">
        <is>
          <t>Future</t>
        </is>
      </c>
      <c r="F300" t="inlineStr">
        <is>
          <t>SELL</t>
        </is>
      </c>
      <c r="G300" t="n">
        <v>75</v>
      </c>
      <c r="H300" t="n">
        <v>24823.65</v>
      </c>
      <c r="I300" t="n">
        <v>1861773.75</v>
      </c>
      <c r="J300" t="n">
        <v>372.35</v>
      </c>
      <c r="K300" t="inlineStr">
        <is>
          <t>BSE</t>
        </is>
      </c>
      <c r="L300" t="inlineStr">
        <is>
          <t>QE-CLEARING</t>
        </is>
      </c>
      <c r="M300" t="inlineStr">
        <is>
          <t>T100301</t>
        </is>
      </c>
    </row>
    <row r="301">
      <c r="A301" t="inlineStr">
        <is>
          <t>T100302</t>
        </is>
      </c>
      <c r="B301" t="inlineStr">
        <is>
          <t>2026-06-30</t>
        </is>
      </c>
      <c r="C301" t="inlineStr">
        <is>
          <t>15:28:51</t>
        </is>
      </c>
      <c r="D301" t="inlineStr">
        <is>
          <t>NIFTY-FUT</t>
        </is>
      </c>
      <c r="E301" t="inlineStr">
        <is>
          <t>Future</t>
        </is>
      </c>
      <c r="F301" t="inlineStr">
        <is>
          <t>SELL</t>
        </is>
      </c>
      <c r="G301" t="n">
        <v>100</v>
      </c>
      <c r="H301" t="n">
        <v>24784.86</v>
      </c>
      <c r="I301" t="n">
        <v>2478486</v>
      </c>
      <c r="J301" t="n">
        <v>495.7</v>
      </c>
      <c r="K301" t="inlineStr">
        <is>
          <t>BSE</t>
        </is>
      </c>
      <c r="L301" t="inlineStr">
        <is>
          <t>QE-CLEARING</t>
        </is>
      </c>
      <c r="M301" t="inlineStr">
        <is>
          <t>T100302</t>
        </is>
      </c>
    </row>
    <row r="302">
      <c r="A302" t="inlineStr">
        <is>
          <t>T100303</t>
        </is>
      </c>
      <c r="B302" t="inlineStr">
        <is>
          <t>2026-06-30</t>
        </is>
      </c>
      <c r="C302" t="inlineStr">
        <is>
          <t>10:52:15</t>
        </is>
      </c>
      <c r="D302" t="inlineStr">
        <is>
          <t>FINNIFTY-FUT</t>
        </is>
      </c>
      <c r="E302" t="inlineStr">
        <is>
          <t>Future</t>
        </is>
      </c>
      <c r="F302" t="inlineStr">
        <is>
          <t>BUY</t>
        </is>
      </c>
      <c r="G302" t="n">
        <v>80</v>
      </c>
      <c r="H302" t="n">
        <v>26051.69</v>
      </c>
      <c r="I302" t="n">
        <v>2084135.2</v>
      </c>
      <c r="J302" t="n">
        <v>416.83</v>
      </c>
      <c r="K302" t="inlineStr">
        <is>
          <t>NSE</t>
        </is>
      </c>
      <c r="L302" t="inlineStr">
        <is>
          <t>QE-CLEARING</t>
        </is>
      </c>
      <c r="M302" t="inlineStr">
        <is>
          <t>T100303</t>
        </is>
      </c>
    </row>
    <row r="303">
      <c r="A303" t="inlineStr">
        <is>
          <t>T100304</t>
        </is>
      </c>
      <c r="B303" t="inlineStr">
        <is>
          <t>2026-06-30</t>
        </is>
      </c>
      <c r="C303" t="inlineStr">
        <is>
          <t>12:29:38</t>
        </is>
      </c>
      <c r="D303" t="inlineStr">
        <is>
          <t>NIFTY-FUT</t>
        </is>
      </c>
      <c r="E303" t="inlineStr">
        <is>
          <t>Future</t>
        </is>
      </c>
      <c r="F303" t="inlineStr">
        <is>
          <t>BUY</t>
        </is>
      </c>
      <c r="G303" t="n">
        <v>50</v>
      </c>
      <c r="H303" t="n">
        <v>24875.55</v>
      </c>
      <c r="I303" t="n">
        <v>1243777.5</v>
      </c>
      <c r="J303" t="n">
        <v>248.76</v>
      </c>
      <c r="K303" t="inlineStr">
        <is>
          <t>NSE</t>
        </is>
      </c>
      <c r="L303" t="inlineStr">
        <is>
          <t>QE-CLEARING</t>
        </is>
      </c>
      <c r="M303" t="inlineStr">
        <is>
          <t>T100304</t>
        </is>
      </c>
    </row>
    <row r="304">
      <c r="A304" t="inlineStr">
        <is>
          <t>T100305</t>
        </is>
      </c>
      <c r="B304" t="inlineStr">
        <is>
          <t>2026-06-30</t>
        </is>
      </c>
      <c r="C304" t="inlineStr">
        <is>
          <t>10:51:45</t>
        </is>
      </c>
      <c r="D304" t="inlineStr">
        <is>
          <t>FINNIFTY-FUT</t>
        </is>
      </c>
      <c r="E304" t="inlineStr">
        <is>
          <t>Future</t>
        </is>
      </c>
      <c r="F304" t="inlineStr">
        <is>
          <t>BUY</t>
        </is>
      </c>
      <c r="G304" t="n">
        <v>200</v>
      </c>
      <c r="H304" t="n">
        <v>26181.65</v>
      </c>
      <c r="I304" t="n">
        <v>5236330</v>
      </c>
      <c r="J304" t="n">
        <v>1047.27</v>
      </c>
      <c r="K304" t="inlineStr">
        <is>
          <t>NSE</t>
        </is>
      </c>
      <c r="L304" t="inlineStr">
        <is>
          <t>QE-CLEARING</t>
        </is>
      </c>
      <c r="M304" t="inlineStr">
        <is>
          <t>T100305</t>
        </is>
      </c>
    </row>
    <row r="305">
      <c r="A305" t="inlineStr">
        <is>
          <t>T100306</t>
        </is>
      </c>
      <c r="B305" t="inlineStr">
        <is>
          <t>2026-06-30</t>
        </is>
      </c>
      <c r="C305" t="inlineStr">
        <is>
          <t>11:53:47</t>
        </is>
      </c>
      <c r="D305" t="inlineStr">
        <is>
          <t>FINNIFTY-FUT</t>
        </is>
      </c>
      <c r="E305" t="inlineStr">
        <is>
          <t>Future</t>
        </is>
      </c>
      <c r="F305" t="inlineStr">
        <is>
          <t>SELL</t>
        </is>
      </c>
      <c r="G305" t="n">
        <v>80</v>
      </c>
      <c r="H305" t="n">
        <v>26083.94</v>
      </c>
      <c r="I305" t="n">
        <v>2086715.2</v>
      </c>
      <c r="J305" t="n">
        <v>417.34</v>
      </c>
      <c r="K305" t="inlineStr">
        <is>
          <t>BSE</t>
        </is>
      </c>
      <c r="L305" t="inlineStr">
        <is>
          <t>QE-CLEARING</t>
        </is>
      </c>
      <c r="M305" t="inlineStr">
        <is>
          <t>T100306</t>
        </is>
      </c>
    </row>
    <row r="306">
      <c r="A306" t="inlineStr">
        <is>
          <t>T100307</t>
        </is>
      </c>
      <c r="B306" t="inlineStr">
        <is>
          <t>2026-06-30</t>
        </is>
      </c>
      <c r="C306" t="inlineStr">
        <is>
          <t>09:56:01</t>
        </is>
      </c>
      <c r="D306" t="inlineStr">
        <is>
          <t>BANKNIFTY-FUT</t>
        </is>
      </c>
      <c r="E306" t="inlineStr">
        <is>
          <t>Future</t>
        </is>
      </c>
      <c r="F306" t="inlineStr">
        <is>
          <t>BUY</t>
        </is>
      </c>
      <c r="G306" t="n">
        <v>30</v>
      </c>
      <c r="H306" t="n">
        <v>55222.75</v>
      </c>
      <c r="I306" t="n">
        <v>1656682.5</v>
      </c>
      <c r="J306" t="n">
        <v>331.34</v>
      </c>
      <c r="K306" t="inlineStr">
        <is>
          <t>NSE</t>
        </is>
      </c>
      <c r="L306" t="inlineStr">
        <is>
          <t>QE-CLEARING</t>
        </is>
      </c>
      <c r="M306" t="inlineStr">
        <is>
          <t>T100307</t>
        </is>
      </c>
    </row>
    <row r="307">
      <c r="A307" t="inlineStr">
        <is>
          <t>T100308</t>
        </is>
      </c>
      <c r="B307" t="inlineStr">
        <is>
          <t>2026-06-30</t>
        </is>
      </c>
      <c r="C307" t="inlineStr">
        <is>
          <t>13:25:30</t>
        </is>
      </c>
      <c r="D307" t="inlineStr">
        <is>
          <t>NIFTY-FUT</t>
        </is>
      </c>
      <c r="E307" t="inlineStr">
        <is>
          <t>Future</t>
        </is>
      </c>
      <c r="F307" t="inlineStr">
        <is>
          <t>BUY</t>
        </is>
      </c>
      <c r="G307" t="n">
        <v>200</v>
      </c>
      <c r="H307" t="n">
        <v>24830.17</v>
      </c>
      <c r="I307" t="n">
        <v>4966034</v>
      </c>
      <c r="J307" t="n">
        <v>993.21</v>
      </c>
      <c r="K307" t="inlineStr">
        <is>
          <t>NSE</t>
        </is>
      </c>
      <c r="L307" t="inlineStr">
        <is>
          <t>QE-CLEARING</t>
        </is>
      </c>
      <c r="M307" t="inlineStr">
        <is>
          <t>T100308</t>
        </is>
      </c>
    </row>
    <row r="308">
      <c r="A308" t="inlineStr">
        <is>
          <t>T100309</t>
        </is>
      </c>
      <c r="B308" t="inlineStr">
        <is>
          <t>2026-06-30</t>
        </is>
      </c>
      <c r="C308" t="inlineStr">
        <is>
          <t>12:50:26</t>
        </is>
      </c>
      <c r="D308" t="inlineStr">
        <is>
          <t>NIFTY-FUT</t>
        </is>
      </c>
      <c r="E308" t="inlineStr">
        <is>
          <t>Future</t>
        </is>
      </c>
      <c r="F308" t="inlineStr">
        <is>
          <t>BUY</t>
        </is>
      </c>
      <c r="G308" t="n">
        <v>50</v>
      </c>
      <c r="H308" t="n">
        <v>24920.64</v>
      </c>
      <c r="I308" t="n">
        <v>1246032</v>
      </c>
      <c r="J308" t="n">
        <v>249.21</v>
      </c>
      <c r="K308" t="inlineStr">
        <is>
          <t>NSE</t>
        </is>
      </c>
      <c r="L308" t="inlineStr">
        <is>
          <t>QE-CLEARING</t>
        </is>
      </c>
      <c r="M308" t="inlineStr">
        <is>
          <t>T100309</t>
        </is>
      </c>
    </row>
    <row r="309">
      <c r="A309" t="inlineStr">
        <is>
          <t>T100310</t>
        </is>
      </c>
      <c r="B309" t="inlineStr">
        <is>
          <t>2026-06-30</t>
        </is>
      </c>
      <c r="C309" t="inlineStr">
        <is>
          <t>09:24:23</t>
        </is>
      </c>
      <c r="D309" t="inlineStr">
        <is>
          <t>BANKNIFTY-FUT</t>
        </is>
      </c>
      <c r="E309" t="inlineStr">
        <is>
          <t>Future</t>
        </is>
      </c>
      <c r="F309" t="inlineStr">
        <is>
          <t>SELL</t>
        </is>
      </c>
      <c r="G309" t="n">
        <v>60</v>
      </c>
      <c r="H309" t="n">
        <v>55235.41</v>
      </c>
      <c r="I309" t="n">
        <v>3314124.6</v>
      </c>
      <c r="J309" t="n">
        <v>662.8200000000001</v>
      </c>
      <c r="K309" t="inlineStr">
        <is>
          <t>NSE</t>
        </is>
      </c>
      <c r="L309" t="inlineStr">
        <is>
          <t>QE-CLEARING</t>
        </is>
      </c>
      <c r="M309" t="inlineStr">
        <is>
          <t>T100310</t>
        </is>
      </c>
    </row>
    <row r="310">
      <c r="A310" t="inlineStr">
        <is>
          <t>T100311</t>
        </is>
      </c>
      <c r="B310" t="inlineStr">
        <is>
          <t>2026-06-30</t>
        </is>
      </c>
      <c r="C310" t="inlineStr">
        <is>
          <t>14:49:17</t>
        </is>
      </c>
      <c r="D310" t="inlineStr">
        <is>
          <t>BANKNIFTY-FUT</t>
        </is>
      </c>
      <c r="E310" t="inlineStr">
        <is>
          <t>Future</t>
        </is>
      </c>
      <c r="F310" t="inlineStr">
        <is>
          <t>SELL</t>
        </is>
      </c>
      <c r="G310" t="n">
        <v>60</v>
      </c>
      <c r="H310" t="n">
        <v>55256.67</v>
      </c>
      <c r="I310" t="n">
        <v>3315400.2</v>
      </c>
      <c r="J310" t="n">
        <v>663.08</v>
      </c>
      <c r="K310" t="inlineStr">
        <is>
          <t>NSE</t>
        </is>
      </c>
      <c r="L310" t="inlineStr">
        <is>
          <t>QE-CLEARING</t>
        </is>
      </c>
      <c r="M310" t="inlineStr">
        <is>
          <t>T100311</t>
        </is>
      </c>
    </row>
    <row r="311">
      <c r="A311" t="inlineStr">
        <is>
          <t>T100312</t>
        </is>
      </c>
      <c r="B311" t="inlineStr">
        <is>
          <t>2026-06-30</t>
        </is>
      </c>
      <c r="C311" t="inlineStr">
        <is>
          <t>10:07:57</t>
        </is>
      </c>
      <c r="D311" t="inlineStr">
        <is>
          <t>FINNIFTY-FUT</t>
        </is>
      </c>
      <c r="E311" t="inlineStr">
        <is>
          <t>Future</t>
        </is>
      </c>
      <c r="F311" t="inlineStr">
        <is>
          <t>SELL</t>
        </is>
      </c>
      <c r="G311" t="n">
        <v>120</v>
      </c>
      <c r="H311" t="n">
        <v>26185.73</v>
      </c>
      <c r="I311" t="n">
        <v>3142287.6</v>
      </c>
      <c r="J311" t="n">
        <v>628.46</v>
      </c>
      <c r="K311" t="inlineStr">
        <is>
          <t>BSE</t>
        </is>
      </c>
      <c r="L311" t="inlineStr">
        <is>
          <t>QE-CLEARING</t>
        </is>
      </c>
      <c r="M311" t="inlineStr">
        <is>
          <t>T100312</t>
        </is>
      </c>
    </row>
    <row r="312">
      <c r="A312" t="inlineStr">
        <is>
          <t>T100313</t>
        </is>
      </c>
      <c r="B312" t="inlineStr">
        <is>
          <t>2026-06-30</t>
        </is>
      </c>
      <c r="C312" t="inlineStr">
        <is>
          <t>11:47:37</t>
        </is>
      </c>
      <c r="D312" t="inlineStr">
        <is>
          <t>NIFTY-FUT</t>
        </is>
      </c>
      <c r="E312" t="inlineStr">
        <is>
          <t>Future</t>
        </is>
      </c>
      <c r="F312" t="inlineStr">
        <is>
          <t>BUY</t>
        </is>
      </c>
      <c r="G312" t="n">
        <v>250</v>
      </c>
      <c r="H312" t="n">
        <v>24790.75</v>
      </c>
      <c r="I312" t="n">
        <v>6197687.5</v>
      </c>
      <c r="J312" t="n">
        <v>1239.54</v>
      </c>
      <c r="K312" t="inlineStr">
        <is>
          <t>NSE</t>
        </is>
      </c>
      <c r="L312" t="inlineStr">
        <is>
          <t>QE-CLEARING</t>
        </is>
      </c>
      <c r="M312" t="inlineStr">
        <is>
          <t>T100313</t>
        </is>
      </c>
    </row>
    <row r="313">
      <c r="A313" t="inlineStr">
        <is>
          <t>T100314</t>
        </is>
      </c>
      <c r="B313" t="inlineStr">
        <is>
          <t>2026-06-30</t>
        </is>
      </c>
      <c r="C313" t="inlineStr">
        <is>
          <t>09:06:47</t>
        </is>
      </c>
      <c r="D313" t="inlineStr">
        <is>
          <t>FINNIFTY-FUT</t>
        </is>
      </c>
      <c r="E313" t="inlineStr">
        <is>
          <t>Future</t>
        </is>
      </c>
      <c r="F313" t="inlineStr">
        <is>
          <t>BUY</t>
        </is>
      </c>
      <c r="G313" t="n">
        <v>160</v>
      </c>
      <c r="H313" t="n">
        <v>26057.02</v>
      </c>
      <c r="I313" t="n">
        <v>4169123.2</v>
      </c>
      <c r="J313" t="n">
        <v>833.8200000000001</v>
      </c>
      <c r="K313" t="inlineStr">
        <is>
          <t>BSE</t>
        </is>
      </c>
      <c r="L313" t="inlineStr">
        <is>
          <t>QE-CLEARING</t>
        </is>
      </c>
      <c r="M313" t="inlineStr">
        <is>
          <t>T100314</t>
        </is>
      </c>
    </row>
    <row r="314">
      <c r="A314" t="inlineStr">
        <is>
          <t>T100315</t>
        </is>
      </c>
      <c r="B314" t="inlineStr">
        <is>
          <t>2026-06-30</t>
        </is>
      </c>
      <c r="C314" t="inlineStr">
        <is>
          <t>14:09:07</t>
        </is>
      </c>
      <c r="D314" t="inlineStr">
        <is>
          <t>BANKNIFTY-FUT</t>
        </is>
      </c>
      <c r="E314" t="inlineStr">
        <is>
          <t>Future</t>
        </is>
      </c>
      <c r="F314" t="inlineStr">
        <is>
          <t>SELL</t>
        </is>
      </c>
      <c r="G314" t="n">
        <v>45</v>
      </c>
      <c r="H314" t="n">
        <v>55219.16</v>
      </c>
      <c r="I314" t="n">
        <v>2484862.2</v>
      </c>
      <c r="J314" t="n">
        <v>496.97</v>
      </c>
      <c r="K314" t="inlineStr">
        <is>
          <t>BSE</t>
        </is>
      </c>
      <c r="L314" t="inlineStr">
        <is>
          <t>QE-CLEARING</t>
        </is>
      </c>
      <c r="M314" t="inlineStr">
        <is>
          <t>T100315</t>
        </is>
      </c>
    </row>
    <row r="315">
      <c r="A315" t="inlineStr">
        <is>
          <t>T100316</t>
        </is>
      </c>
      <c r="B315" t="inlineStr">
        <is>
          <t>2026-06-30</t>
        </is>
      </c>
      <c r="C315" t="inlineStr">
        <is>
          <t>15:22:29</t>
        </is>
      </c>
      <c r="D315" t="inlineStr">
        <is>
          <t>FINNIFTY-FUT</t>
        </is>
      </c>
      <c r="E315" t="inlineStr">
        <is>
          <t>Future</t>
        </is>
      </c>
      <c r="F315" t="inlineStr">
        <is>
          <t>BUY</t>
        </is>
      </c>
      <c r="G315" t="n">
        <v>120</v>
      </c>
      <c r="H315" t="n">
        <v>26044.6</v>
      </c>
      <c r="I315" t="n">
        <v>3125352</v>
      </c>
      <c r="J315" t="n">
        <v>624.13</v>
      </c>
      <c r="K315" t="inlineStr">
        <is>
          <t>NSE</t>
        </is>
      </c>
      <c r="L315" t="inlineStr">
        <is>
          <t>QE-CLEARING</t>
        </is>
      </c>
      <c r="M315" t="inlineStr">
        <is>
          <t>T100316</t>
        </is>
      </c>
    </row>
    <row r="316">
      <c r="A316" t="inlineStr">
        <is>
          <t>T100318</t>
        </is>
      </c>
      <c r="B316" t="inlineStr">
        <is>
          <t>2026-06-30</t>
        </is>
      </c>
      <c r="C316" t="inlineStr">
        <is>
          <t>15:27:55</t>
        </is>
      </c>
      <c r="D316" t="inlineStr">
        <is>
          <t>NIFTY-FUT</t>
        </is>
      </c>
      <c r="E316" t="inlineStr">
        <is>
          <t>Future</t>
        </is>
      </c>
      <c r="F316" t="inlineStr">
        <is>
          <t>SELL</t>
        </is>
      </c>
      <c r="G316" t="n">
        <v>125</v>
      </c>
      <c r="H316" t="n">
        <v>24800.95</v>
      </c>
      <c r="I316" t="n">
        <v>3100118.75</v>
      </c>
      <c r="J316" t="n">
        <v>620.02</v>
      </c>
      <c r="K316" t="inlineStr">
        <is>
          <t>BSE</t>
        </is>
      </c>
      <c r="L316" t="inlineStr">
        <is>
          <t>QE-CLEARING</t>
        </is>
      </c>
      <c r="M316" t="inlineStr">
        <is>
          <t>T100318</t>
        </is>
      </c>
    </row>
    <row r="317">
      <c r="A317" t="inlineStr">
        <is>
          <t>T100319</t>
        </is>
      </c>
      <c r="B317" t="inlineStr">
        <is>
          <t>2026-06-30</t>
        </is>
      </c>
      <c r="C317" t="inlineStr">
        <is>
          <t>14:13:47</t>
        </is>
      </c>
      <c r="D317" t="inlineStr">
        <is>
          <t>BANKNIFTY-FUT</t>
        </is>
      </c>
      <c r="E317" t="inlineStr">
        <is>
          <t>Future</t>
        </is>
      </c>
      <c r="F317" t="inlineStr">
        <is>
          <t>BUY</t>
        </is>
      </c>
      <c r="G317" t="n">
        <v>30</v>
      </c>
      <c r="H317" t="n">
        <v>55357.44</v>
      </c>
      <c r="I317" t="n">
        <v>1660723.2</v>
      </c>
      <c r="J317" t="n">
        <v>332.14</v>
      </c>
      <c r="K317" t="inlineStr">
        <is>
          <t>NSE</t>
        </is>
      </c>
      <c r="L317" t="inlineStr">
        <is>
          <t>QE-CLEARING</t>
        </is>
      </c>
      <c r="M317" t="inlineStr">
        <is>
          <t>T100319</t>
        </is>
      </c>
    </row>
    <row r="318">
      <c r="A318" t="inlineStr">
        <is>
          <t>T100320</t>
        </is>
      </c>
      <c r="B318" t="inlineStr">
        <is>
          <t>2026-06-30</t>
        </is>
      </c>
      <c r="C318" t="inlineStr">
        <is>
          <t>12:58:11</t>
        </is>
      </c>
      <c r="D318" t="inlineStr">
        <is>
          <t>FINNIFTY-FUT</t>
        </is>
      </c>
      <c r="E318" t="inlineStr">
        <is>
          <t>Future</t>
        </is>
      </c>
      <c r="F318" t="inlineStr">
        <is>
          <t>BUY</t>
        </is>
      </c>
      <c r="G318" t="n">
        <v>40</v>
      </c>
      <c r="H318" t="n">
        <v>26052.82</v>
      </c>
      <c r="I318" t="n">
        <v>1042112.8</v>
      </c>
      <c r="J318" t="n">
        <v>208.42</v>
      </c>
      <c r="K318" t="inlineStr">
        <is>
          <t>BSE</t>
        </is>
      </c>
      <c r="L318" t="inlineStr">
        <is>
          <t>QE-CLEARING</t>
        </is>
      </c>
      <c r="M318" t="inlineStr">
        <is>
          <t>T100320</t>
        </is>
      </c>
    </row>
    <row r="319">
      <c r="A319" t="inlineStr">
        <is>
          <t>T100321</t>
        </is>
      </c>
      <c r="B319" t="inlineStr">
        <is>
          <t>2026-06-30</t>
        </is>
      </c>
      <c r="C319" t="inlineStr">
        <is>
          <t>15:38:51</t>
        </is>
      </c>
      <c r="D319" t="inlineStr">
        <is>
          <t>NIFTY-FUT</t>
        </is>
      </c>
      <c r="E319" t="inlineStr">
        <is>
          <t>Future</t>
        </is>
      </c>
      <c r="F319" t="inlineStr">
        <is>
          <t>BUY</t>
        </is>
      </c>
      <c r="G319" t="n">
        <v>50</v>
      </c>
      <c r="H319" t="n">
        <v>24929.75</v>
      </c>
      <c r="I319" t="n">
        <v>1246487.5</v>
      </c>
      <c r="J319" t="n">
        <v>249.3</v>
      </c>
      <c r="K319" t="inlineStr">
        <is>
          <t>BSE</t>
        </is>
      </c>
      <c r="L319" t="inlineStr">
        <is>
          <t>QE-CLEARING</t>
        </is>
      </c>
      <c r="M319" t="inlineStr">
        <is>
          <t>T100321</t>
        </is>
      </c>
    </row>
    <row r="320">
      <c r="A320" t="inlineStr">
        <is>
          <t>T100322</t>
        </is>
      </c>
      <c r="B320" t="inlineStr">
        <is>
          <t>2026-06-30</t>
        </is>
      </c>
      <c r="C320" t="inlineStr">
        <is>
          <t>11:52:56</t>
        </is>
      </c>
      <c r="D320" t="inlineStr">
        <is>
          <t>FINNIFTY-FUT</t>
        </is>
      </c>
      <c r="E320" t="inlineStr">
        <is>
          <t>Future</t>
        </is>
      </c>
      <c r="F320" t="inlineStr">
        <is>
          <t>SELL</t>
        </is>
      </c>
      <c r="G320" t="n">
        <v>320</v>
      </c>
      <c r="H320" t="n">
        <v>26110.54</v>
      </c>
      <c r="I320" t="n">
        <v>8355372.8</v>
      </c>
      <c r="J320" t="n">
        <v>1671.07</v>
      </c>
      <c r="K320" t="inlineStr">
        <is>
          <t>BSE</t>
        </is>
      </c>
      <c r="L320" t="inlineStr">
        <is>
          <t>QE-CLEARING</t>
        </is>
      </c>
      <c r="M320" t="inlineStr">
        <is>
          <t>T100322</t>
        </is>
      </c>
    </row>
    <row r="321">
      <c r="A321" t="inlineStr">
        <is>
          <t>T100323</t>
        </is>
      </c>
      <c r="B321" t="inlineStr">
        <is>
          <t>2026-06-30</t>
        </is>
      </c>
      <c r="C321" t="inlineStr">
        <is>
          <t>10:20:04</t>
        </is>
      </c>
      <c r="D321" t="inlineStr">
        <is>
          <t>FINNIFTY-FUT</t>
        </is>
      </c>
      <c r="E321" t="inlineStr">
        <is>
          <t>Future</t>
        </is>
      </c>
      <c r="F321" t="inlineStr">
        <is>
          <t>BUY</t>
        </is>
      </c>
      <c r="G321" t="n">
        <v>200</v>
      </c>
      <c r="H321" t="n">
        <v>26139.42</v>
      </c>
      <c r="I321" t="n">
        <v>5227884</v>
      </c>
      <c r="J321" t="n">
        <v>1045.58</v>
      </c>
      <c r="K321" t="inlineStr">
        <is>
          <t>BSE</t>
        </is>
      </c>
      <c r="L321" t="inlineStr">
        <is>
          <t>QE-CLEARING</t>
        </is>
      </c>
      <c r="M321" t="inlineStr">
        <is>
          <t>T100323</t>
        </is>
      </c>
    </row>
    <row r="322">
      <c r="A322" t="inlineStr">
        <is>
          <t>T100324</t>
        </is>
      </c>
      <c r="B322" t="inlineStr">
        <is>
          <t>2026-06-30</t>
        </is>
      </c>
      <c r="C322" t="inlineStr">
        <is>
          <t>10:52:41</t>
        </is>
      </c>
      <c r="D322" t="inlineStr">
        <is>
          <t>NIFTY-FUT</t>
        </is>
      </c>
      <c r="E322" t="inlineStr">
        <is>
          <t>Future</t>
        </is>
      </c>
      <c r="F322" t="inlineStr">
        <is>
          <t>BUY</t>
        </is>
      </c>
      <c r="G322" t="n">
        <v>50</v>
      </c>
      <c r="H322" t="n">
        <v>24885.12</v>
      </c>
      <c r="I322" t="n">
        <v>1244256</v>
      </c>
      <c r="J322" t="n">
        <v>248.85</v>
      </c>
      <c r="K322" t="inlineStr">
        <is>
          <t>NSE</t>
        </is>
      </c>
      <c r="L322" t="inlineStr">
        <is>
          <t>QE-CLEARING</t>
        </is>
      </c>
      <c r="M322" t="inlineStr">
        <is>
          <t>T100324</t>
        </is>
      </c>
    </row>
    <row r="323">
      <c r="A323" t="inlineStr">
        <is>
          <t>T100325</t>
        </is>
      </c>
      <c r="B323" t="inlineStr">
        <is>
          <t>2026-06-30</t>
        </is>
      </c>
      <c r="C323" t="inlineStr">
        <is>
          <t>12:02:59</t>
        </is>
      </c>
      <c r="D323" t="inlineStr">
        <is>
          <t>NIFTY-FUT</t>
        </is>
      </c>
      <c r="E323" t="inlineStr">
        <is>
          <t>Future</t>
        </is>
      </c>
      <c r="F323" t="inlineStr">
        <is>
          <t>SELL</t>
        </is>
      </c>
      <c r="G323" t="n">
        <v>25</v>
      </c>
      <c r="H323" t="n">
        <v>24932.77</v>
      </c>
      <c r="I323" t="n">
        <v>623319.25</v>
      </c>
      <c r="J323" t="n">
        <v>124.66</v>
      </c>
      <c r="K323" t="inlineStr">
        <is>
          <t>BSE</t>
        </is>
      </c>
      <c r="L323" t="inlineStr">
        <is>
          <t>QE-CLEARING</t>
        </is>
      </c>
      <c r="M323" t="inlineStr">
        <is>
          <t>T100325</t>
        </is>
      </c>
    </row>
    <row r="324">
      <c r="A324" t="inlineStr">
        <is>
          <t>T100326</t>
        </is>
      </c>
      <c r="B324" t="inlineStr">
        <is>
          <t>2026-06-30</t>
        </is>
      </c>
      <c r="C324" t="inlineStr">
        <is>
          <t>10:18:50</t>
        </is>
      </c>
      <c r="D324" t="inlineStr">
        <is>
          <t>NIFTY-FUT</t>
        </is>
      </c>
      <c r="E324" t="inlineStr">
        <is>
          <t>Future</t>
        </is>
      </c>
      <c r="F324" t="inlineStr">
        <is>
          <t>SELL</t>
        </is>
      </c>
      <c r="G324" t="n">
        <v>50</v>
      </c>
      <c r="H324" t="n">
        <v>24864.39</v>
      </c>
      <c r="I324" t="n">
        <v>1243219.5</v>
      </c>
      <c r="J324" t="n">
        <v>248.64</v>
      </c>
      <c r="K324" t="inlineStr">
        <is>
          <t>BSE</t>
        </is>
      </c>
      <c r="L324" t="inlineStr">
        <is>
          <t>QE-CLEARING</t>
        </is>
      </c>
      <c r="M324" t="inlineStr">
        <is>
          <t>T100326</t>
        </is>
      </c>
    </row>
    <row r="325">
      <c r="A325" t="inlineStr">
        <is>
          <t>T100327</t>
        </is>
      </c>
      <c r="B325" t="inlineStr">
        <is>
          <t>2026-06-30</t>
        </is>
      </c>
      <c r="C325" t="inlineStr">
        <is>
          <t>11:41:19</t>
        </is>
      </c>
      <c r="D325" t="inlineStr">
        <is>
          <t>BANKNIFTY-FUT</t>
        </is>
      </c>
      <c r="E325" t="inlineStr">
        <is>
          <t>Future</t>
        </is>
      </c>
      <c r="F325" t="inlineStr">
        <is>
          <t>SELL</t>
        </is>
      </c>
      <c r="G325" t="n">
        <v>15</v>
      </c>
      <c r="H325" t="n">
        <v>55306.85</v>
      </c>
      <c r="I325" t="n">
        <v>829602.75</v>
      </c>
      <c r="J325" t="n">
        <v>165.92</v>
      </c>
      <c r="K325" t="inlineStr">
        <is>
          <t>NSE</t>
        </is>
      </c>
      <c r="L325" t="inlineStr">
        <is>
          <t>QE-CLEARING</t>
        </is>
      </c>
      <c r="M325" t="inlineStr">
        <is>
          <t>T100327</t>
        </is>
      </c>
    </row>
    <row r="326">
      <c r="A326" t="inlineStr">
        <is>
          <t>T100328</t>
        </is>
      </c>
      <c r="B326" t="inlineStr">
        <is>
          <t>2026-06-30</t>
        </is>
      </c>
      <c r="C326" t="inlineStr">
        <is>
          <t>14:47:42</t>
        </is>
      </c>
      <c r="D326" t="inlineStr">
        <is>
          <t>BANKNIFTY-FUT</t>
        </is>
      </c>
      <c r="E326" t="inlineStr">
        <is>
          <t>Future</t>
        </is>
      </c>
      <c r="F326" t="inlineStr">
        <is>
          <t>BUY</t>
        </is>
      </c>
      <c r="G326" t="n">
        <v>45</v>
      </c>
      <c r="H326" t="n">
        <v>55141.59</v>
      </c>
      <c r="I326" t="n">
        <v>2481371.55</v>
      </c>
      <c r="J326" t="n">
        <v>496.27</v>
      </c>
      <c r="K326" t="inlineStr">
        <is>
          <t>BSE</t>
        </is>
      </c>
      <c r="L326" t="inlineStr">
        <is>
          <t>QE-CLEARING</t>
        </is>
      </c>
      <c r="M326" t="inlineStr">
        <is>
          <t>T100328</t>
        </is>
      </c>
    </row>
    <row r="327">
      <c r="A327" t="inlineStr">
        <is>
          <t>T100329</t>
        </is>
      </c>
      <c r="B327" t="inlineStr">
        <is>
          <t>2026-06-30</t>
        </is>
      </c>
      <c r="C327" t="inlineStr">
        <is>
          <t>15:14:37</t>
        </is>
      </c>
      <c r="D327" t="inlineStr">
        <is>
          <t>BANKNIFTY-FUT</t>
        </is>
      </c>
      <c r="E327" t="inlineStr">
        <is>
          <t>Future</t>
        </is>
      </c>
      <c r="F327" t="inlineStr">
        <is>
          <t>SELL</t>
        </is>
      </c>
      <c r="G327" t="n">
        <v>150</v>
      </c>
      <c r="H327" t="n">
        <v>55394.72</v>
      </c>
      <c r="I327" t="n">
        <v>8309208</v>
      </c>
      <c r="J327" t="n">
        <v>1661.84</v>
      </c>
      <c r="K327" t="inlineStr">
        <is>
          <t>NSE</t>
        </is>
      </c>
      <c r="L327" t="inlineStr">
        <is>
          <t>QE-CLEARING</t>
        </is>
      </c>
      <c r="M327" t="inlineStr">
        <is>
          <t>T100329</t>
        </is>
      </c>
    </row>
    <row r="328">
      <c r="A328" t="inlineStr">
        <is>
          <t>T100330</t>
        </is>
      </c>
      <c r="B328" t="inlineStr">
        <is>
          <t>2026-06-30</t>
        </is>
      </c>
      <c r="C328" t="inlineStr">
        <is>
          <t>15:58:37</t>
        </is>
      </c>
      <c r="D328" t="inlineStr">
        <is>
          <t>BANKNIFTY-FUT</t>
        </is>
      </c>
      <c r="E328" t="inlineStr">
        <is>
          <t>Future</t>
        </is>
      </c>
      <c r="F328" t="inlineStr">
        <is>
          <t>BUY</t>
        </is>
      </c>
      <c r="G328" t="n">
        <v>150</v>
      </c>
      <c r="H328" t="n">
        <v>55111.42</v>
      </c>
      <c r="I328" t="n">
        <v>8266713</v>
      </c>
      <c r="J328" t="n">
        <v>1653.34</v>
      </c>
      <c r="K328" t="inlineStr">
        <is>
          <t>BSE</t>
        </is>
      </c>
      <c r="L328" t="inlineStr">
        <is>
          <t>QE-CLEARING</t>
        </is>
      </c>
      <c r="M328" t="inlineStr">
        <is>
          <t>T100330</t>
        </is>
      </c>
    </row>
    <row r="329">
      <c r="A329" t="inlineStr">
        <is>
          <t>T100331</t>
        </is>
      </c>
      <c r="B329" t="inlineStr">
        <is>
          <t>2026-06-30</t>
        </is>
      </c>
      <c r="C329" t="inlineStr">
        <is>
          <t>10:36:47</t>
        </is>
      </c>
      <c r="D329" t="inlineStr">
        <is>
          <t>BANKNIFTY-FUT</t>
        </is>
      </c>
      <c r="E329" t="inlineStr">
        <is>
          <t>Future</t>
        </is>
      </c>
      <c r="F329" t="inlineStr">
        <is>
          <t>BUY</t>
        </is>
      </c>
      <c r="G329" t="n">
        <v>150</v>
      </c>
      <c r="H329" t="n">
        <v>55342.51</v>
      </c>
      <c r="I329" t="n">
        <v>8301376.5</v>
      </c>
      <c r="J329" t="n">
        <v>1660.28</v>
      </c>
      <c r="K329" t="inlineStr">
        <is>
          <t>NSE</t>
        </is>
      </c>
      <c r="L329" t="inlineStr">
        <is>
          <t>QE-CLEARING</t>
        </is>
      </c>
      <c r="M329" t="inlineStr">
        <is>
          <t>T100331</t>
        </is>
      </c>
    </row>
    <row r="330">
      <c r="A330" t="inlineStr">
        <is>
          <t>T100332</t>
        </is>
      </c>
      <c r="B330" t="inlineStr">
        <is>
          <t>2026-06-30</t>
        </is>
      </c>
      <c r="C330" t="inlineStr">
        <is>
          <t>11:29:44</t>
        </is>
      </c>
      <c r="D330" t="inlineStr">
        <is>
          <t>BANKNIFTY-FUT</t>
        </is>
      </c>
      <c r="E330" t="inlineStr">
        <is>
          <t>Future</t>
        </is>
      </c>
      <c r="F330" t="inlineStr">
        <is>
          <t>SELL</t>
        </is>
      </c>
      <c r="G330" t="n">
        <v>45</v>
      </c>
      <c r="H330" t="n">
        <v>55290.33</v>
      </c>
      <c r="I330" t="n">
        <v>2488064.85</v>
      </c>
      <c r="J330" t="n">
        <v>497.61</v>
      </c>
      <c r="K330" t="inlineStr">
        <is>
          <t>NSE</t>
        </is>
      </c>
      <c r="L330" t="inlineStr">
        <is>
          <t>QE-CLEARING</t>
        </is>
      </c>
      <c r="M330" t="inlineStr">
        <is>
          <t>T100332</t>
        </is>
      </c>
    </row>
    <row r="331">
      <c r="A331" t="inlineStr">
        <is>
          <t>T100333</t>
        </is>
      </c>
      <c r="B331" t="inlineStr">
        <is>
          <t>2026-06-30</t>
        </is>
      </c>
      <c r="C331" t="inlineStr">
        <is>
          <t>11:38:52</t>
        </is>
      </c>
      <c r="D331" t="inlineStr">
        <is>
          <t>FINNIFTY-FUT</t>
        </is>
      </c>
      <c r="E331" t="inlineStr">
        <is>
          <t>Future</t>
        </is>
      </c>
      <c r="F331" t="inlineStr">
        <is>
          <t>BUY</t>
        </is>
      </c>
      <c r="G331" t="n">
        <v>200</v>
      </c>
      <c r="H331" t="n">
        <v>26199.35</v>
      </c>
      <c r="I331" t="n">
        <v>5239870</v>
      </c>
      <c r="J331" t="n">
        <v>1047.97</v>
      </c>
      <c r="K331" t="inlineStr">
        <is>
          <t>BSE</t>
        </is>
      </c>
      <c r="L331" t="inlineStr">
        <is>
          <t>QE-CLEARING</t>
        </is>
      </c>
      <c r="M331" t="inlineStr">
        <is>
          <t>T100333</t>
        </is>
      </c>
    </row>
    <row r="332">
      <c r="A332" t="inlineStr">
        <is>
          <t>T100334</t>
        </is>
      </c>
      <c r="B332" t="inlineStr">
        <is>
          <t>2026-06-30</t>
        </is>
      </c>
      <c r="C332" t="inlineStr">
        <is>
          <t>12:47:44</t>
        </is>
      </c>
      <c r="D332" t="inlineStr">
        <is>
          <t>NIFTY-FUT</t>
        </is>
      </c>
      <c r="E332" t="inlineStr">
        <is>
          <t>Future</t>
        </is>
      </c>
      <c r="F332" t="inlineStr">
        <is>
          <t>SELL</t>
        </is>
      </c>
      <c r="G332" t="n">
        <v>25</v>
      </c>
      <c r="H332" t="n">
        <v>24790.33</v>
      </c>
      <c r="I332" t="n">
        <v>619758.25</v>
      </c>
      <c r="J332" t="n">
        <v>123.95</v>
      </c>
      <c r="K332" t="inlineStr">
        <is>
          <t>BSE</t>
        </is>
      </c>
      <c r="L332" t="inlineStr">
        <is>
          <t>QE-CLEARING</t>
        </is>
      </c>
      <c r="M332" t="inlineStr">
        <is>
          <t>T100334</t>
        </is>
      </c>
    </row>
    <row r="333">
      <c r="A333" t="inlineStr">
        <is>
          <t>T100335</t>
        </is>
      </c>
      <c r="B333" t="inlineStr">
        <is>
          <t>2026-06-30</t>
        </is>
      </c>
      <c r="C333" t="inlineStr">
        <is>
          <t>10:23:09</t>
        </is>
      </c>
      <c r="D333" t="inlineStr">
        <is>
          <t>BANKNIFTY-FUT</t>
        </is>
      </c>
      <c r="E333" t="inlineStr">
        <is>
          <t>Future</t>
        </is>
      </c>
      <c r="F333" t="inlineStr">
        <is>
          <t>BUY</t>
        </is>
      </c>
      <c r="G333" t="n">
        <v>60</v>
      </c>
      <c r="H333" t="n">
        <v>55246</v>
      </c>
      <c r="I333" t="n">
        <v>3314760</v>
      </c>
      <c r="J333" t="n">
        <v>662.95</v>
      </c>
      <c r="K333" t="inlineStr">
        <is>
          <t>NSE</t>
        </is>
      </c>
      <c r="L333" t="inlineStr">
        <is>
          <t>QE-CLEARING</t>
        </is>
      </c>
      <c r="M333" t="inlineStr">
        <is>
          <t>T100335</t>
        </is>
      </c>
    </row>
    <row r="334">
      <c r="A334" t="inlineStr">
        <is>
          <t>T100336</t>
        </is>
      </c>
      <c r="B334" t="inlineStr">
        <is>
          <t>2026-06-30</t>
        </is>
      </c>
      <c r="C334" t="inlineStr">
        <is>
          <t>15:36:39</t>
        </is>
      </c>
      <c r="D334" t="inlineStr">
        <is>
          <t>FINNIFTY-FUT</t>
        </is>
      </c>
      <c r="E334" t="inlineStr">
        <is>
          <t>Future</t>
        </is>
      </c>
      <c r="F334" t="inlineStr">
        <is>
          <t>SELL</t>
        </is>
      </c>
      <c r="G334" t="n">
        <v>80</v>
      </c>
      <c r="H334" t="n">
        <v>26182.84</v>
      </c>
      <c r="I334" t="n">
        <v>2094627.2</v>
      </c>
      <c r="J334" t="n">
        <v>418.93</v>
      </c>
      <c r="K334" t="inlineStr">
        <is>
          <t>BSE</t>
        </is>
      </c>
      <c r="L334" t="inlineStr">
        <is>
          <t>QE-CLEARING</t>
        </is>
      </c>
      <c r="M334" t="inlineStr">
        <is>
          <t>T100336</t>
        </is>
      </c>
    </row>
    <row r="335">
      <c r="A335" t="inlineStr">
        <is>
          <t>T100337</t>
        </is>
      </c>
      <c r="B335" t="inlineStr">
        <is>
          <t>2026-06-30</t>
        </is>
      </c>
      <c r="C335" t="inlineStr">
        <is>
          <t>11:23:04</t>
        </is>
      </c>
      <c r="D335" t="inlineStr">
        <is>
          <t>NIFTY-FUT</t>
        </is>
      </c>
      <c r="E335" t="inlineStr">
        <is>
          <t>Future</t>
        </is>
      </c>
      <c r="F335" t="inlineStr">
        <is>
          <t>BUY</t>
        </is>
      </c>
      <c r="G335" t="n">
        <v>200</v>
      </c>
      <c r="H335" t="n">
        <v>24842.35</v>
      </c>
      <c r="I335" t="n">
        <v>4968470</v>
      </c>
      <c r="J335" t="n">
        <v>993.6900000000001</v>
      </c>
      <c r="K335" t="inlineStr">
        <is>
          <t>BSE</t>
        </is>
      </c>
      <c r="L335" t="inlineStr">
        <is>
          <t>QE-CLEARING</t>
        </is>
      </c>
      <c r="M335" t="inlineStr">
        <is>
          <t>T100337</t>
        </is>
      </c>
    </row>
    <row r="336">
      <c r="A336" t="inlineStr">
        <is>
          <t>T100338</t>
        </is>
      </c>
      <c r="B336" t="inlineStr">
        <is>
          <t>2026-06-30</t>
        </is>
      </c>
      <c r="C336" t="inlineStr">
        <is>
          <t>14:24:17</t>
        </is>
      </c>
      <c r="D336" t="inlineStr">
        <is>
          <t>BANKNIFTY-FUT</t>
        </is>
      </c>
      <c r="E336" t="inlineStr">
        <is>
          <t>Future</t>
        </is>
      </c>
      <c r="F336" t="inlineStr">
        <is>
          <t>SELL</t>
        </is>
      </c>
      <c r="G336" t="n">
        <v>150</v>
      </c>
      <c r="H336" t="n">
        <v>55013.95</v>
      </c>
      <c r="I336" t="n">
        <v>8252092.5</v>
      </c>
      <c r="J336" t="n">
        <v>1650.42</v>
      </c>
      <c r="K336" t="inlineStr">
        <is>
          <t>BSE</t>
        </is>
      </c>
      <c r="L336" t="inlineStr">
        <is>
          <t>QE-CLEARING</t>
        </is>
      </c>
      <c r="M336" t="inlineStr">
        <is>
          <t>T100338</t>
        </is>
      </c>
    </row>
    <row r="337">
      <c r="A337" t="inlineStr">
        <is>
          <t>T100339</t>
        </is>
      </c>
      <c r="B337" t="inlineStr">
        <is>
          <t>2026-06-30</t>
        </is>
      </c>
      <c r="C337" t="inlineStr">
        <is>
          <t>12:16:21</t>
        </is>
      </c>
      <c r="D337" t="inlineStr">
        <is>
          <t>NIFTY-FUT</t>
        </is>
      </c>
      <c r="E337" t="inlineStr">
        <is>
          <t>Future</t>
        </is>
      </c>
      <c r="F337" t="inlineStr">
        <is>
          <t>BUY</t>
        </is>
      </c>
      <c r="G337" t="n">
        <v>25</v>
      </c>
      <c r="H337" t="n">
        <v>24870.31</v>
      </c>
      <c r="I337" t="n">
        <v>621757.75</v>
      </c>
      <c r="J337" t="n">
        <v>124.35</v>
      </c>
      <c r="K337" t="inlineStr">
        <is>
          <t>BSE</t>
        </is>
      </c>
      <c r="L337" t="inlineStr">
        <is>
          <t>QE-CLEARING</t>
        </is>
      </c>
      <c r="M337" t="inlineStr">
        <is>
          <t>T100339</t>
        </is>
      </c>
    </row>
    <row r="338">
      <c r="A338" t="inlineStr">
        <is>
          <t>T100340</t>
        </is>
      </c>
      <c r="B338" t="inlineStr">
        <is>
          <t>2026-06-30</t>
        </is>
      </c>
      <c r="C338" t="inlineStr">
        <is>
          <t>15:29:05</t>
        </is>
      </c>
      <c r="D338" t="inlineStr">
        <is>
          <t>BANKNIFTY-FUT</t>
        </is>
      </c>
      <c r="E338" t="inlineStr">
        <is>
          <t>Future</t>
        </is>
      </c>
      <c r="F338" t="inlineStr">
        <is>
          <t>SELL</t>
        </is>
      </c>
      <c r="G338" t="n">
        <v>60</v>
      </c>
      <c r="H338" t="n">
        <v>55334.4</v>
      </c>
      <c r="I338" t="n">
        <v>3320064</v>
      </c>
      <c r="J338" t="n">
        <v>664.01</v>
      </c>
      <c r="K338" t="inlineStr">
        <is>
          <t>BSE</t>
        </is>
      </c>
      <c r="L338" t="inlineStr">
        <is>
          <t>QE-CLEARING</t>
        </is>
      </c>
      <c r="M338" t="inlineStr">
        <is>
          <t>T100340</t>
        </is>
      </c>
    </row>
    <row r="339">
      <c r="A339" t="inlineStr">
        <is>
          <t>T100341</t>
        </is>
      </c>
      <c r="B339" t="inlineStr">
        <is>
          <t>2026-06-30</t>
        </is>
      </c>
      <c r="C339" t="inlineStr">
        <is>
          <t>15:41:35</t>
        </is>
      </c>
      <c r="D339" t="inlineStr">
        <is>
          <t>FINNIFTY-FUT</t>
        </is>
      </c>
      <c r="E339" t="inlineStr">
        <is>
          <t>Future</t>
        </is>
      </c>
      <c r="F339" t="inlineStr">
        <is>
          <t>SELL</t>
        </is>
      </c>
      <c r="G339" t="n">
        <v>80</v>
      </c>
      <c r="H339" t="n">
        <v>26170.88</v>
      </c>
      <c r="I339" t="n">
        <v>2093670.4</v>
      </c>
      <c r="J339" t="n">
        <v>418.73</v>
      </c>
      <c r="K339" t="inlineStr">
        <is>
          <t>BSE</t>
        </is>
      </c>
      <c r="L339" t="inlineStr">
        <is>
          <t>QE-CLEARING</t>
        </is>
      </c>
      <c r="M339" t="inlineStr">
        <is>
          <t>T100341</t>
        </is>
      </c>
    </row>
    <row r="340">
      <c r="A340" t="inlineStr">
        <is>
          <t>T100342</t>
        </is>
      </c>
      <c r="B340" t="inlineStr">
        <is>
          <t>2026-06-30</t>
        </is>
      </c>
      <c r="C340" t="inlineStr">
        <is>
          <t>14:12:13</t>
        </is>
      </c>
      <c r="D340" t="inlineStr">
        <is>
          <t>NIFTY-FUT</t>
        </is>
      </c>
      <c r="E340" t="inlineStr">
        <is>
          <t>Future</t>
        </is>
      </c>
      <c r="F340" t="inlineStr">
        <is>
          <t>BUY</t>
        </is>
      </c>
      <c r="G340" t="n">
        <v>100</v>
      </c>
      <c r="H340" t="n">
        <v>24815.59</v>
      </c>
      <c r="I340" t="n">
        <v>2481559</v>
      </c>
      <c r="J340" t="n">
        <v>496.31</v>
      </c>
      <c r="K340" t="inlineStr">
        <is>
          <t>BSE</t>
        </is>
      </c>
      <c r="L340" t="inlineStr">
        <is>
          <t>QE-CLEARING</t>
        </is>
      </c>
      <c r="M340" t="inlineStr">
        <is>
          <t>T100342</t>
        </is>
      </c>
    </row>
    <row r="341">
      <c r="A341" t="inlineStr">
        <is>
          <t>T100343</t>
        </is>
      </c>
      <c r="B341" t="inlineStr">
        <is>
          <t>2026-06-30</t>
        </is>
      </c>
      <c r="C341" t="inlineStr">
        <is>
          <t>10:11:59</t>
        </is>
      </c>
      <c r="D341" t="inlineStr">
        <is>
          <t>FINNIFTY-FUT</t>
        </is>
      </c>
      <c r="E341" t="inlineStr">
        <is>
          <t>Future</t>
        </is>
      </c>
      <c r="F341" t="inlineStr">
        <is>
          <t>SELL</t>
        </is>
      </c>
      <c r="G341" t="n">
        <v>160</v>
      </c>
      <c r="H341" t="n">
        <v>26179.34</v>
      </c>
      <c r="I341" t="n">
        <v>4188694.4</v>
      </c>
      <c r="J341" t="n">
        <v>837.74</v>
      </c>
      <c r="K341" t="inlineStr">
        <is>
          <t>BSE</t>
        </is>
      </c>
      <c r="L341" t="inlineStr">
        <is>
          <t>QE-CLEARING</t>
        </is>
      </c>
      <c r="M341" t="inlineStr">
        <is>
          <t>T100343</t>
        </is>
      </c>
    </row>
    <row r="342">
      <c r="A342" t="inlineStr">
        <is>
          <t>T100344</t>
        </is>
      </c>
      <c r="B342" t="inlineStr">
        <is>
          <t>2026-06-30</t>
        </is>
      </c>
      <c r="C342" t="inlineStr">
        <is>
          <t>12:31:01</t>
        </is>
      </c>
      <c r="D342" t="inlineStr">
        <is>
          <t>FINNIFTY-FUT</t>
        </is>
      </c>
      <c r="E342" t="inlineStr">
        <is>
          <t>Future</t>
        </is>
      </c>
      <c r="F342" t="inlineStr">
        <is>
          <t>BUY</t>
        </is>
      </c>
      <c r="G342" t="n">
        <v>400</v>
      </c>
      <c r="H342" t="n">
        <v>26153.63</v>
      </c>
      <c r="I342" t="n">
        <v>10461452</v>
      </c>
      <c r="J342" t="n">
        <v>2092.29</v>
      </c>
      <c r="K342" t="inlineStr">
        <is>
          <t>NSE</t>
        </is>
      </c>
      <c r="L342" t="inlineStr">
        <is>
          <t>QE-CLEARING</t>
        </is>
      </c>
      <c r="M342" t="inlineStr">
        <is>
          <t>T100344</t>
        </is>
      </c>
    </row>
    <row r="343">
      <c r="A343" t="inlineStr">
        <is>
          <t>T100345</t>
        </is>
      </c>
      <c r="B343" t="inlineStr">
        <is>
          <t>2026-06-30</t>
        </is>
      </c>
      <c r="C343" t="inlineStr">
        <is>
          <t>12:16:40</t>
        </is>
      </c>
      <c r="D343" t="inlineStr">
        <is>
          <t>NIFTY-FUT</t>
        </is>
      </c>
      <c r="E343" t="inlineStr">
        <is>
          <t>Future</t>
        </is>
      </c>
      <c r="F343" t="inlineStr">
        <is>
          <t>BUY</t>
        </is>
      </c>
      <c r="G343" t="n">
        <v>125</v>
      </c>
      <c r="H343" t="n">
        <v>24878.63</v>
      </c>
      <c r="I343" t="n">
        <v>3109828.75</v>
      </c>
      <c r="J343" t="n">
        <v>621.97</v>
      </c>
      <c r="K343" t="inlineStr">
        <is>
          <t>BSE</t>
        </is>
      </c>
      <c r="L343" t="inlineStr">
        <is>
          <t>QE-CLEARING</t>
        </is>
      </c>
      <c r="M343" t="inlineStr">
        <is>
          <t>T100345</t>
        </is>
      </c>
    </row>
    <row r="344">
      <c r="A344" t="inlineStr">
        <is>
          <t>T100346</t>
        </is>
      </c>
      <c r="B344" t="inlineStr">
        <is>
          <t>2026-06-30</t>
        </is>
      </c>
      <c r="C344" t="inlineStr">
        <is>
          <t>12:42:38</t>
        </is>
      </c>
      <c r="D344" t="inlineStr">
        <is>
          <t>BANKNIFTY-FUT</t>
        </is>
      </c>
      <c r="E344" t="inlineStr">
        <is>
          <t>Future</t>
        </is>
      </c>
      <c r="F344" t="inlineStr">
        <is>
          <t>BUY</t>
        </is>
      </c>
      <c r="G344" t="n">
        <v>15</v>
      </c>
      <c r="H344" t="n">
        <v>55402.7</v>
      </c>
      <c r="I344" t="n">
        <v>831040.5</v>
      </c>
      <c r="J344" t="n">
        <v>166.21</v>
      </c>
      <c r="K344" t="inlineStr">
        <is>
          <t>NSE</t>
        </is>
      </c>
      <c r="L344" t="inlineStr">
        <is>
          <t>QE-CLEARING</t>
        </is>
      </c>
      <c r="M344" t="inlineStr">
        <is>
          <t>T100346</t>
        </is>
      </c>
    </row>
    <row r="345">
      <c r="A345" t="inlineStr">
        <is>
          <t>T100347</t>
        </is>
      </c>
      <c r="B345" t="inlineStr">
        <is>
          <t>2026-06-30</t>
        </is>
      </c>
      <c r="C345" t="inlineStr">
        <is>
          <t>13:20:41</t>
        </is>
      </c>
      <c r="D345" t="inlineStr">
        <is>
          <t>BANKNIFTY-FUT</t>
        </is>
      </c>
      <c r="E345" t="inlineStr">
        <is>
          <t>Future</t>
        </is>
      </c>
      <c r="F345" t="inlineStr">
        <is>
          <t>BUY</t>
        </is>
      </c>
      <c r="G345" t="n">
        <v>120</v>
      </c>
      <c r="H345" t="n">
        <v>54997.32</v>
      </c>
      <c r="I345" t="n">
        <v>6599678.4</v>
      </c>
      <c r="J345" t="n">
        <v>1319.94</v>
      </c>
      <c r="K345" t="inlineStr">
        <is>
          <t>NSE</t>
        </is>
      </c>
      <c r="L345" t="inlineStr">
        <is>
          <t>QE-CLEARING</t>
        </is>
      </c>
      <c r="M345" t="inlineStr">
        <is>
          <t>T100347</t>
        </is>
      </c>
    </row>
    <row r="346">
      <c r="A346" t="inlineStr">
        <is>
          <t>T100348</t>
        </is>
      </c>
      <c r="B346" t="inlineStr">
        <is>
          <t>2026-06-30</t>
        </is>
      </c>
      <c r="C346" t="inlineStr">
        <is>
          <t>11:52:49</t>
        </is>
      </c>
      <c r="D346" t="inlineStr">
        <is>
          <t>BANKNIFTY-FUT</t>
        </is>
      </c>
      <c r="E346" t="inlineStr">
        <is>
          <t>Future</t>
        </is>
      </c>
      <c r="F346" t="inlineStr">
        <is>
          <t>BUY</t>
        </is>
      </c>
      <c r="G346" t="n">
        <v>150</v>
      </c>
      <c r="H346" t="n">
        <v>55243.12</v>
      </c>
      <c r="I346" t="n">
        <v>8286468</v>
      </c>
      <c r="J346" t="n">
        <v>1657.29</v>
      </c>
      <c r="K346" t="inlineStr">
        <is>
          <t>NSE</t>
        </is>
      </c>
      <c r="L346" t="inlineStr">
        <is>
          <t>QE-CLEARING</t>
        </is>
      </c>
      <c r="M346" t="inlineStr">
        <is>
          <t>T100348</t>
        </is>
      </c>
    </row>
    <row r="347">
      <c r="A347" t="inlineStr">
        <is>
          <t>T100349</t>
        </is>
      </c>
      <c r="B347" t="inlineStr">
        <is>
          <t>2026-06-30</t>
        </is>
      </c>
      <c r="C347" t="inlineStr">
        <is>
          <t>10:27:31</t>
        </is>
      </c>
      <c r="D347" t="inlineStr">
        <is>
          <t>BANKNIFTY-FUT</t>
        </is>
      </c>
      <c r="E347" t="inlineStr">
        <is>
          <t>Future</t>
        </is>
      </c>
      <c r="F347" t="inlineStr">
        <is>
          <t>BUY</t>
        </is>
      </c>
      <c r="G347" t="n">
        <v>150</v>
      </c>
      <c r="H347" t="n">
        <v>54986.04</v>
      </c>
      <c r="I347" t="n">
        <v>8247906</v>
      </c>
      <c r="J347" t="n">
        <v>1649.58</v>
      </c>
      <c r="K347" t="inlineStr">
        <is>
          <t>NSE</t>
        </is>
      </c>
      <c r="L347" t="inlineStr">
        <is>
          <t>QE-CLEARING</t>
        </is>
      </c>
      <c r="M347" t="inlineStr">
        <is>
          <t>T100349</t>
        </is>
      </c>
    </row>
    <row r="348">
      <c r="A348" t="inlineStr">
        <is>
          <t>T100350</t>
        </is>
      </c>
      <c r="B348" t="inlineStr">
        <is>
          <t>2026-06-30</t>
        </is>
      </c>
      <c r="C348" t="inlineStr">
        <is>
          <t>11:51:32</t>
        </is>
      </c>
      <c r="D348" t="inlineStr">
        <is>
          <t>NIFTY-FUT</t>
        </is>
      </c>
      <c r="E348" t="inlineStr">
        <is>
          <t>Future</t>
        </is>
      </c>
      <c r="F348" t="inlineStr">
        <is>
          <t>SELL</t>
        </is>
      </c>
      <c r="G348" t="n">
        <v>75</v>
      </c>
      <c r="H348" t="n">
        <v>24764.8</v>
      </c>
      <c r="I348" t="n">
        <v>1857360</v>
      </c>
      <c r="J348" t="n">
        <v>371.47</v>
      </c>
      <c r="K348" t="inlineStr">
        <is>
          <t>NSE</t>
        </is>
      </c>
      <c r="L348" t="inlineStr">
        <is>
          <t>QE-CLEARING</t>
        </is>
      </c>
      <c r="M348" t="inlineStr">
        <is>
          <t>T100350</t>
        </is>
      </c>
    </row>
    <row r="349">
      <c r="A349" t="inlineStr">
        <is>
          <t>T100351</t>
        </is>
      </c>
      <c r="B349" t="inlineStr">
        <is>
          <t>2026-06-30</t>
        </is>
      </c>
      <c r="C349" t="inlineStr">
        <is>
          <t>14:19:48</t>
        </is>
      </c>
      <c r="D349" t="inlineStr">
        <is>
          <t>FINNIFTY-FUT</t>
        </is>
      </c>
      <c r="E349" t="inlineStr">
        <is>
          <t>Future</t>
        </is>
      </c>
      <c r="F349" t="inlineStr">
        <is>
          <t>BUY</t>
        </is>
      </c>
      <c r="G349" t="n">
        <v>200</v>
      </c>
      <c r="H349" t="n">
        <v>26177.06</v>
      </c>
      <c r="I349" t="n">
        <v>5235412</v>
      </c>
      <c r="J349" t="n">
        <v>1047.08</v>
      </c>
      <c r="K349" t="inlineStr">
        <is>
          <t>NSE</t>
        </is>
      </c>
      <c r="L349" t="inlineStr">
        <is>
          <t>QE-CLEARING</t>
        </is>
      </c>
      <c r="M349" t="inlineStr">
        <is>
          <t>T100351</t>
        </is>
      </c>
    </row>
    <row r="350">
      <c r="A350" t="inlineStr">
        <is>
          <t>T100352</t>
        </is>
      </c>
      <c r="B350" t="inlineStr">
        <is>
          <t>2026-06-30</t>
        </is>
      </c>
      <c r="C350" t="inlineStr">
        <is>
          <t>10:18:50</t>
        </is>
      </c>
      <c r="D350" t="inlineStr">
        <is>
          <t>BANKNIFTY-FUT</t>
        </is>
      </c>
      <c r="E350" t="inlineStr">
        <is>
          <t>Future</t>
        </is>
      </c>
      <c r="F350" t="inlineStr">
        <is>
          <t>SELL</t>
        </is>
      </c>
      <c r="G350" t="n">
        <v>30</v>
      </c>
      <c r="H350" t="n">
        <v>55195.15</v>
      </c>
      <c r="I350" t="n">
        <v>1655854.5</v>
      </c>
      <c r="J350" t="n">
        <v>331.17</v>
      </c>
      <c r="K350" t="inlineStr">
        <is>
          <t>NSE</t>
        </is>
      </c>
      <c r="L350" t="inlineStr">
        <is>
          <t>QE-CLEARING</t>
        </is>
      </c>
      <c r="M350" t="inlineStr">
        <is>
          <t>T100352</t>
        </is>
      </c>
    </row>
    <row r="351">
      <c r="A351" t="inlineStr">
        <is>
          <t>T100353</t>
        </is>
      </c>
      <c r="B351" t="inlineStr">
        <is>
          <t>2026-06-30</t>
        </is>
      </c>
      <c r="C351" t="inlineStr">
        <is>
          <t>11:54:04</t>
        </is>
      </c>
      <c r="D351" t="inlineStr">
        <is>
          <t>BANKNIFTY-FUT</t>
        </is>
      </c>
      <c r="E351" t="inlineStr">
        <is>
          <t>Future</t>
        </is>
      </c>
      <c r="F351" t="inlineStr">
        <is>
          <t>BUY</t>
        </is>
      </c>
      <c r="G351" t="n">
        <v>150</v>
      </c>
      <c r="H351" t="n">
        <v>55340.39</v>
      </c>
      <c r="I351" t="n">
        <v>8301058.5</v>
      </c>
      <c r="J351" t="n">
        <v>1660.21</v>
      </c>
      <c r="K351" t="inlineStr">
        <is>
          <t>NSE</t>
        </is>
      </c>
      <c r="L351" t="inlineStr">
        <is>
          <t>QE-CLEARING</t>
        </is>
      </c>
      <c r="M351" t="inlineStr">
        <is>
          <t>T100353</t>
        </is>
      </c>
    </row>
    <row r="352">
      <c r="A352" t="inlineStr">
        <is>
          <t>T100354</t>
        </is>
      </c>
      <c r="B352" t="inlineStr">
        <is>
          <t>2026-06-30</t>
        </is>
      </c>
      <c r="C352" t="inlineStr">
        <is>
          <t>13:57:00</t>
        </is>
      </c>
      <c r="D352" t="inlineStr">
        <is>
          <t>FINNIFTY-FUT</t>
        </is>
      </c>
      <c r="E352" t="inlineStr">
        <is>
          <t>Future</t>
        </is>
      </c>
      <c r="F352" t="inlineStr">
        <is>
          <t>SELL</t>
        </is>
      </c>
      <c r="G352" t="n">
        <v>200</v>
      </c>
      <c r="H352" t="n">
        <v>26105.14</v>
      </c>
      <c r="I352" t="n">
        <v>5221028</v>
      </c>
      <c r="J352" t="n">
        <v>1044.21</v>
      </c>
      <c r="K352" t="inlineStr">
        <is>
          <t>BSE</t>
        </is>
      </c>
      <c r="L352" t="inlineStr">
        <is>
          <t>QE-CLEARING</t>
        </is>
      </c>
      <c r="M352" t="inlineStr">
        <is>
          <t>T100354</t>
        </is>
      </c>
    </row>
    <row r="353">
      <c r="A353" t="inlineStr">
        <is>
          <t>T100355</t>
        </is>
      </c>
      <c r="B353" t="inlineStr">
        <is>
          <t>2026-06-30</t>
        </is>
      </c>
      <c r="C353" t="inlineStr">
        <is>
          <t>11:25:42</t>
        </is>
      </c>
      <c r="D353" t="inlineStr">
        <is>
          <t>BANKNIFTY-FUT</t>
        </is>
      </c>
      <c r="E353" t="inlineStr">
        <is>
          <t>Future</t>
        </is>
      </c>
      <c r="F353" t="inlineStr">
        <is>
          <t>SELL</t>
        </is>
      </c>
      <c r="G353" t="n">
        <v>150</v>
      </c>
      <c r="H353" t="n">
        <v>55345.07</v>
      </c>
      <c r="I353" t="n">
        <v>8301760.5</v>
      </c>
      <c r="J353" t="n">
        <v>1660.35</v>
      </c>
      <c r="K353" t="inlineStr">
        <is>
          <t>NSE</t>
        </is>
      </c>
      <c r="L353" t="inlineStr">
        <is>
          <t>QE-CLEARING</t>
        </is>
      </c>
      <c r="M353" t="inlineStr">
        <is>
          <t>T100355</t>
        </is>
      </c>
    </row>
    <row r="354">
      <c r="A354" t="inlineStr">
        <is>
          <t>T100356</t>
        </is>
      </c>
      <c r="B354" t="inlineStr">
        <is>
          <t>2026-06-30</t>
        </is>
      </c>
      <c r="C354" t="inlineStr">
        <is>
          <t>09:46:23</t>
        </is>
      </c>
      <c r="D354" t="inlineStr">
        <is>
          <t>FINNIFTY-FUT</t>
        </is>
      </c>
      <c r="E354" t="inlineStr">
        <is>
          <t>Future</t>
        </is>
      </c>
      <c r="F354" t="inlineStr">
        <is>
          <t>BUY</t>
        </is>
      </c>
      <c r="G354" t="n">
        <v>80</v>
      </c>
      <c r="H354" t="n">
        <v>26094.32</v>
      </c>
      <c r="I354" t="n">
        <v>2087545.6</v>
      </c>
      <c r="J354" t="n">
        <v>417.51</v>
      </c>
      <c r="K354" t="inlineStr">
        <is>
          <t>BSE</t>
        </is>
      </c>
      <c r="L354" t="inlineStr">
        <is>
          <t>QE-CLEARING</t>
        </is>
      </c>
      <c r="M354" t="inlineStr">
        <is>
          <t>T100356</t>
        </is>
      </c>
    </row>
    <row r="355">
      <c r="A355" t="inlineStr">
        <is>
          <t>T100357</t>
        </is>
      </c>
      <c r="B355" t="inlineStr">
        <is>
          <t>2026-06-30</t>
        </is>
      </c>
      <c r="C355" t="inlineStr">
        <is>
          <t>12:42:32</t>
        </is>
      </c>
      <c r="D355" t="inlineStr">
        <is>
          <t>FINNIFTY-FUT</t>
        </is>
      </c>
      <c r="E355" t="inlineStr">
        <is>
          <t>Future</t>
        </is>
      </c>
      <c r="F355" t="inlineStr">
        <is>
          <t>BUY</t>
        </is>
      </c>
      <c r="G355" t="n">
        <v>160</v>
      </c>
      <c r="H355" t="n">
        <v>26082.94</v>
      </c>
      <c r="I355" t="n">
        <v>4173270.4</v>
      </c>
      <c r="J355" t="n">
        <v>834.65</v>
      </c>
      <c r="K355" t="inlineStr">
        <is>
          <t>BSE</t>
        </is>
      </c>
      <c r="L355" t="inlineStr">
        <is>
          <t>QE-CLEARING</t>
        </is>
      </c>
      <c r="M355" t="inlineStr">
        <is>
          <t>T100357</t>
        </is>
      </c>
    </row>
    <row r="356">
      <c r="A356" t="inlineStr">
        <is>
          <t>T100358</t>
        </is>
      </c>
      <c r="B356" t="inlineStr">
        <is>
          <t>2026-06-30</t>
        </is>
      </c>
      <c r="C356" t="inlineStr">
        <is>
          <t>14:41:49</t>
        </is>
      </c>
      <c r="D356" t="inlineStr">
        <is>
          <t>BANKNIFTY-FUT</t>
        </is>
      </c>
      <c r="E356" t="inlineStr">
        <is>
          <t>Future</t>
        </is>
      </c>
      <c r="F356" t="inlineStr">
        <is>
          <t>SELL</t>
        </is>
      </c>
      <c r="G356" t="n">
        <v>75</v>
      </c>
      <c r="H356" t="n">
        <v>55008.24</v>
      </c>
      <c r="I356" t="n">
        <v>4125618</v>
      </c>
      <c r="J356" t="n">
        <v>825.12</v>
      </c>
      <c r="K356" t="inlineStr">
        <is>
          <t>BSE</t>
        </is>
      </c>
      <c r="L356" t="inlineStr">
        <is>
          <t>QE-CLEARING</t>
        </is>
      </c>
      <c r="M356" t="inlineStr">
        <is>
          <t>T100358</t>
        </is>
      </c>
    </row>
    <row r="357">
      <c r="A357" t="inlineStr">
        <is>
          <t>T100359</t>
        </is>
      </c>
      <c r="B357" t="inlineStr">
        <is>
          <t>2026-06-30</t>
        </is>
      </c>
      <c r="C357" t="inlineStr">
        <is>
          <t>14:21:45</t>
        </is>
      </c>
      <c r="D357" t="inlineStr">
        <is>
          <t>NIFTY-FUT</t>
        </is>
      </c>
      <c r="E357" t="inlineStr">
        <is>
          <t>Future</t>
        </is>
      </c>
      <c r="F357" t="inlineStr">
        <is>
          <t>BUY</t>
        </is>
      </c>
      <c r="G357" t="n">
        <v>75</v>
      </c>
      <c r="H357" t="n">
        <v>24834.37</v>
      </c>
      <c r="I357" t="n">
        <v>1862577.75</v>
      </c>
      <c r="J357" t="n">
        <v>372.52</v>
      </c>
      <c r="K357" t="inlineStr">
        <is>
          <t>BSE</t>
        </is>
      </c>
      <c r="L357" t="inlineStr">
        <is>
          <t>QE-CLEARING</t>
        </is>
      </c>
      <c r="M357" t="inlineStr">
        <is>
          <t>T100359</t>
        </is>
      </c>
    </row>
    <row r="358">
      <c r="A358" t="inlineStr">
        <is>
          <t>T100360</t>
        </is>
      </c>
      <c r="B358" t="inlineStr">
        <is>
          <t>2026-06-30</t>
        </is>
      </c>
      <c r="C358" t="inlineStr">
        <is>
          <t>14:41:12</t>
        </is>
      </c>
      <c r="D358" t="inlineStr">
        <is>
          <t>NIFTY-FUT</t>
        </is>
      </c>
      <c r="E358" t="inlineStr">
        <is>
          <t>Future</t>
        </is>
      </c>
      <c r="F358" t="inlineStr">
        <is>
          <t>SELL</t>
        </is>
      </c>
      <c r="G358" t="n">
        <v>25</v>
      </c>
      <c r="H358" t="n">
        <v>24928.32</v>
      </c>
      <c r="I358" t="n">
        <v>623208</v>
      </c>
      <c r="J358" t="n">
        <v>124.64</v>
      </c>
      <c r="K358" t="inlineStr">
        <is>
          <t>BSE</t>
        </is>
      </c>
      <c r="L358" t="inlineStr">
        <is>
          <t>QE-CLEARING</t>
        </is>
      </c>
      <c r="M358" t="inlineStr">
        <is>
          <t>T100360</t>
        </is>
      </c>
    </row>
    <row r="359">
      <c r="A359" t="inlineStr">
        <is>
          <t>T100361</t>
        </is>
      </c>
      <c r="B359" t="inlineStr">
        <is>
          <t>2026-06-30</t>
        </is>
      </c>
      <c r="C359" t="inlineStr">
        <is>
          <t>14:13:45</t>
        </is>
      </c>
      <c r="D359" t="inlineStr">
        <is>
          <t>BANKNIFTY-FUT</t>
        </is>
      </c>
      <c r="E359" t="inlineStr">
        <is>
          <t>Future</t>
        </is>
      </c>
      <c r="F359" t="inlineStr">
        <is>
          <t>SELL</t>
        </is>
      </c>
      <c r="G359" t="n">
        <v>150</v>
      </c>
      <c r="H359" t="n">
        <v>55120.29</v>
      </c>
      <c r="I359" t="n">
        <v>8268043.5</v>
      </c>
      <c r="J359" t="n">
        <v>1653.61</v>
      </c>
      <c r="K359" t="inlineStr">
        <is>
          <t>NSE</t>
        </is>
      </c>
      <c r="L359" t="inlineStr">
        <is>
          <t>QE-CLEARING</t>
        </is>
      </c>
      <c r="M359" t="inlineStr">
        <is>
          <t>T100361</t>
        </is>
      </c>
    </row>
    <row r="360">
      <c r="A360" t="inlineStr">
        <is>
          <t>T100362</t>
        </is>
      </c>
      <c r="B360" t="inlineStr">
        <is>
          <t>2026-06-30</t>
        </is>
      </c>
      <c r="C360" t="inlineStr">
        <is>
          <t>15:41:56</t>
        </is>
      </c>
      <c r="D360" t="inlineStr">
        <is>
          <t>NIFTY-FUT</t>
        </is>
      </c>
      <c r="E360" t="inlineStr">
        <is>
          <t>Future</t>
        </is>
      </c>
      <c r="F360" t="inlineStr">
        <is>
          <t>BUY</t>
        </is>
      </c>
      <c r="G360" t="n">
        <v>25</v>
      </c>
      <c r="H360" t="n">
        <v>24911.91</v>
      </c>
      <c r="I360" t="n">
        <v>622797.75</v>
      </c>
      <c r="J360" t="n">
        <v>124.56</v>
      </c>
      <c r="K360" t="inlineStr">
        <is>
          <t>NSE</t>
        </is>
      </c>
      <c r="L360" t="inlineStr">
        <is>
          <t>QE-CLEARING</t>
        </is>
      </c>
      <c r="M360" t="inlineStr">
        <is>
          <t>T100362</t>
        </is>
      </c>
    </row>
    <row r="361">
      <c r="A361" t="inlineStr">
        <is>
          <t>T100363</t>
        </is>
      </c>
      <c r="B361" t="inlineStr">
        <is>
          <t>2026-06-30</t>
        </is>
      </c>
      <c r="C361" t="inlineStr">
        <is>
          <t>14:28:01</t>
        </is>
      </c>
      <c r="D361" t="inlineStr">
        <is>
          <t>BANKNIFTY-FUT</t>
        </is>
      </c>
      <c r="E361" t="inlineStr">
        <is>
          <t>Future</t>
        </is>
      </c>
      <c r="F361" t="inlineStr">
        <is>
          <t>SELL</t>
        </is>
      </c>
      <c r="G361" t="n">
        <v>45</v>
      </c>
      <c r="H361" t="n">
        <v>55112.79</v>
      </c>
      <c r="I361" t="n">
        <v>2480075.55</v>
      </c>
      <c r="J361" t="n">
        <v>496.02</v>
      </c>
      <c r="K361" t="inlineStr">
        <is>
          <t>BSE</t>
        </is>
      </c>
      <c r="L361" t="inlineStr">
        <is>
          <t>QE-CLEARING</t>
        </is>
      </c>
      <c r="M361" t="inlineStr">
        <is>
          <t>T100363</t>
        </is>
      </c>
    </row>
    <row r="362">
      <c r="A362" t="inlineStr">
        <is>
          <t>T100364</t>
        </is>
      </c>
      <c r="B362" t="inlineStr">
        <is>
          <t>2026-06-30</t>
        </is>
      </c>
      <c r="C362" t="inlineStr">
        <is>
          <t>11:53:57</t>
        </is>
      </c>
      <c r="D362" t="inlineStr">
        <is>
          <t>FINNIFTY-FUT</t>
        </is>
      </c>
      <c r="E362" t="inlineStr">
        <is>
          <t>Future</t>
        </is>
      </c>
      <c r="F362" t="inlineStr">
        <is>
          <t>SELL</t>
        </is>
      </c>
      <c r="G362" t="n">
        <v>40</v>
      </c>
      <c r="H362" t="n">
        <v>26090.89</v>
      </c>
      <c r="I362" t="n">
        <v>1043635.6</v>
      </c>
      <c r="J362" t="n">
        <v>208.73</v>
      </c>
      <c r="K362" t="inlineStr">
        <is>
          <t>NSE</t>
        </is>
      </c>
      <c r="L362" t="inlineStr">
        <is>
          <t>QE-CLEARING</t>
        </is>
      </c>
      <c r="M362" t="inlineStr">
        <is>
          <t>T100364</t>
        </is>
      </c>
    </row>
    <row r="363">
      <c r="A363" t="inlineStr">
        <is>
          <t>T100365</t>
        </is>
      </c>
      <c r="B363" t="inlineStr">
        <is>
          <t>2026-06-30</t>
        </is>
      </c>
      <c r="C363" t="inlineStr">
        <is>
          <t>11:20:48</t>
        </is>
      </c>
      <c r="D363" t="inlineStr">
        <is>
          <t>BANKNIFTY-FUT</t>
        </is>
      </c>
      <c r="E363" t="inlineStr">
        <is>
          <t>Future</t>
        </is>
      </c>
      <c r="F363" t="inlineStr">
        <is>
          <t>SELL</t>
        </is>
      </c>
      <c r="G363" t="n">
        <v>60</v>
      </c>
      <c r="H363" t="n">
        <v>55018.17</v>
      </c>
      <c r="I363" t="n">
        <v>3301090.2</v>
      </c>
      <c r="J363" t="n">
        <v>660.22</v>
      </c>
      <c r="K363" t="inlineStr">
        <is>
          <t>NSE</t>
        </is>
      </c>
      <c r="L363" t="inlineStr">
        <is>
          <t>QE-CLEARING</t>
        </is>
      </c>
      <c r="M363" t="inlineStr">
        <is>
          <t>T100365</t>
        </is>
      </c>
    </row>
    <row r="364">
      <c r="A364" t="inlineStr">
        <is>
          <t>T100366</t>
        </is>
      </c>
      <c r="B364" t="inlineStr">
        <is>
          <t>2026-06-30</t>
        </is>
      </c>
      <c r="C364" t="inlineStr">
        <is>
          <t>13:37:24</t>
        </is>
      </c>
      <c r="D364" t="inlineStr">
        <is>
          <t>BANKNIFTY-FUT</t>
        </is>
      </c>
      <c r="E364" t="inlineStr">
        <is>
          <t>Future</t>
        </is>
      </c>
      <c r="F364" t="inlineStr">
        <is>
          <t>BUY</t>
        </is>
      </c>
      <c r="G364" t="n">
        <v>60</v>
      </c>
      <c r="H364" t="n">
        <v>55141.76</v>
      </c>
      <c r="I364" t="n">
        <v>3308505.6</v>
      </c>
      <c r="J364" t="n">
        <v>661.7</v>
      </c>
      <c r="K364" t="inlineStr">
        <is>
          <t>NSE</t>
        </is>
      </c>
      <c r="L364" t="inlineStr">
        <is>
          <t>QE-CLEARING</t>
        </is>
      </c>
      <c r="M364" t="inlineStr">
        <is>
          <t>T100366</t>
        </is>
      </c>
    </row>
    <row r="365">
      <c r="A365" t="inlineStr">
        <is>
          <t>T100367</t>
        </is>
      </c>
      <c r="B365" t="inlineStr">
        <is>
          <t>2026-06-30</t>
        </is>
      </c>
      <c r="C365" t="inlineStr">
        <is>
          <t>15:21:06</t>
        </is>
      </c>
      <c r="D365" t="inlineStr">
        <is>
          <t>NIFTY-FUT</t>
        </is>
      </c>
      <c r="E365" t="inlineStr">
        <is>
          <t>Future</t>
        </is>
      </c>
      <c r="F365" t="inlineStr">
        <is>
          <t>SELL</t>
        </is>
      </c>
      <c r="G365" t="n">
        <v>100</v>
      </c>
      <c r="H365" t="n">
        <v>24796.13</v>
      </c>
      <c r="I365" t="n">
        <v>2479613</v>
      </c>
      <c r="J365" t="n">
        <v>495.92</v>
      </c>
      <c r="K365" t="inlineStr">
        <is>
          <t>BSE</t>
        </is>
      </c>
      <c r="L365" t="inlineStr">
        <is>
          <t>QE-CLEARING</t>
        </is>
      </c>
      <c r="M365" t="inlineStr">
        <is>
          <t>T100367</t>
        </is>
      </c>
    </row>
    <row r="366">
      <c r="A366" t="inlineStr">
        <is>
          <t>T100368</t>
        </is>
      </c>
      <c r="B366" t="inlineStr">
        <is>
          <t>2026-06-30</t>
        </is>
      </c>
      <c r="C366" t="inlineStr">
        <is>
          <t>10:45:06</t>
        </is>
      </c>
      <c r="D366" t="inlineStr">
        <is>
          <t>BANKNIFTY-FUT</t>
        </is>
      </c>
      <c r="E366" t="inlineStr">
        <is>
          <t>Future</t>
        </is>
      </c>
      <c r="F366" t="inlineStr">
        <is>
          <t>BUY</t>
        </is>
      </c>
      <c r="G366" t="n">
        <v>75</v>
      </c>
      <c r="H366" t="n">
        <v>54993.36</v>
      </c>
      <c r="I366" t="n">
        <v>4124502</v>
      </c>
      <c r="J366" t="n">
        <v>824.9</v>
      </c>
      <c r="K366" t="inlineStr">
        <is>
          <t>BSE</t>
        </is>
      </c>
      <c r="L366" t="inlineStr">
        <is>
          <t>QE-CLEARING</t>
        </is>
      </c>
      <c r="M366" t="inlineStr">
        <is>
          <t>T100368</t>
        </is>
      </c>
    </row>
    <row r="367">
      <c r="A367" t="inlineStr">
        <is>
          <t>T100369</t>
        </is>
      </c>
      <c r="B367" t="inlineStr">
        <is>
          <t>2026-06-30</t>
        </is>
      </c>
      <c r="C367" t="inlineStr">
        <is>
          <t>15:28:31</t>
        </is>
      </c>
      <c r="D367" t="inlineStr">
        <is>
          <t>NIFTY-FUT</t>
        </is>
      </c>
      <c r="E367" t="inlineStr">
        <is>
          <t>Future</t>
        </is>
      </c>
      <c r="F367" t="inlineStr">
        <is>
          <t>BUY</t>
        </is>
      </c>
      <c r="G367" t="n">
        <v>250</v>
      </c>
      <c r="H367" t="n">
        <v>24773.2</v>
      </c>
      <c r="I367" t="n">
        <v>6193300</v>
      </c>
      <c r="J367" t="n">
        <v>1238.66</v>
      </c>
      <c r="K367" t="inlineStr">
        <is>
          <t>BSE</t>
        </is>
      </c>
      <c r="L367" t="inlineStr">
        <is>
          <t>QE-CLEARING</t>
        </is>
      </c>
      <c r="M367" t="inlineStr">
        <is>
          <t>T100369</t>
        </is>
      </c>
    </row>
    <row r="368">
      <c r="A368" t="inlineStr">
        <is>
          <t>T100370</t>
        </is>
      </c>
      <c r="B368" t="inlineStr">
        <is>
          <t>2026-06-30</t>
        </is>
      </c>
      <c r="C368" t="inlineStr">
        <is>
          <t>09:00:28</t>
        </is>
      </c>
      <c r="D368" t="inlineStr">
        <is>
          <t>NIFTY-FUT</t>
        </is>
      </c>
      <c r="E368" t="inlineStr">
        <is>
          <t>Future</t>
        </is>
      </c>
      <c r="F368" t="inlineStr">
        <is>
          <t>BUY</t>
        </is>
      </c>
      <c r="G368" t="n">
        <v>250</v>
      </c>
      <c r="H368" t="n">
        <v>24905.22</v>
      </c>
      <c r="I368" t="n">
        <v>6226305</v>
      </c>
      <c r="J368" t="n">
        <v>1245.26</v>
      </c>
      <c r="K368" t="inlineStr">
        <is>
          <t>BSE</t>
        </is>
      </c>
      <c r="L368" t="inlineStr">
        <is>
          <t>QE-CLEARING</t>
        </is>
      </c>
      <c r="M368" t="inlineStr">
        <is>
          <t>T100370</t>
        </is>
      </c>
    </row>
    <row r="369">
      <c r="A369" t="inlineStr">
        <is>
          <t>T100371</t>
        </is>
      </c>
      <c r="B369" t="inlineStr">
        <is>
          <t>2026-06-30</t>
        </is>
      </c>
      <c r="C369" t="inlineStr">
        <is>
          <t>13:53:00</t>
        </is>
      </c>
      <c r="D369" t="inlineStr">
        <is>
          <t>FINNIFTY-FUT</t>
        </is>
      </c>
      <c r="E369" t="inlineStr">
        <is>
          <t>Future</t>
        </is>
      </c>
      <c r="F369" t="inlineStr">
        <is>
          <t>SELL</t>
        </is>
      </c>
      <c r="G369" t="n">
        <v>40</v>
      </c>
      <c r="H369" t="n">
        <v>26118.56</v>
      </c>
      <c r="I369" t="n">
        <v>1044742.4</v>
      </c>
      <c r="J369" t="n">
        <v>208.95</v>
      </c>
      <c r="K369" t="inlineStr">
        <is>
          <t>NSE</t>
        </is>
      </c>
      <c r="L369" t="inlineStr">
        <is>
          <t>QE-CLEARING</t>
        </is>
      </c>
      <c r="M369" t="inlineStr">
        <is>
          <t>T100371</t>
        </is>
      </c>
    </row>
    <row r="370">
      <c r="A370" t="inlineStr">
        <is>
          <t>T100372</t>
        </is>
      </c>
      <c r="B370" t="inlineStr">
        <is>
          <t>2026-06-30</t>
        </is>
      </c>
      <c r="C370" t="inlineStr">
        <is>
          <t>13:05:16</t>
        </is>
      </c>
      <c r="D370" t="inlineStr">
        <is>
          <t>NIFTY-FUT</t>
        </is>
      </c>
      <c r="E370" t="inlineStr">
        <is>
          <t>Future</t>
        </is>
      </c>
      <c r="F370" t="inlineStr">
        <is>
          <t>BUY</t>
        </is>
      </c>
      <c r="G370" t="n">
        <v>50</v>
      </c>
      <c r="H370" t="n">
        <v>24878.19</v>
      </c>
      <c r="I370" t="n">
        <v>1243909.5</v>
      </c>
      <c r="J370" t="n">
        <v>248.78</v>
      </c>
      <c r="K370" t="inlineStr">
        <is>
          <t>NSE</t>
        </is>
      </c>
      <c r="L370" t="inlineStr">
        <is>
          <t>QE-CLEARING</t>
        </is>
      </c>
      <c r="M370" t="inlineStr">
        <is>
          <t>T100372</t>
        </is>
      </c>
    </row>
    <row r="371">
      <c r="A371" t="inlineStr">
        <is>
          <t>T100373</t>
        </is>
      </c>
      <c r="B371" t="inlineStr">
        <is>
          <t>2026-06-30</t>
        </is>
      </c>
      <c r="C371" t="inlineStr">
        <is>
          <t>12:08:15</t>
        </is>
      </c>
      <c r="D371" t="inlineStr">
        <is>
          <t>FINNIFTY-FUT</t>
        </is>
      </c>
      <c r="E371" t="inlineStr">
        <is>
          <t>Future</t>
        </is>
      </c>
      <c r="F371" t="inlineStr">
        <is>
          <t>BUY</t>
        </is>
      </c>
      <c r="G371" t="n">
        <v>200</v>
      </c>
      <c r="H371" t="n">
        <v>26173.22</v>
      </c>
      <c r="I371" t="n">
        <v>5234644</v>
      </c>
      <c r="J371" t="n">
        <v>1046.93</v>
      </c>
      <c r="K371" t="inlineStr">
        <is>
          <t>BSE</t>
        </is>
      </c>
      <c r="L371" t="inlineStr">
        <is>
          <t>QE-CLEARING</t>
        </is>
      </c>
      <c r="M371" t="inlineStr">
        <is>
          <t>T100373</t>
        </is>
      </c>
    </row>
    <row r="372">
      <c r="A372" t="inlineStr">
        <is>
          <t>T100374</t>
        </is>
      </c>
      <c r="B372" t="inlineStr">
        <is>
          <t>2026-06-30</t>
        </is>
      </c>
      <c r="C372" t="inlineStr">
        <is>
          <t>15:57:49</t>
        </is>
      </c>
      <c r="D372" t="inlineStr">
        <is>
          <t>FINNIFTY-FUT</t>
        </is>
      </c>
      <c r="E372" t="inlineStr">
        <is>
          <t>Future</t>
        </is>
      </c>
      <c r="F372" t="inlineStr">
        <is>
          <t>BUY</t>
        </is>
      </c>
      <c r="G372" t="n">
        <v>160</v>
      </c>
      <c r="H372" t="n">
        <v>26049.34</v>
      </c>
      <c r="I372" t="n">
        <v>4167894.4</v>
      </c>
      <c r="J372" t="n">
        <v>833.58</v>
      </c>
      <c r="K372" t="inlineStr">
        <is>
          <t>BSE</t>
        </is>
      </c>
      <c r="L372" t="inlineStr">
        <is>
          <t>QE-CLEARING</t>
        </is>
      </c>
      <c r="M372" t="inlineStr">
        <is>
          <t>T100374</t>
        </is>
      </c>
    </row>
    <row r="373">
      <c r="A373" t="inlineStr">
        <is>
          <t>T100375</t>
        </is>
      </c>
      <c r="B373" t="inlineStr">
        <is>
          <t>2026-06-30</t>
        </is>
      </c>
      <c r="C373" t="inlineStr">
        <is>
          <t>14:22:28</t>
        </is>
      </c>
      <c r="D373" t="inlineStr">
        <is>
          <t>BANKNIFTY-FUT</t>
        </is>
      </c>
      <c r="E373" t="inlineStr">
        <is>
          <t>Future</t>
        </is>
      </c>
      <c r="F373" t="inlineStr">
        <is>
          <t>BUY</t>
        </is>
      </c>
      <c r="G373" t="n">
        <v>30</v>
      </c>
      <c r="H373" t="n">
        <v>55371.75</v>
      </c>
      <c r="I373" t="n">
        <v>1661152.5</v>
      </c>
      <c r="J373" t="n">
        <v>332.23</v>
      </c>
      <c r="K373" t="inlineStr">
        <is>
          <t>BSE</t>
        </is>
      </c>
      <c r="L373" t="inlineStr">
        <is>
          <t>QE-CLEARING</t>
        </is>
      </c>
      <c r="M373" t="inlineStr">
        <is>
          <t>T100375</t>
        </is>
      </c>
    </row>
    <row r="374">
      <c r="A374" t="inlineStr">
        <is>
          <t>T100376</t>
        </is>
      </c>
      <c r="B374" t="inlineStr">
        <is>
          <t>2026-06-30</t>
        </is>
      </c>
      <c r="C374" t="inlineStr">
        <is>
          <t>15:45:48</t>
        </is>
      </c>
      <c r="D374" t="inlineStr">
        <is>
          <t>BANKNIFTY-FUT</t>
        </is>
      </c>
      <c r="E374" t="inlineStr">
        <is>
          <t>Future</t>
        </is>
      </c>
      <c r="F374" t="inlineStr">
        <is>
          <t>BUY</t>
        </is>
      </c>
      <c r="G374" t="n">
        <v>75</v>
      </c>
      <c r="H374" t="n">
        <v>55293</v>
      </c>
      <c r="I374" t="n">
        <v>4146975</v>
      </c>
      <c r="J374" t="n">
        <v>829.4</v>
      </c>
      <c r="K374" t="inlineStr">
        <is>
          <t>BSE</t>
        </is>
      </c>
      <c r="L374" t="inlineStr">
        <is>
          <t>QE-CLEARING</t>
        </is>
      </c>
      <c r="M374" t="inlineStr">
        <is>
          <t>T100376</t>
        </is>
      </c>
    </row>
    <row r="375">
      <c r="A375" t="inlineStr">
        <is>
          <t>T100377</t>
        </is>
      </c>
      <c r="B375" t="inlineStr">
        <is>
          <t>2026-06-30</t>
        </is>
      </c>
      <c r="C375" t="inlineStr">
        <is>
          <t>12:59:27</t>
        </is>
      </c>
      <c r="D375" t="inlineStr">
        <is>
          <t>NIFTY-FUT</t>
        </is>
      </c>
      <c r="E375" t="inlineStr">
        <is>
          <t>Future</t>
        </is>
      </c>
      <c r="F375" t="inlineStr">
        <is>
          <t>BUY</t>
        </is>
      </c>
      <c r="G375" t="n">
        <v>100</v>
      </c>
      <c r="H375" t="n">
        <v>24819.15</v>
      </c>
      <c r="I375" t="n">
        <v>2481915</v>
      </c>
      <c r="J375" t="n">
        <v>496.38</v>
      </c>
      <c r="K375" t="inlineStr">
        <is>
          <t>NSE</t>
        </is>
      </c>
      <c r="L375" t="inlineStr">
        <is>
          <t>QE-CLEARING</t>
        </is>
      </c>
      <c r="M375" t="inlineStr">
        <is>
          <t>T100377</t>
        </is>
      </c>
    </row>
    <row r="376">
      <c r="A376" t="inlineStr">
        <is>
          <t>T100378</t>
        </is>
      </c>
      <c r="B376" t="inlineStr">
        <is>
          <t>2026-06-30</t>
        </is>
      </c>
      <c r="C376" t="inlineStr">
        <is>
          <t>09:35:51</t>
        </is>
      </c>
      <c r="D376" t="inlineStr">
        <is>
          <t>NIFTY-FUT</t>
        </is>
      </c>
      <c r="E376" t="inlineStr">
        <is>
          <t>Future</t>
        </is>
      </c>
      <c r="F376" t="inlineStr">
        <is>
          <t>BUY</t>
        </is>
      </c>
      <c r="G376" t="n">
        <v>25</v>
      </c>
      <c r="H376" t="n">
        <v>24885.58</v>
      </c>
      <c r="I376" t="n">
        <v>622139.5</v>
      </c>
      <c r="J376" t="n">
        <v>124.43</v>
      </c>
      <c r="K376" t="inlineStr">
        <is>
          <t>BSE</t>
        </is>
      </c>
      <c r="L376" t="inlineStr">
        <is>
          <t>QE-CLEARING</t>
        </is>
      </c>
      <c r="M376" t="inlineStr">
        <is>
          <t>T100378</t>
        </is>
      </c>
    </row>
    <row r="377">
      <c r="A377" t="inlineStr">
        <is>
          <t>T100379</t>
        </is>
      </c>
      <c r="B377" t="inlineStr">
        <is>
          <t>2026-06-30</t>
        </is>
      </c>
      <c r="C377" t="inlineStr">
        <is>
          <t>14:57:13</t>
        </is>
      </c>
      <c r="D377" t="inlineStr">
        <is>
          <t>NIFTY-FUT</t>
        </is>
      </c>
      <c r="E377" t="inlineStr">
        <is>
          <t>Future</t>
        </is>
      </c>
      <c r="F377" t="inlineStr">
        <is>
          <t>SELL</t>
        </is>
      </c>
      <c r="G377" t="n">
        <v>250</v>
      </c>
      <c r="H377" t="n">
        <v>24787.99</v>
      </c>
      <c r="I377" t="n">
        <v>6196997.5</v>
      </c>
      <c r="J377" t="n">
        <v>1239.4</v>
      </c>
      <c r="K377" t="inlineStr">
        <is>
          <t>BSE</t>
        </is>
      </c>
      <c r="L377" t="inlineStr">
        <is>
          <t>QE-CLEARING</t>
        </is>
      </c>
      <c r="M377" t="inlineStr">
        <is>
          <t>T100379</t>
        </is>
      </c>
    </row>
    <row r="378">
      <c r="A378" t="inlineStr">
        <is>
          <t>T100380</t>
        </is>
      </c>
      <c r="B378" t="inlineStr">
        <is>
          <t>2026-06-30</t>
        </is>
      </c>
      <c r="C378" t="inlineStr">
        <is>
          <t>11:52:56</t>
        </is>
      </c>
      <c r="D378" t="inlineStr">
        <is>
          <t>BANKNIFTY-FUT</t>
        </is>
      </c>
      <c r="E378" t="inlineStr">
        <is>
          <t>Future</t>
        </is>
      </c>
      <c r="F378" t="inlineStr">
        <is>
          <t>BUY</t>
        </is>
      </c>
      <c r="G378" t="n">
        <v>120</v>
      </c>
      <c r="H378" t="n">
        <v>55062.62</v>
      </c>
      <c r="I378" t="n">
        <v>6607514.4</v>
      </c>
      <c r="J378" t="n">
        <v>1321.5</v>
      </c>
      <c r="K378" t="inlineStr">
        <is>
          <t>BSE</t>
        </is>
      </c>
      <c r="L378" t="inlineStr">
        <is>
          <t>QE-CLEARING</t>
        </is>
      </c>
      <c r="M378" t="inlineStr">
        <is>
          <t>T100380</t>
        </is>
      </c>
    </row>
    <row r="379">
      <c r="A379" t="inlineStr">
        <is>
          <t>T100381</t>
        </is>
      </c>
      <c r="B379" t="inlineStr">
        <is>
          <t>2026-06-30</t>
        </is>
      </c>
      <c r="C379" t="inlineStr">
        <is>
          <t>15:07:57</t>
        </is>
      </c>
      <c r="D379" t="inlineStr">
        <is>
          <t>BANKNIFTY-FUT</t>
        </is>
      </c>
      <c r="E379" t="inlineStr">
        <is>
          <t>Future</t>
        </is>
      </c>
      <c r="F379" t="inlineStr">
        <is>
          <t>BUY</t>
        </is>
      </c>
      <c r="G379" t="n">
        <v>60</v>
      </c>
      <c r="H379" t="n">
        <v>55285.44</v>
      </c>
      <c r="I379" t="n">
        <v>3317126.4</v>
      </c>
      <c r="J379" t="n">
        <v>663.4299999999999</v>
      </c>
      <c r="K379" t="inlineStr">
        <is>
          <t>NSE</t>
        </is>
      </c>
      <c r="L379" t="inlineStr">
        <is>
          <t>QE-CLEARING</t>
        </is>
      </c>
      <c r="M379" t="inlineStr">
        <is>
          <t>T100381</t>
        </is>
      </c>
    </row>
    <row r="380">
      <c r="A380" t="inlineStr">
        <is>
          <t>T100382</t>
        </is>
      </c>
      <c r="B380" t="inlineStr">
        <is>
          <t>2026-06-30</t>
        </is>
      </c>
      <c r="C380" t="inlineStr">
        <is>
          <t>14:02:42</t>
        </is>
      </c>
      <c r="D380" t="inlineStr">
        <is>
          <t>FINNIFTY-FUT</t>
        </is>
      </c>
      <c r="E380" t="inlineStr">
        <is>
          <t>Future</t>
        </is>
      </c>
      <c r="F380" t="inlineStr">
        <is>
          <t>BUY</t>
        </is>
      </c>
      <c r="G380" t="n">
        <v>40</v>
      </c>
      <c r="H380" t="n">
        <v>26083.57</v>
      </c>
      <c r="I380" t="n">
        <v>1043342.8</v>
      </c>
      <c r="J380" t="n">
        <v>208.67</v>
      </c>
      <c r="K380" t="inlineStr">
        <is>
          <t>NSE</t>
        </is>
      </c>
      <c r="L380" t="inlineStr">
        <is>
          <t>QE-CLEARING</t>
        </is>
      </c>
      <c r="M380" t="inlineStr">
        <is>
          <t>T100382</t>
        </is>
      </c>
    </row>
    <row r="381">
      <c r="A381" t="inlineStr">
        <is>
          <t>T100383</t>
        </is>
      </c>
      <c r="B381" t="inlineStr">
        <is>
          <t>2026-06-30</t>
        </is>
      </c>
      <c r="C381" t="inlineStr">
        <is>
          <t>10:29:10</t>
        </is>
      </c>
      <c r="D381" t="inlineStr">
        <is>
          <t>FINNIFTY-FUT</t>
        </is>
      </c>
      <c r="E381" t="inlineStr">
        <is>
          <t>Future</t>
        </is>
      </c>
      <c r="F381" t="inlineStr">
        <is>
          <t>BUY</t>
        </is>
      </c>
      <c r="G381" t="n">
        <v>200</v>
      </c>
      <c r="H381" t="n">
        <v>26069.16</v>
      </c>
      <c r="I381" t="n">
        <v>5213832</v>
      </c>
      <c r="J381" t="n">
        <v>1042.77</v>
      </c>
      <c r="K381" t="inlineStr">
        <is>
          <t>NSE</t>
        </is>
      </c>
      <c r="L381" t="inlineStr">
        <is>
          <t>QE-CLEARING</t>
        </is>
      </c>
      <c r="M381" t="inlineStr">
        <is>
          <t>T100383</t>
        </is>
      </c>
    </row>
    <row r="382">
      <c r="A382" t="inlineStr">
        <is>
          <t>T100384</t>
        </is>
      </c>
      <c r="B382" t="inlineStr">
        <is>
          <t>2026-06-30</t>
        </is>
      </c>
      <c r="C382" t="inlineStr">
        <is>
          <t>10:30:37</t>
        </is>
      </c>
      <c r="D382" t="inlineStr">
        <is>
          <t>FINNIFTY-FUT</t>
        </is>
      </c>
      <c r="E382" t="inlineStr">
        <is>
          <t>Future</t>
        </is>
      </c>
      <c r="F382" t="inlineStr">
        <is>
          <t>BUY</t>
        </is>
      </c>
      <c r="G382" t="n">
        <v>40</v>
      </c>
      <c r="H382" t="n">
        <v>26199.33</v>
      </c>
      <c r="I382" t="n">
        <v>1047973.2</v>
      </c>
      <c r="J382" t="n">
        <v>209.59</v>
      </c>
      <c r="K382" t="inlineStr">
        <is>
          <t>BSE</t>
        </is>
      </c>
      <c r="L382" t="inlineStr">
        <is>
          <t>QE-CLEARING</t>
        </is>
      </c>
      <c r="M382" t="inlineStr">
        <is>
          <t>T100384</t>
        </is>
      </c>
    </row>
    <row r="383">
      <c r="A383" t="inlineStr">
        <is>
          <t>T100385</t>
        </is>
      </c>
      <c r="B383" t="inlineStr">
        <is>
          <t>2026-06-30</t>
        </is>
      </c>
      <c r="C383" t="inlineStr">
        <is>
          <t>11:27:27</t>
        </is>
      </c>
      <c r="D383" t="inlineStr">
        <is>
          <t>NIFTY-FUT</t>
        </is>
      </c>
      <c r="E383" t="inlineStr">
        <is>
          <t>Future</t>
        </is>
      </c>
      <c r="F383" t="inlineStr">
        <is>
          <t>SELL</t>
        </is>
      </c>
      <c r="G383" t="n">
        <v>100</v>
      </c>
      <c r="H383" t="n">
        <v>24889.23</v>
      </c>
      <c r="I383" t="n">
        <v>2488923</v>
      </c>
      <c r="J383" t="n">
        <v>497.78</v>
      </c>
      <c r="K383" t="inlineStr">
        <is>
          <t>BSE</t>
        </is>
      </c>
      <c r="L383" t="inlineStr">
        <is>
          <t>QE-CLEARING</t>
        </is>
      </c>
      <c r="M383" t="inlineStr">
        <is>
          <t>T100385</t>
        </is>
      </c>
    </row>
    <row r="384">
      <c r="A384" t="inlineStr">
        <is>
          <t>T100386</t>
        </is>
      </c>
      <c r="B384" t="inlineStr">
        <is>
          <t>2026-06-30</t>
        </is>
      </c>
      <c r="C384" t="inlineStr">
        <is>
          <t>13:33:39</t>
        </is>
      </c>
      <c r="D384" t="inlineStr">
        <is>
          <t>FINNIFTY-FUT</t>
        </is>
      </c>
      <c r="E384" t="inlineStr">
        <is>
          <t>Future</t>
        </is>
      </c>
      <c r="F384" t="inlineStr">
        <is>
          <t>SELL</t>
        </is>
      </c>
      <c r="G384" t="n">
        <v>400</v>
      </c>
      <c r="H384" t="n">
        <v>26201.05</v>
      </c>
      <c r="I384" t="n">
        <v>10480420</v>
      </c>
      <c r="J384" t="n">
        <v>2096.08</v>
      </c>
      <c r="K384" t="inlineStr">
        <is>
          <t>NSE</t>
        </is>
      </c>
      <c r="L384" t="inlineStr">
        <is>
          <t>QE-CLEARING</t>
        </is>
      </c>
      <c r="M384" t="inlineStr">
        <is>
          <t>T100386</t>
        </is>
      </c>
    </row>
    <row r="385">
      <c r="A385" t="inlineStr">
        <is>
          <t>T100387</t>
        </is>
      </c>
      <c r="B385" t="inlineStr">
        <is>
          <t>2026-06-30</t>
        </is>
      </c>
      <c r="C385" t="inlineStr">
        <is>
          <t>15:55:32</t>
        </is>
      </c>
      <c r="D385" t="inlineStr">
        <is>
          <t>NIFTY-FUT</t>
        </is>
      </c>
      <c r="E385" t="inlineStr">
        <is>
          <t>Future</t>
        </is>
      </c>
      <c r="F385" t="inlineStr">
        <is>
          <t>BUY</t>
        </is>
      </c>
      <c r="G385" t="n">
        <v>200</v>
      </c>
      <c r="H385" t="n">
        <v>24877.03</v>
      </c>
      <c r="I385" t="n">
        <v>4975406</v>
      </c>
      <c r="J385" t="n">
        <v>995.08</v>
      </c>
      <c r="K385" t="inlineStr">
        <is>
          <t>NSE</t>
        </is>
      </c>
      <c r="L385" t="inlineStr">
        <is>
          <t>QE-CLEARING</t>
        </is>
      </c>
      <c r="M385" t="inlineStr">
        <is>
          <t>T100387</t>
        </is>
      </c>
    </row>
    <row r="386">
      <c r="A386" t="inlineStr">
        <is>
          <t>T100388</t>
        </is>
      </c>
      <c r="B386" t="inlineStr">
        <is>
          <t>2026-06-30</t>
        </is>
      </c>
      <c r="C386" t="inlineStr">
        <is>
          <t>11:21:56</t>
        </is>
      </c>
      <c r="D386" t="inlineStr">
        <is>
          <t>BANKNIFTY-FUT</t>
        </is>
      </c>
      <c r="E386" t="inlineStr">
        <is>
          <t>Future</t>
        </is>
      </c>
      <c r="F386" t="inlineStr">
        <is>
          <t>BUY</t>
        </is>
      </c>
      <c r="G386" t="n">
        <v>120</v>
      </c>
      <c r="H386" t="n">
        <v>55387.96</v>
      </c>
      <c r="I386" t="n">
        <v>6646555.2</v>
      </c>
      <c r="J386" t="n">
        <v>1329.31</v>
      </c>
      <c r="K386" t="inlineStr">
        <is>
          <t>BSE</t>
        </is>
      </c>
      <c r="L386" t="inlineStr">
        <is>
          <t>QE-CLEARING</t>
        </is>
      </c>
      <c r="M386" t="inlineStr">
        <is>
          <t>T100388</t>
        </is>
      </c>
    </row>
    <row r="387">
      <c r="A387" t="inlineStr">
        <is>
          <t>T100389</t>
        </is>
      </c>
      <c r="B387" t="inlineStr">
        <is>
          <t>2026-06-30</t>
        </is>
      </c>
      <c r="C387" t="inlineStr">
        <is>
          <t>12:30:49</t>
        </is>
      </c>
      <c r="D387" t="inlineStr">
        <is>
          <t>FINNIFTY-FUT</t>
        </is>
      </c>
      <c r="E387" t="inlineStr">
        <is>
          <t>Future</t>
        </is>
      </c>
      <c r="F387" t="inlineStr">
        <is>
          <t>SELL</t>
        </is>
      </c>
      <c r="G387" t="n">
        <v>400</v>
      </c>
      <c r="H387" t="n">
        <v>26146.99</v>
      </c>
      <c r="I387" t="n">
        <v>10458796</v>
      </c>
      <c r="J387" t="n">
        <v>2091.76</v>
      </c>
      <c r="K387" t="inlineStr">
        <is>
          <t>BSE</t>
        </is>
      </c>
      <c r="L387" t="inlineStr">
        <is>
          <t>QE-CLEARING</t>
        </is>
      </c>
      <c r="M387" t="inlineStr">
        <is>
          <t>T100389</t>
        </is>
      </c>
    </row>
    <row r="388">
      <c r="A388" t="inlineStr">
        <is>
          <t>T100390</t>
        </is>
      </c>
      <c r="B388" t="inlineStr">
        <is>
          <t>2026-06-30</t>
        </is>
      </c>
      <c r="C388" t="inlineStr">
        <is>
          <t>14:03:44</t>
        </is>
      </c>
      <c r="D388" t="inlineStr">
        <is>
          <t>FINNIFTY-FUT</t>
        </is>
      </c>
      <c r="E388" t="inlineStr">
        <is>
          <t>Future</t>
        </is>
      </c>
      <c r="F388" t="inlineStr">
        <is>
          <t>SELL</t>
        </is>
      </c>
      <c r="G388" t="n">
        <v>320</v>
      </c>
      <c r="H388" t="n">
        <v>26105.4</v>
      </c>
      <c r="I388" t="n">
        <v>8353728</v>
      </c>
      <c r="J388" t="n">
        <v>1670.75</v>
      </c>
      <c r="K388" t="inlineStr">
        <is>
          <t>NSE</t>
        </is>
      </c>
      <c r="L388" t="inlineStr">
        <is>
          <t>QE-CLEARING</t>
        </is>
      </c>
      <c r="M388" t="inlineStr">
        <is>
          <t>T100390</t>
        </is>
      </c>
    </row>
    <row r="389">
      <c r="A389" t="inlineStr">
        <is>
          <t>T100391</t>
        </is>
      </c>
      <c r="B389" t="inlineStr">
        <is>
          <t>2026-06-30</t>
        </is>
      </c>
      <c r="C389" t="inlineStr">
        <is>
          <t>15:35:40</t>
        </is>
      </c>
      <c r="D389" t="inlineStr">
        <is>
          <t>BANKNIFTY-55500-PE</t>
        </is>
      </c>
      <c r="E389" t="inlineStr">
        <is>
          <t>Option</t>
        </is>
      </c>
      <c r="F389" t="inlineStr">
        <is>
          <t>SELL</t>
        </is>
      </c>
      <c r="G389" t="n">
        <v>150</v>
      </c>
      <c r="H389" t="n">
        <v>387.63</v>
      </c>
      <c r="I389" t="n">
        <v>58144.5</v>
      </c>
      <c r="J389" t="n">
        <v>29.07</v>
      </c>
      <c r="K389" t="inlineStr">
        <is>
          <t>BSE</t>
        </is>
      </c>
      <c r="L389" t="inlineStr">
        <is>
          <t>QE-CLEARING</t>
        </is>
      </c>
      <c r="M389" t="inlineStr">
        <is>
          <t>T100391</t>
        </is>
      </c>
    </row>
    <row r="390">
      <c r="A390" t="inlineStr">
        <is>
          <t>T100392</t>
        </is>
      </c>
      <c r="B390" t="inlineStr">
        <is>
          <t>2026-06-30</t>
        </is>
      </c>
      <c r="C390" t="inlineStr">
        <is>
          <t>13:44:45</t>
        </is>
      </c>
      <c r="D390" t="inlineStr">
        <is>
          <t>NIFTY-24800-CE</t>
        </is>
      </c>
      <c r="E390" t="inlineStr">
        <is>
          <t>Option</t>
        </is>
      </c>
      <c r="F390" t="inlineStr">
        <is>
          <t>SELL</t>
        </is>
      </c>
      <c r="G390" t="n">
        <v>75</v>
      </c>
      <c r="H390" t="n">
        <v>181.97</v>
      </c>
      <c r="I390" t="n">
        <v>13647.75</v>
      </c>
      <c r="J390" t="n">
        <v>6.82</v>
      </c>
      <c r="K390" t="inlineStr">
        <is>
          <t>BSE</t>
        </is>
      </c>
      <c r="L390" t="inlineStr">
        <is>
          <t>QE-CLEARING</t>
        </is>
      </c>
      <c r="M390" t="inlineStr">
        <is>
          <t>T100392</t>
        </is>
      </c>
    </row>
    <row r="391">
      <c r="A391" t="inlineStr">
        <is>
          <t>T100393</t>
        </is>
      </c>
      <c r="B391" t="inlineStr">
        <is>
          <t>2026-06-30</t>
        </is>
      </c>
      <c r="C391" t="inlineStr">
        <is>
          <t>15:56:40</t>
        </is>
      </c>
      <c r="D391" t="inlineStr">
        <is>
          <t>NIFTY-25000-PE</t>
        </is>
      </c>
      <c r="E391" t="inlineStr">
        <is>
          <t>Option</t>
        </is>
      </c>
      <c r="F391" t="inlineStr">
        <is>
          <t>SELL</t>
        </is>
      </c>
      <c r="G391" t="n">
        <v>100</v>
      </c>
      <c r="H391" t="n">
        <v>145.83</v>
      </c>
      <c r="I391" t="n">
        <v>14583</v>
      </c>
      <c r="J391" t="n">
        <v>7.29</v>
      </c>
      <c r="K391" t="inlineStr">
        <is>
          <t>NSE</t>
        </is>
      </c>
      <c r="L391" t="inlineStr">
        <is>
          <t>QE-CLEARING</t>
        </is>
      </c>
      <c r="M391" t="inlineStr">
        <is>
          <t>T100393</t>
        </is>
      </c>
    </row>
    <row r="392">
      <c r="A392" t="inlineStr">
        <is>
          <t>T100394</t>
        </is>
      </c>
      <c r="B392" t="inlineStr">
        <is>
          <t>2026-06-30</t>
        </is>
      </c>
      <c r="C392" t="inlineStr">
        <is>
          <t>09:03:10</t>
        </is>
      </c>
      <c r="D392" t="inlineStr">
        <is>
          <t>BANKNIFTY-55000-CE</t>
        </is>
      </c>
      <c r="E392" t="inlineStr">
        <is>
          <t>Option</t>
        </is>
      </c>
      <c r="F392" t="inlineStr">
        <is>
          <t>BUY</t>
        </is>
      </c>
      <c r="G392" t="n">
        <v>45</v>
      </c>
      <c r="H392" t="n">
        <v>409.28</v>
      </c>
      <c r="I392" t="n">
        <v>18417.6</v>
      </c>
      <c r="J392" t="n">
        <v>9.210000000000001</v>
      </c>
      <c r="K392" t="inlineStr">
        <is>
          <t>BSE</t>
        </is>
      </c>
      <c r="L392" t="inlineStr">
        <is>
          <t>QE-CLEARING</t>
        </is>
      </c>
      <c r="M392" t="inlineStr">
        <is>
          <t>T100394</t>
        </is>
      </c>
    </row>
    <row r="393">
      <c r="A393" t="inlineStr">
        <is>
          <t>T100395</t>
        </is>
      </c>
      <c r="B393" t="inlineStr">
        <is>
          <t>2026-06-30</t>
        </is>
      </c>
      <c r="C393" t="inlineStr">
        <is>
          <t>12:05:38</t>
        </is>
      </c>
      <c r="D393" t="inlineStr">
        <is>
          <t>NIFTY-25000-PE</t>
        </is>
      </c>
      <c r="E393" t="inlineStr">
        <is>
          <t>Option</t>
        </is>
      </c>
      <c r="F393" t="inlineStr">
        <is>
          <t>BUY</t>
        </is>
      </c>
      <c r="G393" t="n">
        <v>75</v>
      </c>
      <c r="H393" t="n">
        <v>146.16</v>
      </c>
      <c r="I393" t="n">
        <v>10962</v>
      </c>
      <c r="J393" t="n">
        <v>5.48</v>
      </c>
      <c r="K393" t="inlineStr">
        <is>
          <t>BSE</t>
        </is>
      </c>
      <c r="L393" t="inlineStr">
        <is>
          <t>QE-CLEARING</t>
        </is>
      </c>
      <c r="M393" t="inlineStr">
        <is>
          <t>T100395</t>
        </is>
      </c>
    </row>
    <row r="394">
      <c r="A394" t="inlineStr">
        <is>
          <t>T100396</t>
        </is>
      </c>
      <c r="B394" t="inlineStr">
        <is>
          <t>2026-06-30</t>
        </is>
      </c>
      <c r="C394" t="inlineStr">
        <is>
          <t>09:09:12</t>
        </is>
      </c>
      <c r="D394" t="inlineStr">
        <is>
          <t>BANKNIFTY-55500-PE</t>
        </is>
      </c>
      <c r="E394" t="inlineStr">
        <is>
          <t>Option</t>
        </is>
      </c>
      <c r="F394" t="inlineStr">
        <is>
          <t>SELL</t>
        </is>
      </c>
      <c r="G394" t="n">
        <v>120</v>
      </c>
      <c r="H394" t="n">
        <v>387.83</v>
      </c>
      <c r="I394" t="n">
        <v>46539.6</v>
      </c>
      <c r="J394" t="n">
        <v>23.27</v>
      </c>
      <c r="K394" t="inlineStr">
        <is>
          <t>BSE</t>
        </is>
      </c>
      <c r="L394" t="inlineStr">
        <is>
          <t>QE-CLEARING</t>
        </is>
      </c>
      <c r="M394" t="inlineStr">
        <is>
          <t>T100396</t>
        </is>
      </c>
    </row>
    <row r="395">
      <c r="A395" t="inlineStr">
        <is>
          <t>T100397</t>
        </is>
      </c>
      <c r="B395" t="inlineStr">
        <is>
          <t>2026-06-30</t>
        </is>
      </c>
      <c r="C395" t="inlineStr">
        <is>
          <t>13:07:46</t>
        </is>
      </c>
      <c r="D395" t="inlineStr">
        <is>
          <t>NIFTY-24800-CE</t>
        </is>
      </c>
      <c r="E395" t="inlineStr">
        <is>
          <t>Option</t>
        </is>
      </c>
      <c r="F395" t="inlineStr">
        <is>
          <t>SELL</t>
        </is>
      </c>
      <c r="G395" t="n">
        <v>200</v>
      </c>
      <c r="H395" t="n">
        <v>181.37</v>
      </c>
      <c r="I395" t="n">
        <v>36274</v>
      </c>
      <c r="J395" t="n">
        <v>18.14</v>
      </c>
      <c r="K395" t="inlineStr">
        <is>
          <t>BSE</t>
        </is>
      </c>
      <c r="L395" t="inlineStr">
        <is>
          <t>QE-CLEARING</t>
        </is>
      </c>
      <c r="M395" t="inlineStr">
        <is>
          <t>T100397</t>
        </is>
      </c>
    </row>
    <row r="396">
      <c r="A396" t="inlineStr">
        <is>
          <t>T100398</t>
        </is>
      </c>
      <c r="B396" t="inlineStr">
        <is>
          <t>2026-06-30</t>
        </is>
      </c>
      <c r="C396" t="inlineStr">
        <is>
          <t>09:05:01</t>
        </is>
      </c>
      <c r="D396" t="inlineStr">
        <is>
          <t>BANKNIFTY-55500-PE</t>
        </is>
      </c>
      <c r="E396" t="inlineStr">
        <is>
          <t>Option</t>
        </is>
      </c>
      <c r="F396" t="inlineStr">
        <is>
          <t>SELL</t>
        </is>
      </c>
      <c r="G396" t="n">
        <v>75</v>
      </c>
      <c r="H396" t="n">
        <v>387.22</v>
      </c>
      <c r="I396" t="n">
        <v>29041.5</v>
      </c>
      <c r="J396" t="n">
        <v>14.52</v>
      </c>
      <c r="K396" t="inlineStr">
        <is>
          <t>BSE</t>
        </is>
      </c>
      <c r="L396" t="inlineStr">
        <is>
          <t>QE-CLEARING</t>
        </is>
      </c>
      <c r="M396" t="inlineStr">
        <is>
          <t>T100398</t>
        </is>
      </c>
    </row>
    <row r="397">
      <c r="A397" t="inlineStr">
        <is>
          <t>T100399</t>
        </is>
      </c>
      <c r="B397" t="inlineStr">
        <is>
          <t>2026-06-30</t>
        </is>
      </c>
      <c r="C397" t="inlineStr">
        <is>
          <t>09:24:38</t>
        </is>
      </c>
      <c r="D397" t="inlineStr">
        <is>
          <t>NIFTY-25000-PE</t>
        </is>
      </c>
      <c r="E397" t="inlineStr">
        <is>
          <t>Option</t>
        </is>
      </c>
      <c r="F397" t="inlineStr">
        <is>
          <t>SELL</t>
        </is>
      </c>
      <c r="G397" t="n">
        <v>250</v>
      </c>
      <c r="H397" t="n">
        <v>145.68</v>
      </c>
      <c r="I397" t="n">
        <v>36420</v>
      </c>
      <c r="J397" t="n">
        <v>18.21</v>
      </c>
      <c r="K397" t="inlineStr">
        <is>
          <t>NSE</t>
        </is>
      </c>
      <c r="L397" t="inlineStr">
        <is>
          <t>QE-CLEARING</t>
        </is>
      </c>
      <c r="M397" t="inlineStr">
        <is>
          <t>T100399</t>
        </is>
      </c>
    </row>
    <row r="398">
      <c r="A398" t="inlineStr">
        <is>
          <t>T100400</t>
        </is>
      </c>
      <c r="B398" t="inlineStr">
        <is>
          <t>2026-06-30</t>
        </is>
      </c>
      <c r="C398" t="inlineStr">
        <is>
          <t>11:36:25</t>
        </is>
      </c>
      <c r="D398" t="inlineStr">
        <is>
          <t>BANKNIFTY-55000-CE</t>
        </is>
      </c>
      <c r="E398" t="inlineStr">
        <is>
          <t>Option</t>
        </is>
      </c>
      <c r="F398" t="inlineStr">
        <is>
          <t>BUY</t>
        </is>
      </c>
      <c r="G398" t="n">
        <v>60</v>
      </c>
      <c r="H398" t="n">
        <v>409.01</v>
      </c>
      <c r="I398" t="n">
        <v>24540.6</v>
      </c>
      <c r="J398" t="n">
        <v>12.27</v>
      </c>
      <c r="K398" t="inlineStr">
        <is>
          <t>BSE</t>
        </is>
      </c>
      <c r="L398" t="inlineStr">
        <is>
          <t>QE-CLEARING</t>
        </is>
      </c>
      <c r="M398" t="inlineStr">
        <is>
          <t>T100400</t>
        </is>
      </c>
    </row>
    <row r="399">
      <c r="A399" t="inlineStr">
        <is>
          <t>T100401</t>
        </is>
      </c>
      <c r="B399" t="inlineStr">
        <is>
          <t>2026-06-30</t>
        </is>
      </c>
      <c r="C399" t="inlineStr">
        <is>
          <t>11:16:10</t>
        </is>
      </c>
      <c r="D399" t="inlineStr">
        <is>
          <t>NIFTY-25000-PE</t>
        </is>
      </c>
      <c r="E399" t="inlineStr">
        <is>
          <t>Option</t>
        </is>
      </c>
      <c r="F399" t="inlineStr">
        <is>
          <t>BUY</t>
        </is>
      </c>
      <c r="G399" t="n">
        <v>125</v>
      </c>
      <c r="H399" t="n">
        <v>146.18</v>
      </c>
      <c r="I399" t="n">
        <v>18272.5</v>
      </c>
      <c r="J399" t="n">
        <v>9.140000000000001</v>
      </c>
      <c r="K399" t="inlineStr">
        <is>
          <t>BSE</t>
        </is>
      </c>
      <c r="L399" t="inlineStr">
        <is>
          <t>QE-CLEARING</t>
        </is>
      </c>
      <c r="M399" t="inlineStr">
        <is>
          <t>T100401</t>
        </is>
      </c>
    </row>
    <row r="400">
      <c r="A400" t="inlineStr">
        <is>
          <t>T100402</t>
        </is>
      </c>
      <c r="B400" t="inlineStr">
        <is>
          <t>2026-06-30</t>
        </is>
      </c>
      <c r="C400" t="inlineStr">
        <is>
          <t>11:29:58</t>
        </is>
      </c>
      <c r="D400" t="inlineStr">
        <is>
          <t>BANKNIFTY-55000-CE</t>
        </is>
      </c>
      <c r="E400" t="inlineStr">
        <is>
          <t>Option</t>
        </is>
      </c>
      <c r="F400" t="inlineStr">
        <is>
          <t>SELL</t>
        </is>
      </c>
      <c r="G400" t="n">
        <v>30</v>
      </c>
      <c r="H400" t="n">
        <v>409.64</v>
      </c>
      <c r="I400" t="n">
        <v>12289.2</v>
      </c>
      <c r="J400" t="n">
        <v>6.14</v>
      </c>
      <c r="K400" t="inlineStr">
        <is>
          <t>BSE</t>
        </is>
      </c>
      <c r="L400" t="inlineStr">
        <is>
          <t>QE-CLEARING</t>
        </is>
      </c>
      <c r="M400" t="inlineStr">
        <is>
          <t>T100402</t>
        </is>
      </c>
    </row>
    <row r="401">
      <c r="A401" t="inlineStr">
        <is>
          <t>T100403</t>
        </is>
      </c>
      <c r="B401" t="inlineStr">
        <is>
          <t>2026-06-30</t>
        </is>
      </c>
      <c r="C401" t="inlineStr">
        <is>
          <t>10:59:21</t>
        </is>
      </c>
      <c r="D401" t="inlineStr">
        <is>
          <t>NIFTY-25000-PE</t>
        </is>
      </c>
      <c r="E401" t="inlineStr">
        <is>
          <t>Option</t>
        </is>
      </c>
      <c r="F401" t="inlineStr">
        <is>
          <t>SELL</t>
        </is>
      </c>
      <c r="G401" t="n">
        <v>125</v>
      </c>
      <c r="H401" t="n">
        <v>145.75</v>
      </c>
      <c r="I401" t="n">
        <v>18218.75</v>
      </c>
      <c r="J401" t="n">
        <v>9.109999999999999</v>
      </c>
      <c r="K401" t="inlineStr">
        <is>
          <t>NSE</t>
        </is>
      </c>
      <c r="L401" t="inlineStr">
        <is>
          <t>QE-CLEARING</t>
        </is>
      </c>
      <c r="M401" t="inlineStr">
        <is>
          <t>T100403</t>
        </is>
      </c>
    </row>
    <row r="402">
      <c r="A402" t="inlineStr">
        <is>
          <t>T100404</t>
        </is>
      </c>
      <c r="B402" t="inlineStr">
        <is>
          <t>2026-06-30</t>
        </is>
      </c>
      <c r="C402" t="inlineStr">
        <is>
          <t>15:29:15</t>
        </is>
      </c>
      <c r="D402" t="inlineStr">
        <is>
          <t>NIFTY-24800-CE</t>
        </is>
      </c>
      <c r="E402" t="inlineStr">
        <is>
          <t>Option</t>
        </is>
      </c>
      <c r="F402" t="inlineStr">
        <is>
          <t>SELL</t>
        </is>
      </c>
      <c r="G402" t="n">
        <v>100</v>
      </c>
      <c r="H402" t="n">
        <v>181.32</v>
      </c>
      <c r="I402" t="n">
        <v>18132</v>
      </c>
      <c r="J402" t="n">
        <v>9.07</v>
      </c>
      <c r="K402" t="inlineStr">
        <is>
          <t>BSE</t>
        </is>
      </c>
      <c r="L402" t="inlineStr">
        <is>
          <t>QE-CLEARING</t>
        </is>
      </c>
      <c r="M402" t="inlineStr">
        <is>
          <t>T100404</t>
        </is>
      </c>
    </row>
    <row r="403">
      <c r="A403" t="inlineStr">
        <is>
          <t>T100405</t>
        </is>
      </c>
      <c r="B403" t="inlineStr">
        <is>
          <t>2026-06-30</t>
        </is>
      </c>
      <c r="C403" t="inlineStr">
        <is>
          <t>13:56:56</t>
        </is>
      </c>
      <c r="D403" t="inlineStr">
        <is>
          <t>BANKNIFTY-55500-PE</t>
        </is>
      </c>
      <c r="E403" t="inlineStr">
        <is>
          <t>Option</t>
        </is>
      </c>
      <c r="F403" t="inlineStr">
        <is>
          <t>BUY</t>
        </is>
      </c>
      <c r="G403" t="n">
        <v>75</v>
      </c>
      <c r="H403" t="n">
        <v>388.78</v>
      </c>
      <c r="I403" t="n">
        <v>29158.5</v>
      </c>
      <c r="J403" t="n">
        <v>14.58</v>
      </c>
      <c r="K403" t="inlineStr">
        <is>
          <t>BSE</t>
        </is>
      </c>
      <c r="L403" t="inlineStr">
        <is>
          <t>QE-CLEARING</t>
        </is>
      </c>
      <c r="M403" t="inlineStr">
        <is>
          <t>T100405</t>
        </is>
      </c>
    </row>
    <row r="404">
      <c r="A404" t="inlineStr">
        <is>
          <t>T100406</t>
        </is>
      </c>
      <c r="B404" t="inlineStr">
        <is>
          <t>2026-06-30</t>
        </is>
      </c>
      <c r="C404" t="inlineStr">
        <is>
          <t>11:50:34</t>
        </is>
      </c>
      <c r="D404" t="inlineStr">
        <is>
          <t>NIFTY-24800-CE</t>
        </is>
      </c>
      <c r="E404" t="inlineStr">
        <is>
          <t>Option</t>
        </is>
      </c>
      <c r="F404" t="inlineStr">
        <is>
          <t>SELL</t>
        </is>
      </c>
      <c r="G404" t="n">
        <v>50</v>
      </c>
      <c r="H404" t="n">
        <v>181.56</v>
      </c>
      <c r="I404" t="n">
        <v>9078</v>
      </c>
      <c r="J404" t="n">
        <v>4.54</v>
      </c>
      <c r="K404" t="inlineStr">
        <is>
          <t>NSE</t>
        </is>
      </c>
      <c r="L404" t="inlineStr">
        <is>
          <t>QE-CLEARING</t>
        </is>
      </c>
      <c r="M404" t="inlineStr">
        <is>
          <t>T100406</t>
        </is>
      </c>
    </row>
    <row r="405">
      <c r="A405" t="inlineStr">
        <is>
          <t>T100407</t>
        </is>
      </c>
      <c r="B405" t="inlineStr">
        <is>
          <t>2026-06-30</t>
        </is>
      </c>
      <c r="C405" t="inlineStr">
        <is>
          <t>14:02:03</t>
        </is>
      </c>
      <c r="D405" t="inlineStr">
        <is>
          <t>NIFTY-24800-CE</t>
        </is>
      </c>
      <c r="E405" t="inlineStr">
        <is>
          <t>Option</t>
        </is>
      </c>
      <c r="F405" t="inlineStr">
        <is>
          <t>BUY</t>
        </is>
      </c>
      <c r="G405" t="n">
        <v>50</v>
      </c>
      <c r="H405" t="n">
        <v>182.42</v>
      </c>
      <c r="I405" t="n">
        <v>9121</v>
      </c>
      <c r="J405" t="n">
        <v>4.56</v>
      </c>
      <c r="K405" t="inlineStr">
        <is>
          <t>NSE</t>
        </is>
      </c>
      <c r="L405" t="inlineStr">
        <is>
          <t>QE-CLEARING</t>
        </is>
      </c>
      <c r="M405" t="inlineStr">
        <is>
          <t>T100407</t>
        </is>
      </c>
    </row>
    <row r="406">
      <c r="A406" t="inlineStr">
        <is>
          <t>T100408</t>
        </is>
      </c>
      <c r="B406" t="inlineStr">
        <is>
          <t>2026-06-30</t>
        </is>
      </c>
      <c r="C406" t="inlineStr">
        <is>
          <t>15:39:34</t>
        </is>
      </c>
      <c r="D406" t="inlineStr">
        <is>
          <t>BANKNIFTY-55000-CE</t>
        </is>
      </c>
      <c r="E406" t="inlineStr">
        <is>
          <t>Option</t>
        </is>
      </c>
      <c r="F406" t="inlineStr">
        <is>
          <t>BUY</t>
        </is>
      </c>
      <c r="G406" t="n">
        <v>60</v>
      </c>
      <c r="H406" t="n">
        <v>411.07</v>
      </c>
      <c r="I406" t="n">
        <v>24664.2</v>
      </c>
      <c r="J406" t="n">
        <v>12.33</v>
      </c>
      <c r="K406" t="inlineStr">
        <is>
          <t>BSE</t>
        </is>
      </c>
      <c r="L406" t="inlineStr">
        <is>
          <t>QE-CLEARING</t>
        </is>
      </c>
      <c r="M406" t="inlineStr">
        <is>
          <t>T100408</t>
        </is>
      </c>
    </row>
    <row r="407">
      <c r="A407" t="inlineStr">
        <is>
          <t>T100409</t>
        </is>
      </c>
      <c r="B407" t="inlineStr">
        <is>
          <t>2026-06-30</t>
        </is>
      </c>
      <c r="C407" t="inlineStr">
        <is>
          <t>09:35:49</t>
        </is>
      </c>
      <c r="D407" t="inlineStr">
        <is>
          <t>BANKNIFTY-55500-PE</t>
        </is>
      </c>
      <c r="E407" t="inlineStr">
        <is>
          <t>Option</t>
        </is>
      </c>
      <c r="F407" t="inlineStr">
        <is>
          <t>BUY</t>
        </is>
      </c>
      <c r="G407" t="n">
        <v>150</v>
      </c>
      <c r="H407" t="n">
        <v>388.4</v>
      </c>
      <c r="I407" t="n">
        <v>58260</v>
      </c>
      <c r="J407" t="n">
        <v>29.13</v>
      </c>
      <c r="K407" t="inlineStr">
        <is>
          <t>NSE</t>
        </is>
      </c>
      <c r="L407" t="inlineStr">
        <is>
          <t>QE-CLEARING</t>
        </is>
      </c>
      <c r="M407" t="inlineStr">
        <is>
          <t>T100409</t>
        </is>
      </c>
    </row>
    <row r="408">
      <c r="A408" t="inlineStr">
        <is>
          <t>T100410</t>
        </is>
      </c>
      <c r="B408" t="inlineStr">
        <is>
          <t>2026-06-30</t>
        </is>
      </c>
      <c r="C408" t="inlineStr">
        <is>
          <t>10:35:55</t>
        </is>
      </c>
      <c r="D408" t="inlineStr">
        <is>
          <t>BANKNIFTY-55500-PE</t>
        </is>
      </c>
      <c r="E408" t="inlineStr">
        <is>
          <t>Option</t>
        </is>
      </c>
      <c r="F408" t="inlineStr">
        <is>
          <t>BUY</t>
        </is>
      </c>
      <c r="G408" t="n">
        <v>75</v>
      </c>
      <c r="H408" t="n">
        <v>388.4</v>
      </c>
      <c r="I408" t="n">
        <v>29130</v>
      </c>
      <c r="J408" t="n">
        <v>14.56</v>
      </c>
      <c r="K408" t="inlineStr">
        <is>
          <t>BSE</t>
        </is>
      </c>
      <c r="L408" t="inlineStr">
        <is>
          <t>QE-CLEARING</t>
        </is>
      </c>
      <c r="M408" t="inlineStr">
        <is>
          <t>T100410</t>
        </is>
      </c>
    </row>
    <row r="409">
      <c r="A409" t="inlineStr">
        <is>
          <t>T100411</t>
        </is>
      </c>
      <c r="B409" t="inlineStr">
        <is>
          <t>2026-06-30</t>
        </is>
      </c>
      <c r="C409" t="inlineStr">
        <is>
          <t>10:28:23</t>
        </is>
      </c>
      <c r="D409" t="inlineStr">
        <is>
          <t>NIFTY-25000-PE</t>
        </is>
      </c>
      <c r="E409" t="inlineStr">
        <is>
          <t>Option</t>
        </is>
      </c>
      <c r="F409" t="inlineStr">
        <is>
          <t>SELL</t>
        </is>
      </c>
      <c r="G409" t="n">
        <v>100</v>
      </c>
      <c r="H409" t="n">
        <v>145.66</v>
      </c>
      <c r="I409" t="n">
        <v>14566</v>
      </c>
      <c r="J409" t="n">
        <v>7.28</v>
      </c>
      <c r="K409" t="inlineStr">
        <is>
          <t>BSE</t>
        </is>
      </c>
      <c r="L409" t="inlineStr">
        <is>
          <t>QE-CLEARING</t>
        </is>
      </c>
      <c r="M409" t="inlineStr">
        <is>
          <t>T100411</t>
        </is>
      </c>
    </row>
    <row r="410">
      <c r="A410" t="inlineStr">
        <is>
          <t>T100412</t>
        </is>
      </c>
      <c r="B410" t="inlineStr">
        <is>
          <t>2026-06-30</t>
        </is>
      </c>
      <c r="C410" t="inlineStr">
        <is>
          <t>10:49:33</t>
        </is>
      </c>
      <c r="D410" t="inlineStr">
        <is>
          <t>NIFTY-25000-PE</t>
        </is>
      </c>
      <c r="E410" t="inlineStr">
        <is>
          <t>Option</t>
        </is>
      </c>
      <c r="F410" t="inlineStr">
        <is>
          <t>SELL</t>
        </is>
      </c>
      <c r="G410" t="n">
        <v>200</v>
      </c>
      <c r="H410" t="n">
        <v>146.38</v>
      </c>
      <c r="I410" t="n">
        <v>29276</v>
      </c>
      <c r="J410" t="n">
        <v>14.64</v>
      </c>
      <c r="K410" t="inlineStr">
        <is>
          <t>NSE</t>
        </is>
      </c>
      <c r="L410" t="inlineStr">
        <is>
          <t>QE-CLEARING</t>
        </is>
      </c>
      <c r="M410" t="inlineStr">
        <is>
          <t>T100412</t>
        </is>
      </c>
    </row>
    <row r="411">
      <c r="A411" t="inlineStr">
        <is>
          <t>T100413</t>
        </is>
      </c>
      <c r="B411" t="inlineStr">
        <is>
          <t>2026-06-30</t>
        </is>
      </c>
      <c r="C411" t="inlineStr">
        <is>
          <t>09:30:56</t>
        </is>
      </c>
      <c r="D411" t="inlineStr">
        <is>
          <t>BANKNIFTY-55500-PE</t>
        </is>
      </c>
      <c r="E411" t="inlineStr">
        <is>
          <t>Option</t>
        </is>
      </c>
      <c r="F411" t="inlineStr">
        <is>
          <t>BUY</t>
        </is>
      </c>
      <c r="G411" t="n">
        <v>45</v>
      </c>
      <c r="H411" t="n">
        <v>388.35</v>
      </c>
      <c r="I411" t="n">
        <v>17475.75</v>
      </c>
      <c r="J411" t="n">
        <v>8.74</v>
      </c>
      <c r="K411" t="inlineStr">
        <is>
          <t>BSE</t>
        </is>
      </c>
      <c r="L411" t="inlineStr">
        <is>
          <t>QE-CLEARING</t>
        </is>
      </c>
      <c r="M411" t="inlineStr">
        <is>
          <t>T100413</t>
        </is>
      </c>
    </row>
    <row r="412">
      <c r="A412" t="inlineStr">
        <is>
          <t>T100414</t>
        </is>
      </c>
      <c r="B412" t="inlineStr">
        <is>
          <t>2026-06-30</t>
        </is>
      </c>
      <c r="C412" t="inlineStr">
        <is>
          <t>11:49:50</t>
        </is>
      </c>
      <c r="D412" t="inlineStr">
        <is>
          <t>BANKNIFTY-55500-PE</t>
        </is>
      </c>
      <c r="E412" t="inlineStr">
        <is>
          <t>Option</t>
        </is>
      </c>
      <c r="F412" t="inlineStr">
        <is>
          <t>SELL</t>
        </is>
      </c>
      <c r="G412" t="n">
        <v>120</v>
      </c>
      <c r="H412" t="n">
        <v>387.49</v>
      </c>
      <c r="I412" t="n">
        <v>46498.8</v>
      </c>
      <c r="J412" t="n">
        <v>23.25</v>
      </c>
      <c r="K412" t="inlineStr">
        <is>
          <t>BSE</t>
        </is>
      </c>
      <c r="L412" t="inlineStr">
        <is>
          <t>QE-CLEARING</t>
        </is>
      </c>
      <c r="M412" t="inlineStr">
        <is>
          <t>T100414</t>
        </is>
      </c>
    </row>
    <row r="413">
      <c r="A413" t="inlineStr">
        <is>
          <t>T100415</t>
        </is>
      </c>
      <c r="B413" t="inlineStr">
        <is>
          <t>2026-06-30</t>
        </is>
      </c>
      <c r="C413" t="inlineStr">
        <is>
          <t>13:19:35</t>
        </is>
      </c>
      <c r="D413" t="inlineStr">
        <is>
          <t>NIFTY-25000-PE</t>
        </is>
      </c>
      <c r="E413" t="inlineStr">
        <is>
          <t>Option</t>
        </is>
      </c>
      <c r="F413" t="inlineStr">
        <is>
          <t>BUY</t>
        </is>
      </c>
      <c r="G413" t="n">
        <v>25</v>
      </c>
      <c r="H413" t="n">
        <v>145.92</v>
      </c>
      <c r="I413" t="n">
        <v>3648</v>
      </c>
      <c r="J413" t="n">
        <v>1.82</v>
      </c>
      <c r="K413" t="inlineStr">
        <is>
          <t>BSE</t>
        </is>
      </c>
      <c r="L413" t="inlineStr">
        <is>
          <t>QE-CLEARING</t>
        </is>
      </c>
      <c r="M413" t="inlineStr">
        <is>
          <t>T100415</t>
        </is>
      </c>
    </row>
    <row r="414">
      <c r="A414" t="inlineStr">
        <is>
          <t>T100416</t>
        </is>
      </c>
      <c r="B414" t="inlineStr">
        <is>
          <t>2026-06-30</t>
        </is>
      </c>
      <c r="C414" t="inlineStr">
        <is>
          <t>15:55:07</t>
        </is>
      </c>
      <c r="D414" t="inlineStr">
        <is>
          <t>NIFTY-24800-CE</t>
        </is>
      </c>
      <c r="E414" t="inlineStr">
        <is>
          <t>Option</t>
        </is>
      </c>
      <c r="F414" t="inlineStr">
        <is>
          <t>BUY</t>
        </is>
      </c>
      <c r="G414" t="n">
        <v>100</v>
      </c>
      <c r="H414" t="n">
        <v>181.69</v>
      </c>
      <c r="I414" t="n">
        <v>18169</v>
      </c>
      <c r="J414" t="n">
        <v>9.08</v>
      </c>
      <c r="K414" t="inlineStr">
        <is>
          <t>NSE</t>
        </is>
      </c>
      <c r="L414" t="inlineStr">
        <is>
          <t>QE-CLEARING</t>
        </is>
      </c>
      <c r="M414" t="inlineStr">
        <is>
          <t>T100416</t>
        </is>
      </c>
    </row>
    <row r="415">
      <c r="A415" t="inlineStr">
        <is>
          <t>T100417</t>
        </is>
      </c>
      <c r="B415" t="inlineStr">
        <is>
          <t>2026-06-30</t>
        </is>
      </c>
      <c r="C415" t="inlineStr">
        <is>
          <t>15:56:07</t>
        </is>
      </c>
      <c r="D415" t="inlineStr">
        <is>
          <t>NIFTY-25000-PE</t>
        </is>
      </c>
      <c r="E415" t="inlineStr">
        <is>
          <t>Option</t>
        </is>
      </c>
      <c r="F415" t="inlineStr">
        <is>
          <t>SELL</t>
        </is>
      </c>
      <c r="G415" t="n">
        <v>250</v>
      </c>
      <c r="H415" t="n">
        <v>146.03</v>
      </c>
      <c r="I415" t="n">
        <v>36507.5</v>
      </c>
      <c r="J415" t="n">
        <v>19.71</v>
      </c>
      <c r="K415" t="inlineStr">
        <is>
          <t>NSE</t>
        </is>
      </c>
      <c r="L415" t="inlineStr">
        <is>
          <t>QE-CLEARING</t>
        </is>
      </c>
      <c r="M415" t="inlineStr">
        <is>
          <t>T100417</t>
        </is>
      </c>
    </row>
    <row r="416">
      <c r="A416" t="inlineStr">
        <is>
          <t>T100418</t>
        </is>
      </c>
      <c r="B416" t="inlineStr">
        <is>
          <t>2026-06-30</t>
        </is>
      </c>
      <c r="C416" t="inlineStr">
        <is>
          <t>15:33:35</t>
        </is>
      </c>
      <c r="D416" t="inlineStr">
        <is>
          <t>BANKNIFTY-55000-CE</t>
        </is>
      </c>
      <c r="E416" t="inlineStr">
        <is>
          <t>Option</t>
        </is>
      </c>
      <c r="F416" t="inlineStr">
        <is>
          <t>BUY</t>
        </is>
      </c>
      <c r="G416" t="n">
        <v>60</v>
      </c>
      <c r="H416" t="n">
        <v>410.41</v>
      </c>
      <c r="I416" t="n">
        <v>24624.6</v>
      </c>
      <c r="J416" t="n">
        <v>12.31</v>
      </c>
      <c r="K416" t="inlineStr">
        <is>
          <t>BSE</t>
        </is>
      </c>
      <c r="L416" t="inlineStr">
        <is>
          <t>QE-CLEARING</t>
        </is>
      </c>
      <c r="M416" t="inlineStr">
        <is>
          <t>T100418</t>
        </is>
      </c>
    </row>
    <row r="417">
      <c r="A417" t="inlineStr">
        <is>
          <t>T100419</t>
        </is>
      </c>
      <c r="B417" t="inlineStr">
        <is>
          <t>2026-06-30</t>
        </is>
      </c>
      <c r="C417" t="inlineStr">
        <is>
          <t>13:34:30</t>
        </is>
      </c>
      <c r="D417" t="inlineStr">
        <is>
          <t>NIFTY-25000-PE</t>
        </is>
      </c>
      <c r="E417" t="inlineStr">
        <is>
          <t>Option</t>
        </is>
      </c>
      <c r="F417" t="inlineStr">
        <is>
          <t>SELL</t>
        </is>
      </c>
      <c r="G417" t="n">
        <v>100</v>
      </c>
      <c r="H417" t="n">
        <v>145.77</v>
      </c>
      <c r="I417" t="n">
        <v>14577</v>
      </c>
      <c r="J417" t="n">
        <v>7.29</v>
      </c>
      <c r="K417" t="inlineStr">
        <is>
          <t>BSE</t>
        </is>
      </c>
      <c r="L417" t="inlineStr">
        <is>
          <t>QE-CLEARING</t>
        </is>
      </c>
      <c r="M417" t="inlineStr">
        <is>
          <t>T100419</t>
        </is>
      </c>
    </row>
    <row r="418">
      <c r="A418" t="inlineStr">
        <is>
          <t>T100420</t>
        </is>
      </c>
      <c r="B418" t="inlineStr">
        <is>
          <t>2026-06-30</t>
        </is>
      </c>
      <c r="C418" t="inlineStr">
        <is>
          <t>14:23:15</t>
        </is>
      </c>
      <c r="D418" t="inlineStr">
        <is>
          <t>NIFTY-25000-PE</t>
        </is>
      </c>
      <c r="E418" t="inlineStr">
        <is>
          <t>Option</t>
        </is>
      </c>
      <c r="F418" t="inlineStr">
        <is>
          <t>BUY</t>
        </is>
      </c>
      <c r="G418" t="n">
        <v>25</v>
      </c>
      <c r="H418" t="n">
        <v>146.27</v>
      </c>
      <c r="I418" t="n">
        <v>3656.75</v>
      </c>
      <c r="J418" t="n">
        <v>1.83</v>
      </c>
      <c r="K418" t="inlineStr">
        <is>
          <t>BSE</t>
        </is>
      </c>
      <c r="L418" t="inlineStr">
        <is>
          <t>QE-CLEARING</t>
        </is>
      </c>
      <c r="M418" t="inlineStr">
        <is>
          <t>T100420</t>
        </is>
      </c>
    </row>
    <row r="419">
      <c r="A419" t="inlineStr">
        <is>
          <t>T100421</t>
        </is>
      </c>
      <c r="B419" t="inlineStr">
        <is>
          <t>2026-06-30</t>
        </is>
      </c>
      <c r="C419" t="inlineStr">
        <is>
          <t>15:41:00</t>
        </is>
      </c>
      <c r="D419" t="inlineStr">
        <is>
          <t>NIFTY-25000-PE</t>
        </is>
      </c>
      <c r="E419" t="inlineStr">
        <is>
          <t>Option</t>
        </is>
      </c>
      <c r="F419" t="inlineStr">
        <is>
          <t>SELL</t>
        </is>
      </c>
      <c r="G419" t="n">
        <v>75</v>
      </c>
      <c r="H419" t="n">
        <v>145.82</v>
      </c>
      <c r="I419" t="n">
        <v>10936.5</v>
      </c>
      <c r="J419" t="n">
        <v>5.47</v>
      </c>
      <c r="K419" t="inlineStr">
        <is>
          <t>BSE</t>
        </is>
      </c>
      <c r="L419" t="inlineStr">
        <is>
          <t>QE-CLEARING</t>
        </is>
      </c>
      <c r="M419" t="inlineStr">
        <is>
          <t>T100421</t>
        </is>
      </c>
    </row>
    <row r="420">
      <c r="A420" t="inlineStr">
        <is>
          <t>T100422</t>
        </is>
      </c>
      <c r="B420" t="inlineStr">
        <is>
          <t>2026-06-30</t>
        </is>
      </c>
      <c r="C420" t="inlineStr">
        <is>
          <t>12:32:17</t>
        </is>
      </c>
      <c r="D420" t="inlineStr">
        <is>
          <t>NIFTY-24800-CE</t>
        </is>
      </c>
      <c r="E420" t="inlineStr">
        <is>
          <t>Option</t>
        </is>
      </c>
      <c r="F420" t="inlineStr">
        <is>
          <t>SELL</t>
        </is>
      </c>
      <c r="G420" t="n">
        <v>25</v>
      </c>
      <c r="H420" t="n">
        <v>181.65</v>
      </c>
      <c r="I420" t="n">
        <v>4541.25</v>
      </c>
      <c r="J420" t="n">
        <v>2.27</v>
      </c>
      <c r="K420" t="inlineStr">
        <is>
          <t>NSE</t>
        </is>
      </c>
      <c r="L420" t="inlineStr">
        <is>
          <t>QE-CLEARING</t>
        </is>
      </c>
      <c r="M420" t="inlineStr">
        <is>
          <t>T100422</t>
        </is>
      </c>
    </row>
    <row r="421">
      <c r="A421" t="inlineStr">
        <is>
          <t>T100423</t>
        </is>
      </c>
      <c r="B421" t="inlineStr">
        <is>
          <t>2026-06-30</t>
        </is>
      </c>
      <c r="C421" t="inlineStr">
        <is>
          <t>09:55:37</t>
        </is>
      </c>
      <c r="D421" t="inlineStr">
        <is>
          <t>NIFTY-24800-CE</t>
        </is>
      </c>
      <c r="E421" t="inlineStr">
        <is>
          <t>Option</t>
        </is>
      </c>
      <c r="F421" t="inlineStr">
        <is>
          <t>SELL</t>
        </is>
      </c>
      <c r="G421" t="n">
        <v>125</v>
      </c>
      <c r="H421" t="n">
        <v>182.22</v>
      </c>
      <c r="I421" t="n">
        <v>22777.5</v>
      </c>
      <c r="J421" t="n">
        <v>11.39</v>
      </c>
      <c r="K421" t="inlineStr">
        <is>
          <t>NSE</t>
        </is>
      </c>
      <c r="L421" t="inlineStr">
        <is>
          <t>QE-CLEARING</t>
        </is>
      </c>
      <c r="M421" t="inlineStr">
        <is>
          <t>T100423</t>
        </is>
      </c>
    </row>
    <row r="422">
      <c r="A422" t="inlineStr">
        <is>
          <t>T100424</t>
        </is>
      </c>
      <c r="B422" t="inlineStr">
        <is>
          <t>2026-06-30</t>
        </is>
      </c>
      <c r="C422" t="inlineStr">
        <is>
          <t>09:17:27</t>
        </is>
      </c>
      <c r="D422" t="inlineStr">
        <is>
          <t>NIFTY-25000-PE</t>
        </is>
      </c>
      <c r="E422" t="inlineStr">
        <is>
          <t>Option</t>
        </is>
      </c>
      <c r="F422" t="inlineStr">
        <is>
          <t>BUY</t>
        </is>
      </c>
      <c r="G422" t="n">
        <v>75</v>
      </c>
      <c r="H422" t="n">
        <v>146.36</v>
      </c>
      <c r="I422" t="n">
        <v>10977</v>
      </c>
      <c r="J422" t="n">
        <v>5.49</v>
      </c>
      <c r="K422" t="inlineStr">
        <is>
          <t>NSE</t>
        </is>
      </c>
      <c r="L422" t="inlineStr">
        <is>
          <t>QE-CLEARING</t>
        </is>
      </c>
      <c r="M422" t="inlineStr">
        <is>
          <t>T100424</t>
        </is>
      </c>
    </row>
    <row r="423">
      <c r="A423" t="inlineStr">
        <is>
          <t>T100425</t>
        </is>
      </c>
      <c r="B423" t="inlineStr">
        <is>
          <t>2026-06-30</t>
        </is>
      </c>
      <c r="C423" t="inlineStr">
        <is>
          <t>15:55:16</t>
        </is>
      </c>
      <c r="D423" t="inlineStr">
        <is>
          <t>BANKNIFTY-55500-PE</t>
        </is>
      </c>
      <c r="E423" t="inlineStr">
        <is>
          <t>Option</t>
        </is>
      </c>
      <c r="F423" t="inlineStr">
        <is>
          <t>SELL</t>
        </is>
      </c>
      <c r="G423" t="n">
        <v>120</v>
      </c>
      <c r="H423" t="n">
        <v>389.22</v>
      </c>
      <c r="I423" t="n">
        <v>46706.4</v>
      </c>
      <c r="J423" t="n">
        <v>23.35</v>
      </c>
      <c r="K423" t="inlineStr">
        <is>
          <t>BSE</t>
        </is>
      </c>
      <c r="L423" t="inlineStr">
        <is>
          <t>QE-CLEARING</t>
        </is>
      </c>
      <c r="M423" t="inlineStr">
        <is>
          <t>T100425</t>
        </is>
      </c>
    </row>
    <row r="424">
      <c r="A424" t="inlineStr">
        <is>
          <t>T100426</t>
        </is>
      </c>
      <c r="B424" t="inlineStr">
        <is>
          <t>2026-06-30</t>
        </is>
      </c>
      <c r="C424" t="inlineStr">
        <is>
          <t>13:12:33</t>
        </is>
      </c>
      <c r="D424" t="inlineStr">
        <is>
          <t>NIFTY-24800-CE</t>
        </is>
      </c>
      <c r="E424" t="inlineStr">
        <is>
          <t>Option</t>
        </is>
      </c>
      <c r="F424" t="inlineStr">
        <is>
          <t>SELL</t>
        </is>
      </c>
      <c r="G424" t="n">
        <v>75</v>
      </c>
      <c r="H424" t="n">
        <v>182.27</v>
      </c>
      <c r="I424" t="n">
        <v>13670.25</v>
      </c>
      <c r="J424" t="n">
        <v>6.84</v>
      </c>
      <c r="K424" t="inlineStr">
        <is>
          <t>NSE</t>
        </is>
      </c>
      <c r="L424" t="inlineStr">
        <is>
          <t>QE-CLEARING</t>
        </is>
      </c>
      <c r="M424" t="inlineStr">
        <is>
          <t>T100426</t>
        </is>
      </c>
    </row>
    <row r="425">
      <c r="A425" t="inlineStr">
        <is>
          <t>T100427</t>
        </is>
      </c>
      <c r="B425" t="inlineStr">
        <is>
          <t>2026-06-30</t>
        </is>
      </c>
      <c r="C425" t="inlineStr">
        <is>
          <t>12:03:07</t>
        </is>
      </c>
      <c r="D425" t="inlineStr">
        <is>
          <t>NIFTY-24800-CE</t>
        </is>
      </c>
      <c r="E425" t="inlineStr">
        <is>
          <t>Option</t>
        </is>
      </c>
      <c r="F425" t="inlineStr">
        <is>
          <t>SELL</t>
        </is>
      </c>
      <c r="G425" t="n">
        <v>25</v>
      </c>
      <c r="H425" t="n">
        <v>182.54</v>
      </c>
      <c r="I425" t="n">
        <v>4563.5</v>
      </c>
      <c r="J425" t="n">
        <v>2.28</v>
      </c>
      <c r="K425" t="inlineStr">
        <is>
          <t>NSE</t>
        </is>
      </c>
      <c r="L425" t="inlineStr">
        <is>
          <t>QE-CLEARING</t>
        </is>
      </c>
      <c r="M425" t="inlineStr">
        <is>
          <t>T100427</t>
        </is>
      </c>
    </row>
    <row r="426">
      <c r="A426" t="inlineStr">
        <is>
          <t>T100428</t>
        </is>
      </c>
      <c r="B426" t="inlineStr">
        <is>
          <t>2026-06-30</t>
        </is>
      </c>
      <c r="C426" t="inlineStr">
        <is>
          <t>14:31:32</t>
        </is>
      </c>
      <c r="D426" t="inlineStr">
        <is>
          <t>NIFTY-24800-CE</t>
        </is>
      </c>
      <c r="E426" t="inlineStr">
        <is>
          <t>Option</t>
        </is>
      </c>
      <c r="F426" t="inlineStr">
        <is>
          <t>SELL</t>
        </is>
      </c>
      <c r="G426" t="n">
        <v>200</v>
      </c>
      <c r="H426" t="n">
        <v>181.78</v>
      </c>
      <c r="I426" t="n">
        <v>36356</v>
      </c>
      <c r="J426" t="n">
        <v>18.18</v>
      </c>
      <c r="K426" t="inlineStr">
        <is>
          <t>NSE</t>
        </is>
      </c>
      <c r="L426" t="inlineStr">
        <is>
          <t>QE-CLEARING</t>
        </is>
      </c>
      <c r="M426" t="inlineStr">
        <is>
          <t>T100428</t>
        </is>
      </c>
    </row>
    <row r="427">
      <c r="A427" t="inlineStr">
        <is>
          <t>T100429</t>
        </is>
      </c>
      <c r="B427" t="inlineStr">
        <is>
          <t>2026-06-30</t>
        </is>
      </c>
      <c r="C427" t="inlineStr">
        <is>
          <t>14:28:11</t>
        </is>
      </c>
      <c r="D427" t="inlineStr">
        <is>
          <t>BANKNIFTY-55500-PE</t>
        </is>
      </c>
      <c r="E427" t="inlineStr">
        <is>
          <t>Option</t>
        </is>
      </c>
      <c r="F427" t="inlineStr">
        <is>
          <t>BUY</t>
        </is>
      </c>
      <c r="G427" t="n">
        <v>45</v>
      </c>
      <c r="H427" t="n">
        <v>389.22</v>
      </c>
      <c r="I427" t="n">
        <v>17514.9</v>
      </c>
      <c r="J427" t="n">
        <v>8.76</v>
      </c>
      <c r="K427" t="inlineStr">
        <is>
          <t>BSE</t>
        </is>
      </c>
      <c r="L427" t="inlineStr">
        <is>
          <t>QE-CLEARING</t>
        </is>
      </c>
      <c r="M427" t="inlineStr">
        <is>
          <t>T100429</t>
        </is>
      </c>
    </row>
    <row r="428">
      <c r="A428" t="inlineStr">
        <is>
          <t>T100430</t>
        </is>
      </c>
      <c r="B428" t="inlineStr">
        <is>
          <t>2026-06-30</t>
        </is>
      </c>
      <c r="C428" t="inlineStr">
        <is>
          <t>14:09:17</t>
        </is>
      </c>
      <c r="D428" t="inlineStr">
        <is>
          <t>BANKNIFTY-55500-PE</t>
        </is>
      </c>
      <c r="E428" t="inlineStr">
        <is>
          <t>Option</t>
        </is>
      </c>
      <c r="F428" t="inlineStr">
        <is>
          <t>SELL</t>
        </is>
      </c>
      <c r="G428" t="n">
        <v>15</v>
      </c>
      <c r="H428" t="n">
        <v>388.92</v>
      </c>
      <c r="I428" t="n">
        <v>5833.8</v>
      </c>
      <c r="J428" t="n">
        <v>2.92</v>
      </c>
      <c r="K428" t="inlineStr">
        <is>
          <t>NSE</t>
        </is>
      </c>
      <c r="L428" t="inlineStr">
        <is>
          <t>QE-CLEARING</t>
        </is>
      </c>
      <c r="M428" t="inlineStr">
        <is>
          <t>T100430</t>
        </is>
      </c>
    </row>
    <row r="429">
      <c r="A429" t="inlineStr">
        <is>
          <t>T100431</t>
        </is>
      </c>
      <c r="B429" t="inlineStr">
        <is>
          <t>2026-06-30</t>
        </is>
      </c>
      <c r="C429" t="inlineStr">
        <is>
          <t>10:14:02</t>
        </is>
      </c>
      <c r="D429" t="inlineStr">
        <is>
          <t>NIFTY-24800-CE</t>
        </is>
      </c>
      <c r="E429" t="inlineStr">
        <is>
          <t>Option</t>
        </is>
      </c>
      <c r="F429" t="inlineStr">
        <is>
          <t>BUY</t>
        </is>
      </c>
      <c r="G429" t="n">
        <v>125</v>
      </c>
      <c r="H429" t="n">
        <v>182.59</v>
      </c>
      <c r="I429" t="n">
        <v>22823.75</v>
      </c>
      <c r="J429" t="n">
        <v>12.32</v>
      </c>
      <c r="K429" t="inlineStr">
        <is>
          <t>NSE</t>
        </is>
      </c>
      <c r="L429" t="inlineStr">
        <is>
          <t>QE-CLEARING</t>
        </is>
      </c>
      <c r="M429" t="inlineStr">
        <is>
          <t>T100431</t>
        </is>
      </c>
    </row>
    <row r="430">
      <c r="A430" t="inlineStr">
        <is>
          <t>T100432</t>
        </is>
      </c>
      <c r="B430" t="inlineStr">
        <is>
          <t>2026-06-30</t>
        </is>
      </c>
      <c r="C430" t="inlineStr">
        <is>
          <t>11:00:46</t>
        </is>
      </c>
      <c r="D430" t="inlineStr">
        <is>
          <t>NIFTY-25000-PE</t>
        </is>
      </c>
      <c r="E430" t="inlineStr">
        <is>
          <t>Option</t>
        </is>
      </c>
      <c r="F430" t="inlineStr">
        <is>
          <t>BUY</t>
        </is>
      </c>
      <c r="G430" t="n">
        <v>100</v>
      </c>
      <c r="H430" t="n">
        <v>145.7</v>
      </c>
      <c r="I430" t="n">
        <v>14570</v>
      </c>
      <c r="J430" t="n">
        <v>7.29</v>
      </c>
      <c r="K430" t="inlineStr">
        <is>
          <t>NSE</t>
        </is>
      </c>
      <c r="L430" t="inlineStr">
        <is>
          <t>QE-CLEARING</t>
        </is>
      </c>
      <c r="M430" t="inlineStr">
        <is>
          <t>T100432</t>
        </is>
      </c>
    </row>
    <row r="431">
      <c r="A431" t="inlineStr">
        <is>
          <t>T100433</t>
        </is>
      </c>
      <c r="B431" t="inlineStr">
        <is>
          <t>2026-06-30</t>
        </is>
      </c>
      <c r="C431" t="inlineStr">
        <is>
          <t>15:05:25</t>
        </is>
      </c>
      <c r="D431" t="inlineStr">
        <is>
          <t>BANKNIFTY-55500-PE</t>
        </is>
      </c>
      <c r="E431" t="inlineStr">
        <is>
          <t>Option</t>
        </is>
      </c>
      <c r="F431" t="inlineStr">
        <is>
          <t>SELL</t>
        </is>
      </c>
      <c r="G431" t="n">
        <v>75</v>
      </c>
      <c r="H431" t="n">
        <v>386.52</v>
      </c>
      <c r="I431" t="n">
        <v>28989</v>
      </c>
      <c r="J431" t="n">
        <v>14.49</v>
      </c>
      <c r="K431" t="inlineStr">
        <is>
          <t>BSE</t>
        </is>
      </c>
      <c r="L431" t="inlineStr">
        <is>
          <t>QE-CLEARING</t>
        </is>
      </c>
      <c r="M431" t="inlineStr">
        <is>
          <t>T100433</t>
        </is>
      </c>
    </row>
    <row r="432">
      <c r="A432" t="inlineStr">
        <is>
          <t>T100434</t>
        </is>
      </c>
      <c r="B432" t="inlineStr">
        <is>
          <t>2026-06-30</t>
        </is>
      </c>
      <c r="C432" t="inlineStr">
        <is>
          <t>12:59:49</t>
        </is>
      </c>
      <c r="D432" t="inlineStr">
        <is>
          <t>BANKNIFTY-55500-PE</t>
        </is>
      </c>
      <c r="E432" t="inlineStr">
        <is>
          <t>Option</t>
        </is>
      </c>
      <c r="F432" t="inlineStr">
        <is>
          <t>BUY</t>
        </is>
      </c>
      <c r="G432" t="n">
        <v>60</v>
      </c>
      <c r="H432" t="n">
        <v>389.26</v>
      </c>
      <c r="I432" t="n">
        <v>23355.6</v>
      </c>
      <c r="J432" t="n">
        <v>11.68</v>
      </c>
      <c r="K432" t="inlineStr">
        <is>
          <t>BSE</t>
        </is>
      </c>
      <c r="L432" t="inlineStr">
        <is>
          <t>QE-CLEARING</t>
        </is>
      </c>
      <c r="M432" t="inlineStr">
        <is>
          <t>T100434</t>
        </is>
      </c>
    </row>
    <row r="433">
      <c r="A433" t="inlineStr">
        <is>
          <t>T100435</t>
        </is>
      </c>
      <c r="B433" t="inlineStr">
        <is>
          <t>2026-06-30</t>
        </is>
      </c>
      <c r="C433" t="inlineStr">
        <is>
          <t>12:33:27</t>
        </is>
      </c>
      <c r="D433" t="inlineStr">
        <is>
          <t>NIFTY-24800-CE</t>
        </is>
      </c>
      <c r="E433" t="inlineStr">
        <is>
          <t>Option</t>
        </is>
      </c>
      <c r="F433" t="inlineStr">
        <is>
          <t>BUY</t>
        </is>
      </c>
      <c r="G433" t="n">
        <v>75</v>
      </c>
      <c r="H433" t="n">
        <v>181.79</v>
      </c>
      <c r="I433" t="n">
        <v>13634.25</v>
      </c>
      <c r="J433" t="n">
        <v>6.82</v>
      </c>
      <c r="K433" t="inlineStr">
        <is>
          <t>NSE</t>
        </is>
      </c>
      <c r="L433" t="inlineStr">
        <is>
          <t>QE-CLEARING</t>
        </is>
      </c>
      <c r="M433" t="inlineStr">
        <is>
          <t>T100435</t>
        </is>
      </c>
    </row>
    <row r="434">
      <c r="A434" t="inlineStr">
        <is>
          <t>T100436</t>
        </is>
      </c>
      <c r="B434" t="inlineStr">
        <is>
          <t>2026-06-30</t>
        </is>
      </c>
      <c r="C434" t="inlineStr">
        <is>
          <t>12:34:27</t>
        </is>
      </c>
      <c r="D434" t="inlineStr">
        <is>
          <t>NIFTY-24800-CE</t>
        </is>
      </c>
      <c r="E434" t="inlineStr">
        <is>
          <t>Option</t>
        </is>
      </c>
      <c r="F434" t="inlineStr">
        <is>
          <t>SELL</t>
        </is>
      </c>
      <c r="G434" t="n">
        <v>25</v>
      </c>
      <c r="H434" t="n">
        <v>181.88</v>
      </c>
      <c r="I434" t="n">
        <v>4547</v>
      </c>
      <c r="J434" t="n">
        <v>2.27</v>
      </c>
      <c r="K434" t="inlineStr">
        <is>
          <t>BSE</t>
        </is>
      </c>
      <c r="L434" t="inlineStr">
        <is>
          <t>QE-CLEARING</t>
        </is>
      </c>
      <c r="M434" t="inlineStr">
        <is>
          <t>T100436</t>
        </is>
      </c>
    </row>
    <row r="435">
      <c r="A435" t="inlineStr">
        <is>
          <t>T100437</t>
        </is>
      </c>
      <c r="B435" t="inlineStr">
        <is>
          <t>2026-06-30</t>
        </is>
      </c>
      <c r="C435" t="inlineStr">
        <is>
          <t>11:27:24</t>
        </is>
      </c>
      <c r="D435" t="inlineStr">
        <is>
          <t>BANKNIFTY-55000-CE</t>
        </is>
      </c>
      <c r="E435" t="inlineStr">
        <is>
          <t>Option</t>
        </is>
      </c>
      <c r="F435" t="inlineStr">
        <is>
          <t>BUY</t>
        </is>
      </c>
      <c r="G435" t="n">
        <v>120</v>
      </c>
      <c r="H435" t="n">
        <v>410.74</v>
      </c>
      <c r="I435" t="n">
        <v>49288.8</v>
      </c>
      <c r="J435" t="n">
        <v>24.64</v>
      </c>
      <c r="K435" t="inlineStr">
        <is>
          <t>BSE</t>
        </is>
      </c>
      <c r="L435" t="inlineStr">
        <is>
          <t>QE-CLEARING</t>
        </is>
      </c>
      <c r="M435" t="inlineStr">
        <is>
          <t>T100437</t>
        </is>
      </c>
    </row>
    <row r="436">
      <c r="A436" t="inlineStr">
        <is>
          <t>T100438</t>
        </is>
      </c>
      <c r="B436" t="inlineStr">
        <is>
          <t>2026-06-30</t>
        </is>
      </c>
      <c r="C436" t="inlineStr">
        <is>
          <t>12:43:18</t>
        </is>
      </c>
      <c r="D436" t="inlineStr">
        <is>
          <t>BANKNIFTY-55000-CE</t>
        </is>
      </c>
      <c r="E436" t="inlineStr">
        <is>
          <t>Option</t>
        </is>
      </c>
      <c r="F436" t="inlineStr">
        <is>
          <t>BUY</t>
        </is>
      </c>
      <c r="G436" t="n">
        <v>120</v>
      </c>
      <c r="H436" t="n">
        <v>408.54</v>
      </c>
      <c r="I436" t="n">
        <v>49024.8</v>
      </c>
      <c r="J436" t="n">
        <v>24.51</v>
      </c>
      <c r="K436" t="inlineStr">
        <is>
          <t>NSE</t>
        </is>
      </c>
      <c r="L436" t="inlineStr">
        <is>
          <t>QE-CLEARING</t>
        </is>
      </c>
      <c r="M436" t="inlineStr">
        <is>
          <t>T100438</t>
        </is>
      </c>
    </row>
    <row r="437">
      <c r="A437" t="inlineStr">
        <is>
          <t>T100439</t>
        </is>
      </c>
      <c r="B437" t="inlineStr">
        <is>
          <t>2026-06-30</t>
        </is>
      </c>
      <c r="C437" t="inlineStr">
        <is>
          <t>11:14:58</t>
        </is>
      </c>
      <c r="D437" t="inlineStr">
        <is>
          <t>BANKNIFTY-55500-PE</t>
        </is>
      </c>
      <c r="E437" t="inlineStr">
        <is>
          <t>Option</t>
        </is>
      </c>
      <c r="F437" t="inlineStr">
        <is>
          <t>SELL</t>
        </is>
      </c>
      <c r="G437" t="n">
        <v>75</v>
      </c>
      <c r="H437" t="n">
        <v>387.22</v>
      </c>
      <c r="I437" t="n">
        <v>29041.5</v>
      </c>
      <c r="J437" t="n">
        <v>14.52</v>
      </c>
      <c r="K437" t="inlineStr">
        <is>
          <t>BSE</t>
        </is>
      </c>
      <c r="L437" t="inlineStr">
        <is>
          <t>QE-CLEARING</t>
        </is>
      </c>
      <c r="M437" t="inlineStr">
        <is>
          <t>T100439</t>
        </is>
      </c>
    </row>
    <row r="438">
      <c r="A438" t="inlineStr">
        <is>
          <t>T100440</t>
        </is>
      </c>
      <c r="B438" t="inlineStr">
        <is>
          <t>2026-06-30</t>
        </is>
      </c>
      <c r="C438" t="inlineStr">
        <is>
          <t>09:22:37</t>
        </is>
      </c>
      <c r="D438" t="inlineStr">
        <is>
          <t>BANKNIFTY-55000-CE</t>
        </is>
      </c>
      <c r="E438" t="inlineStr">
        <is>
          <t>Option</t>
        </is>
      </c>
      <c r="F438" t="inlineStr">
        <is>
          <t>BUY</t>
        </is>
      </c>
      <c r="G438" t="n">
        <v>45</v>
      </c>
      <c r="H438" t="n">
        <v>411.05</v>
      </c>
      <c r="I438" t="n">
        <v>18497.25</v>
      </c>
      <c r="J438" t="n">
        <v>9.25</v>
      </c>
      <c r="K438" t="inlineStr">
        <is>
          <t>NSE</t>
        </is>
      </c>
      <c r="L438" t="inlineStr">
        <is>
          <t>QE-CLEARING</t>
        </is>
      </c>
      <c r="M438" t="inlineStr">
        <is>
          <t>T100440</t>
        </is>
      </c>
    </row>
    <row r="439">
      <c r="A439" t="inlineStr">
        <is>
          <t>T100441</t>
        </is>
      </c>
      <c r="B439" t="inlineStr">
        <is>
          <t>2026-06-30</t>
        </is>
      </c>
      <c r="C439" t="inlineStr">
        <is>
          <t>15:17:31</t>
        </is>
      </c>
      <c r="D439" t="inlineStr">
        <is>
          <t>NIFTY-24800-CE</t>
        </is>
      </c>
      <c r="E439" t="inlineStr">
        <is>
          <t>Option</t>
        </is>
      </c>
      <c r="F439" t="inlineStr">
        <is>
          <t>BUY</t>
        </is>
      </c>
      <c r="G439" t="n">
        <v>125</v>
      </c>
      <c r="H439" t="n">
        <v>181.84</v>
      </c>
      <c r="I439" t="n">
        <v>22730</v>
      </c>
      <c r="J439" t="n">
        <v>11.37</v>
      </c>
      <c r="K439" t="inlineStr">
        <is>
          <t>BSE</t>
        </is>
      </c>
      <c r="L439" t="inlineStr">
        <is>
          <t>QE-CLEARING</t>
        </is>
      </c>
      <c r="M439" t="inlineStr">
        <is>
          <t>T100441</t>
        </is>
      </c>
    </row>
    <row r="440">
      <c r="A440" t="inlineStr">
        <is>
          <t>T100442</t>
        </is>
      </c>
      <c r="B440" t="inlineStr">
        <is>
          <t>2026-06-30</t>
        </is>
      </c>
      <c r="C440" t="inlineStr">
        <is>
          <t>09:06:44</t>
        </is>
      </c>
      <c r="D440" t="inlineStr">
        <is>
          <t>BANKNIFTY-55500-PE</t>
        </is>
      </c>
      <c r="E440" t="inlineStr">
        <is>
          <t>Option</t>
        </is>
      </c>
      <c r="F440" t="inlineStr">
        <is>
          <t>BUY</t>
        </is>
      </c>
      <c r="G440" t="n">
        <v>30</v>
      </c>
      <c r="H440" t="n">
        <v>387.95</v>
      </c>
      <c r="I440" t="n">
        <v>11638.5</v>
      </c>
      <c r="J440" t="n">
        <v>5.82</v>
      </c>
      <c r="K440" t="inlineStr">
        <is>
          <t>NSE</t>
        </is>
      </c>
      <c r="L440" t="inlineStr">
        <is>
          <t>QE-CLEARING</t>
        </is>
      </c>
      <c r="M440" t="inlineStr">
        <is>
          <t>T100442</t>
        </is>
      </c>
    </row>
    <row r="441">
      <c r="A441" t="inlineStr">
        <is>
          <t>T100443</t>
        </is>
      </c>
      <c r="B441" t="inlineStr">
        <is>
          <t>2026-06-30</t>
        </is>
      </c>
      <c r="C441" t="inlineStr">
        <is>
          <t>12:53:52</t>
        </is>
      </c>
      <c r="D441" t="inlineStr">
        <is>
          <t>BANKNIFTY-55500-PE</t>
        </is>
      </c>
      <c r="E441" t="inlineStr">
        <is>
          <t>Option</t>
        </is>
      </c>
      <c r="F441" t="inlineStr">
        <is>
          <t>BUY</t>
        </is>
      </c>
      <c r="G441" t="n">
        <v>45</v>
      </c>
      <c r="H441" t="n">
        <v>386.55</v>
      </c>
      <c r="I441" t="n">
        <v>17394.75</v>
      </c>
      <c r="J441" t="n">
        <v>8.699999999999999</v>
      </c>
      <c r="K441" t="inlineStr">
        <is>
          <t>NSE</t>
        </is>
      </c>
      <c r="L441" t="inlineStr">
        <is>
          <t>QE-CLEARING</t>
        </is>
      </c>
      <c r="M441" t="inlineStr">
        <is>
          <t>T100443</t>
        </is>
      </c>
    </row>
    <row r="442">
      <c r="A442" t="inlineStr">
        <is>
          <t>T100444</t>
        </is>
      </c>
      <c r="B442" t="inlineStr">
        <is>
          <t>2026-06-30</t>
        </is>
      </c>
      <c r="C442" t="inlineStr">
        <is>
          <t>13:07:21</t>
        </is>
      </c>
      <c r="D442" t="inlineStr">
        <is>
          <t>NIFTY-25000-PE</t>
        </is>
      </c>
      <c r="E442" t="inlineStr">
        <is>
          <t>Option</t>
        </is>
      </c>
      <c r="F442" t="inlineStr">
        <is>
          <t>SELL</t>
        </is>
      </c>
      <c r="G442" t="n">
        <v>75</v>
      </c>
      <c r="H442" t="n">
        <v>145.73</v>
      </c>
      <c r="I442" t="n">
        <v>10929.75</v>
      </c>
      <c r="J442" t="n">
        <v>5.46</v>
      </c>
      <c r="K442" t="inlineStr">
        <is>
          <t>BSE</t>
        </is>
      </c>
      <c r="L442" t="inlineStr">
        <is>
          <t>QE-CLEARING</t>
        </is>
      </c>
      <c r="M442" t="inlineStr">
        <is>
          <t>T100444</t>
        </is>
      </c>
    </row>
    <row r="443">
      <c r="A443" t="inlineStr">
        <is>
          <t>T100445</t>
        </is>
      </c>
      <c r="B443" t="inlineStr">
        <is>
          <t>2026-06-30</t>
        </is>
      </c>
      <c r="C443" t="inlineStr">
        <is>
          <t>13:04:16</t>
        </is>
      </c>
      <c r="D443" t="inlineStr">
        <is>
          <t>NIFTY-24800-CE</t>
        </is>
      </c>
      <c r="E443" t="inlineStr">
        <is>
          <t>Option</t>
        </is>
      </c>
      <c r="F443" t="inlineStr">
        <is>
          <t>SELL</t>
        </is>
      </c>
      <c r="G443" t="n">
        <v>100</v>
      </c>
      <c r="H443" t="n">
        <v>182.33</v>
      </c>
      <c r="I443" t="n">
        <v>18233</v>
      </c>
      <c r="J443" t="n">
        <v>9.119999999999999</v>
      </c>
      <c r="K443" t="inlineStr">
        <is>
          <t>BSE</t>
        </is>
      </c>
      <c r="L443" t="inlineStr">
        <is>
          <t>QE-CLEARING</t>
        </is>
      </c>
      <c r="M443" t="inlineStr">
        <is>
          <t>T100445</t>
        </is>
      </c>
    </row>
    <row r="444">
      <c r="A444" t="inlineStr">
        <is>
          <t>T100446</t>
        </is>
      </c>
      <c r="B444" t="inlineStr">
        <is>
          <t>2026-06-30</t>
        </is>
      </c>
      <c r="C444" t="inlineStr">
        <is>
          <t>15:47:37</t>
        </is>
      </c>
      <c r="D444" t="inlineStr">
        <is>
          <t>BANKNIFTY-55000-CE</t>
        </is>
      </c>
      <c r="E444" t="inlineStr">
        <is>
          <t>Option</t>
        </is>
      </c>
      <c r="F444" t="inlineStr">
        <is>
          <t>BUY</t>
        </is>
      </c>
      <c r="G444" t="n">
        <v>120</v>
      </c>
      <c r="H444" t="n">
        <v>409.7</v>
      </c>
      <c r="I444" t="n">
        <v>49164</v>
      </c>
      <c r="J444" t="n">
        <v>24.58</v>
      </c>
      <c r="K444" t="inlineStr">
        <is>
          <t>BSE</t>
        </is>
      </c>
      <c r="L444" t="inlineStr">
        <is>
          <t>QE-CLEARING</t>
        </is>
      </c>
      <c r="M444" t="inlineStr">
        <is>
          <t>T100446</t>
        </is>
      </c>
    </row>
    <row r="445">
      <c r="A445" t="inlineStr">
        <is>
          <t>T100447</t>
        </is>
      </c>
      <c r="B445" t="inlineStr">
        <is>
          <t>2026-06-30</t>
        </is>
      </c>
      <c r="C445" t="inlineStr">
        <is>
          <t>10:10:22</t>
        </is>
      </c>
      <c r="D445" t="inlineStr">
        <is>
          <t>BANKNIFTY-55500-PE</t>
        </is>
      </c>
      <c r="E445" t="inlineStr">
        <is>
          <t>Option</t>
        </is>
      </c>
      <c r="F445" t="inlineStr">
        <is>
          <t>SELL</t>
        </is>
      </c>
      <c r="G445" t="n">
        <v>30</v>
      </c>
      <c r="H445" t="n">
        <v>388.93</v>
      </c>
      <c r="I445" t="n">
        <v>11667.9</v>
      </c>
      <c r="J445" t="n">
        <v>5.83</v>
      </c>
      <c r="K445" t="inlineStr">
        <is>
          <t>NSE</t>
        </is>
      </c>
      <c r="L445" t="inlineStr">
        <is>
          <t>QE-CLEARING</t>
        </is>
      </c>
      <c r="M445" t="inlineStr">
        <is>
          <t>T100447</t>
        </is>
      </c>
    </row>
    <row r="446">
      <c r="A446" t="inlineStr">
        <is>
          <t>T100448</t>
        </is>
      </c>
      <c r="B446" t="inlineStr">
        <is>
          <t>2026-06-30</t>
        </is>
      </c>
      <c r="C446" t="inlineStr">
        <is>
          <t>14:35:58</t>
        </is>
      </c>
      <c r="D446" t="inlineStr">
        <is>
          <t>NIFTY-25000-PE</t>
        </is>
      </c>
      <c r="E446" t="inlineStr">
        <is>
          <t>Option</t>
        </is>
      </c>
      <c r="F446" t="inlineStr">
        <is>
          <t>BUY</t>
        </is>
      </c>
      <c r="G446" t="n">
        <v>50</v>
      </c>
      <c r="H446" t="n">
        <v>145.56</v>
      </c>
      <c r="I446" t="n">
        <v>7278</v>
      </c>
      <c r="J446" t="n">
        <v>3.64</v>
      </c>
      <c r="K446" t="inlineStr">
        <is>
          <t>NSE</t>
        </is>
      </c>
      <c r="L446" t="inlineStr">
        <is>
          <t>QE-CLEARING</t>
        </is>
      </c>
      <c r="M446" t="inlineStr">
        <is>
          <t>T100448</t>
        </is>
      </c>
    </row>
    <row r="447">
      <c r="A447" t="inlineStr">
        <is>
          <t>T100449</t>
        </is>
      </c>
      <c r="B447" t="inlineStr">
        <is>
          <t>2026-06-30</t>
        </is>
      </c>
      <c r="C447" t="inlineStr">
        <is>
          <t>12:06:53</t>
        </is>
      </c>
      <c r="D447" t="inlineStr">
        <is>
          <t>BANKNIFTY-55500-PE</t>
        </is>
      </c>
      <c r="E447" t="inlineStr">
        <is>
          <t>Option</t>
        </is>
      </c>
      <c r="F447" t="inlineStr">
        <is>
          <t>BUY</t>
        </is>
      </c>
      <c r="G447" t="n">
        <v>75</v>
      </c>
      <c r="H447" t="n">
        <v>387.37</v>
      </c>
      <c r="I447" t="n">
        <v>29052.75</v>
      </c>
      <c r="J447" t="n">
        <v>14.53</v>
      </c>
      <c r="K447" t="inlineStr">
        <is>
          <t>NSE</t>
        </is>
      </c>
      <c r="L447" t="inlineStr">
        <is>
          <t>QE-CLEARING</t>
        </is>
      </c>
      <c r="M447" t="inlineStr">
        <is>
          <t>T100449</t>
        </is>
      </c>
    </row>
    <row r="448">
      <c r="A448" t="inlineStr">
        <is>
          <t>T100450</t>
        </is>
      </c>
      <c r="B448" t="inlineStr">
        <is>
          <t>2026-06-30</t>
        </is>
      </c>
      <c r="C448" t="inlineStr">
        <is>
          <t>14:30:29</t>
        </is>
      </c>
      <c r="D448" t="inlineStr">
        <is>
          <t>NIFTY-25000-PE</t>
        </is>
      </c>
      <c r="E448" t="inlineStr">
        <is>
          <t>Option</t>
        </is>
      </c>
      <c r="F448" t="inlineStr">
        <is>
          <t>BUY</t>
        </is>
      </c>
      <c r="G448" t="n">
        <v>200</v>
      </c>
      <c r="H448" t="n">
        <v>146.18</v>
      </c>
      <c r="I448" t="n">
        <v>29236</v>
      </c>
      <c r="J448" t="n">
        <v>14.62</v>
      </c>
      <c r="K448" t="inlineStr">
        <is>
          <t>NSE</t>
        </is>
      </c>
      <c r="L448" t="inlineStr">
        <is>
          <t>QE-CLEARING</t>
        </is>
      </c>
      <c r="M448" t="inlineStr">
        <is>
          <t>T100450</t>
        </is>
      </c>
    </row>
    <row r="449">
      <c r="A449" t="inlineStr">
        <is>
          <t>T100451</t>
        </is>
      </c>
      <c r="B449" t="inlineStr">
        <is>
          <t>2026-06-30</t>
        </is>
      </c>
      <c r="C449" t="inlineStr">
        <is>
          <t>12:58:29</t>
        </is>
      </c>
      <c r="D449" t="inlineStr">
        <is>
          <t>BANKNIFTY-55500-PE</t>
        </is>
      </c>
      <c r="E449" t="inlineStr">
        <is>
          <t>Option</t>
        </is>
      </c>
      <c r="F449" t="inlineStr">
        <is>
          <t>SELL</t>
        </is>
      </c>
      <c r="G449" t="n">
        <v>75</v>
      </c>
      <c r="H449" t="n">
        <v>387.11</v>
      </c>
      <c r="I449" t="n">
        <v>29033.25</v>
      </c>
      <c r="J449" t="n">
        <v>14.52</v>
      </c>
      <c r="K449" t="inlineStr">
        <is>
          <t>NSE</t>
        </is>
      </c>
      <c r="L449" t="inlineStr">
        <is>
          <t>QE-CLEARING</t>
        </is>
      </c>
      <c r="M449" t="inlineStr">
        <is>
          <t>T100451</t>
        </is>
      </c>
    </row>
    <row r="450">
      <c r="A450" t="inlineStr">
        <is>
          <t>T100452</t>
        </is>
      </c>
      <c r="B450" t="inlineStr">
        <is>
          <t>2026-06-30</t>
        </is>
      </c>
      <c r="C450" t="inlineStr">
        <is>
          <t>13:03:40</t>
        </is>
      </c>
      <c r="D450" t="inlineStr">
        <is>
          <t>NIFTY-24800-CE</t>
        </is>
      </c>
      <c r="E450" t="inlineStr">
        <is>
          <t>Option</t>
        </is>
      </c>
      <c r="F450" t="inlineStr">
        <is>
          <t>BUY</t>
        </is>
      </c>
      <c r="G450" t="n">
        <v>50</v>
      </c>
      <c r="H450" t="n">
        <v>182.2</v>
      </c>
      <c r="I450" t="n">
        <v>9110</v>
      </c>
      <c r="J450" t="n">
        <v>4.55</v>
      </c>
      <c r="K450" t="inlineStr">
        <is>
          <t>BSE</t>
        </is>
      </c>
      <c r="L450" t="inlineStr">
        <is>
          <t>QE-CLEARING</t>
        </is>
      </c>
      <c r="M450" t="inlineStr">
        <is>
          <t>T100452</t>
        </is>
      </c>
    </row>
    <row r="451">
      <c r="A451" t="inlineStr">
        <is>
          <t>T100453</t>
        </is>
      </c>
      <c r="B451" t="inlineStr">
        <is>
          <t>2026-06-30</t>
        </is>
      </c>
      <c r="C451" t="inlineStr">
        <is>
          <t>11:08:02</t>
        </is>
      </c>
      <c r="D451" t="inlineStr">
        <is>
          <t>NIFTY-24800-CE</t>
        </is>
      </c>
      <c r="E451" t="inlineStr">
        <is>
          <t>Option</t>
        </is>
      </c>
      <c r="F451" t="inlineStr">
        <is>
          <t>SELL</t>
        </is>
      </c>
      <c r="G451" t="n">
        <v>50</v>
      </c>
      <c r="H451" t="n">
        <v>181.69</v>
      </c>
      <c r="I451" t="n">
        <v>9084.5</v>
      </c>
      <c r="J451" t="n">
        <v>4.54</v>
      </c>
      <c r="K451" t="inlineStr">
        <is>
          <t>NSE</t>
        </is>
      </c>
      <c r="L451" t="inlineStr">
        <is>
          <t>QE-CLEARING</t>
        </is>
      </c>
      <c r="M451" t="inlineStr">
        <is>
          <t>T100453</t>
        </is>
      </c>
    </row>
    <row r="452">
      <c r="A452" t="inlineStr">
        <is>
          <t>T100454</t>
        </is>
      </c>
      <c r="B452" t="inlineStr">
        <is>
          <t>2026-06-30</t>
        </is>
      </c>
      <c r="C452" t="inlineStr">
        <is>
          <t>10:15:48</t>
        </is>
      </c>
      <c r="D452" t="inlineStr">
        <is>
          <t>BANKNIFTY-55500-PE</t>
        </is>
      </c>
      <c r="E452" t="inlineStr">
        <is>
          <t>Option</t>
        </is>
      </c>
      <c r="F452" t="inlineStr">
        <is>
          <t>SELL</t>
        </is>
      </c>
      <c r="G452" t="n">
        <v>30</v>
      </c>
      <c r="H452" t="n">
        <v>388.67</v>
      </c>
      <c r="I452" t="n">
        <v>11660.1</v>
      </c>
      <c r="J452" t="n">
        <v>5.83</v>
      </c>
      <c r="K452" t="inlineStr">
        <is>
          <t>NSE</t>
        </is>
      </c>
      <c r="L452" t="inlineStr">
        <is>
          <t>QE-CLEARING</t>
        </is>
      </c>
      <c r="M452" t="inlineStr">
        <is>
          <t>T100454</t>
        </is>
      </c>
    </row>
    <row r="453">
      <c r="A453" t="inlineStr">
        <is>
          <t>T100455</t>
        </is>
      </c>
      <c r="B453" t="inlineStr">
        <is>
          <t>2026-06-30</t>
        </is>
      </c>
      <c r="C453" t="inlineStr">
        <is>
          <t>11:59:43</t>
        </is>
      </c>
      <c r="D453" t="inlineStr">
        <is>
          <t>NIFTY-24800-CE</t>
        </is>
      </c>
      <c r="E453" t="inlineStr">
        <is>
          <t>Option</t>
        </is>
      </c>
      <c r="F453" t="inlineStr">
        <is>
          <t>SELL</t>
        </is>
      </c>
      <c r="G453" t="n">
        <v>125</v>
      </c>
      <c r="H453" t="n">
        <v>181.37</v>
      </c>
      <c r="I453" t="n">
        <v>22671.25</v>
      </c>
      <c r="J453" t="n">
        <v>11.34</v>
      </c>
      <c r="K453" t="inlineStr">
        <is>
          <t>BSE</t>
        </is>
      </c>
      <c r="L453" t="inlineStr">
        <is>
          <t>QE-CLEARING</t>
        </is>
      </c>
      <c r="M453" t="inlineStr">
        <is>
          <t>T100455</t>
        </is>
      </c>
    </row>
    <row r="454">
      <c r="A454" t="inlineStr">
        <is>
          <t>T100456</t>
        </is>
      </c>
      <c r="B454" t="inlineStr">
        <is>
          <t>2026-06-30</t>
        </is>
      </c>
      <c r="C454" t="inlineStr">
        <is>
          <t>11:53:15</t>
        </is>
      </c>
      <c r="D454" t="inlineStr">
        <is>
          <t>NIFTY-25000-PE</t>
        </is>
      </c>
      <c r="E454" t="inlineStr">
        <is>
          <t>Option</t>
        </is>
      </c>
      <c r="F454" t="inlineStr">
        <is>
          <t>SELL</t>
        </is>
      </c>
      <c r="G454" t="n">
        <v>200</v>
      </c>
      <c r="H454" t="n">
        <v>145.68</v>
      </c>
      <c r="I454" t="n">
        <v>29136</v>
      </c>
      <c r="J454" t="n">
        <v>14.57</v>
      </c>
      <c r="K454" t="inlineStr">
        <is>
          <t>BSE</t>
        </is>
      </c>
      <c r="L454" t="inlineStr">
        <is>
          <t>QE-CLEARING</t>
        </is>
      </c>
      <c r="M454" t="inlineStr">
        <is>
          <t>T100456</t>
        </is>
      </c>
    </row>
    <row r="455">
      <c r="A455" t="inlineStr">
        <is>
          <t>T100457</t>
        </is>
      </c>
      <c r="B455" t="inlineStr">
        <is>
          <t>2026-06-30</t>
        </is>
      </c>
      <c r="C455" t="inlineStr">
        <is>
          <t>13:04:22</t>
        </is>
      </c>
      <c r="D455" t="inlineStr">
        <is>
          <t>BANKNIFTY-55000-CE</t>
        </is>
      </c>
      <c r="E455" t="inlineStr">
        <is>
          <t>Option</t>
        </is>
      </c>
      <c r="F455" t="inlineStr">
        <is>
          <t>SELL</t>
        </is>
      </c>
      <c r="G455" t="n">
        <v>60</v>
      </c>
      <c r="H455" t="n">
        <v>410.38</v>
      </c>
      <c r="I455" t="n">
        <v>24622.8</v>
      </c>
      <c r="J455" t="n">
        <v>12.31</v>
      </c>
      <c r="K455" t="inlineStr">
        <is>
          <t>BSE</t>
        </is>
      </c>
      <c r="L455" t="inlineStr">
        <is>
          <t>QE-CLEARING</t>
        </is>
      </c>
      <c r="M455" t="inlineStr">
        <is>
          <t>T100457</t>
        </is>
      </c>
    </row>
    <row r="456">
      <c r="A456" t="inlineStr">
        <is>
          <t>T100458</t>
        </is>
      </c>
      <c r="B456" t="inlineStr">
        <is>
          <t>2026-06-30</t>
        </is>
      </c>
      <c r="C456" t="inlineStr">
        <is>
          <t>13:05:04</t>
        </is>
      </c>
      <c r="D456" t="inlineStr">
        <is>
          <t>NIFTY-24800-CE</t>
        </is>
      </c>
      <c r="E456" t="inlineStr">
        <is>
          <t>Option</t>
        </is>
      </c>
      <c r="F456" t="inlineStr">
        <is>
          <t>BUY</t>
        </is>
      </c>
      <c r="G456" t="n">
        <v>250</v>
      </c>
      <c r="H456" t="n">
        <v>182.71</v>
      </c>
      <c r="I456" t="n">
        <v>45677.5</v>
      </c>
      <c r="J456" t="n">
        <v>22.84</v>
      </c>
      <c r="K456" t="inlineStr">
        <is>
          <t>NSE</t>
        </is>
      </c>
      <c r="L456" t="inlineStr">
        <is>
          <t>QE-CLEARING</t>
        </is>
      </c>
      <c r="M456" t="inlineStr">
        <is>
          <t>T100458</t>
        </is>
      </c>
    </row>
    <row r="457">
      <c r="A457" t="inlineStr">
        <is>
          <t>T100459</t>
        </is>
      </c>
      <c r="B457" t="inlineStr">
        <is>
          <t>2026-06-30</t>
        </is>
      </c>
      <c r="C457" t="inlineStr">
        <is>
          <t>13:58:18</t>
        </is>
      </c>
      <c r="D457" t="inlineStr">
        <is>
          <t>BANKNIFTY-55500-PE</t>
        </is>
      </c>
      <c r="E457" t="inlineStr">
        <is>
          <t>Option</t>
        </is>
      </c>
      <c r="F457" t="inlineStr">
        <is>
          <t>BUY</t>
        </is>
      </c>
      <c r="G457" t="n">
        <v>60</v>
      </c>
      <c r="H457" t="n">
        <v>389.39</v>
      </c>
      <c r="I457" t="n">
        <v>23363.4</v>
      </c>
      <c r="J457" t="n">
        <v>11.68</v>
      </c>
      <c r="K457" t="inlineStr">
        <is>
          <t>NSE</t>
        </is>
      </c>
      <c r="L457" t="inlineStr">
        <is>
          <t>QE-CLEARING</t>
        </is>
      </c>
      <c r="M457" t="inlineStr">
        <is>
          <t>T100459</t>
        </is>
      </c>
    </row>
    <row r="458">
      <c r="A458" t="inlineStr">
        <is>
          <t>T100460</t>
        </is>
      </c>
      <c r="B458" t="inlineStr">
        <is>
          <t>2026-06-30</t>
        </is>
      </c>
      <c r="C458" t="inlineStr">
        <is>
          <t>09:40:37</t>
        </is>
      </c>
      <c r="D458" t="inlineStr">
        <is>
          <t>NIFTY-24800-CE</t>
        </is>
      </c>
      <c r="E458" t="inlineStr">
        <is>
          <t>Option</t>
        </is>
      </c>
      <c r="F458" t="inlineStr">
        <is>
          <t>BUY</t>
        </is>
      </c>
      <c r="G458" t="n">
        <v>75</v>
      </c>
      <c r="H458" t="n">
        <v>182.42</v>
      </c>
      <c r="I458" t="n">
        <v>13681.5</v>
      </c>
      <c r="J458" t="n">
        <v>6.84</v>
      </c>
      <c r="K458" t="inlineStr">
        <is>
          <t>NSE</t>
        </is>
      </c>
      <c r="L458" t="inlineStr">
        <is>
          <t>QE-CLEARING</t>
        </is>
      </c>
      <c r="M458" t="inlineStr">
        <is>
          <t>T100460</t>
        </is>
      </c>
    </row>
    <row r="459">
      <c r="A459" t="inlineStr">
        <is>
          <t>T100461</t>
        </is>
      </c>
      <c r="B459" t="inlineStr">
        <is>
          <t>2026-06-30</t>
        </is>
      </c>
      <c r="C459" t="inlineStr">
        <is>
          <t>14:36:42</t>
        </is>
      </c>
      <c r="D459" t="inlineStr">
        <is>
          <t>TATAMOTORS</t>
        </is>
      </c>
      <c r="E459" t="inlineStr">
        <is>
          <t>Equity</t>
        </is>
      </c>
      <c r="F459" t="inlineStr">
        <is>
          <t>BUY</t>
        </is>
      </c>
      <c r="G459" t="n">
        <v>300</v>
      </c>
      <c r="H459" t="n">
        <v>982.24</v>
      </c>
      <c r="I459" t="n">
        <v>294672</v>
      </c>
      <c r="J459" t="n">
        <v>103.14</v>
      </c>
      <c r="K459" t="inlineStr">
        <is>
          <t>NSE</t>
        </is>
      </c>
      <c r="L459" t="inlineStr">
        <is>
          <t>QE-CLEARING</t>
        </is>
      </c>
      <c r="M459" t="inlineStr">
        <is>
          <t>T100461</t>
        </is>
      </c>
    </row>
    <row r="460">
      <c r="A460" t="inlineStr">
        <is>
          <t>T100462</t>
        </is>
      </c>
      <c r="B460" t="inlineStr">
        <is>
          <t>2026-06-30</t>
        </is>
      </c>
      <c r="C460" t="inlineStr">
        <is>
          <t>14:41:42</t>
        </is>
      </c>
      <c r="D460" t="inlineStr">
        <is>
          <t>BAJFINANCE</t>
        </is>
      </c>
      <c r="E460" t="inlineStr">
        <is>
          <t>Equity</t>
        </is>
      </c>
      <c r="F460" t="inlineStr">
        <is>
          <t>BUY</t>
        </is>
      </c>
      <c r="G460" t="n">
        <v>200</v>
      </c>
      <c r="H460" t="n">
        <v>7165.41</v>
      </c>
      <c r="I460" t="n">
        <v>1433082</v>
      </c>
      <c r="J460" t="n">
        <v>501.58</v>
      </c>
      <c r="K460" t="inlineStr">
        <is>
          <t>BSE</t>
        </is>
      </c>
      <c r="L460" t="inlineStr">
        <is>
          <t>QE-CLEARING</t>
        </is>
      </c>
      <c r="M460" t="inlineStr">
        <is>
          <t>T100462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8" t="inlineStr">
        <is>
          <t>TradeID</t>
        </is>
      </c>
      <c r="B1" s="8" t="inlineStr">
        <is>
          <t>Symbol</t>
        </is>
      </c>
      <c r="C1" s="8" t="inlineStr">
        <is>
          <t>AssetClass</t>
        </is>
      </c>
      <c r="D1" s="8" t="inlineStr">
        <is>
          <t>Venue</t>
        </is>
      </c>
      <c r="E1" s="8" t="inlineStr">
        <is>
          <t>InInternal</t>
        </is>
      </c>
      <c r="F1" s="8" t="inlineStr">
        <is>
          <t>InExchange</t>
        </is>
      </c>
      <c r="G1" s="8" t="inlineStr">
        <is>
          <t>IntSide</t>
        </is>
      </c>
      <c r="H1" s="8" t="inlineStr">
        <is>
          <t>ExchSide</t>
        </is>
      </c>
      <c r="I1" s="8" t="inlineStr">
        <is>
          <t>IntQty</t>
        </is>
      </c>
      <c r="J1" s="8" t="inlineStr">
        <is>
          <t>ExchQty</t>
        </is>
      </c>
      <c r="K1" s="8" t="inlineStr">
        <is>
          <t>IntPrice</t>
        </is>
      </c>
      <c r="L1" s="8" t="inlineStr">
        <is>
          <t>ExchPrice</t>
        </is>
      </c>
      <c r="M1" s="8" t="inlineStr">
        <is>
          <t>IntFees</t>
        </is>
      </c>
      <c r="N1" s="8" t="inlineStr">
        <is>
          <t>ExchFees</t>
        </is>
      </c>
      <c r="O1" s="8" t="inlineStr">
        <is>
          <t>IntNotional</t>
        </is>
      </c>
      <c r="P1" s="8" t="inlineStr">
        <is>
          <t>ExchNotional</t>
        </is>
      </c>
      <c r="Q1" s="8" t="inlineStr">
        <is>
          <t>BreakType</t>
        </is>
      </c>
      <c r="R1" s="8" t="inlineStr">
        <is>
          <t>IsBreak</t>
        </is>
      </c>
      <c r="S1" s="8" t="inlineStr">
        <is>
          <t>BreakNotional</t>
        </is>
      </c>
    </row>
    <row r="2">
      <c r="A2" t="inlineStr">
        <is>
          <t>T100001</t>
        </is>
      </c>
      <c r="B2">
        <f>IFERROR(INDEX(InternalTrades!$D$2:$D$461,MATCH($A2,InternalTrades!$A$2:$A$461,0)),INDEX(ExchangeConfirms!$D$2:$D$460,MATCH($A2,ExchangeConfirms!$A$2:$A$460,0)))</f>
        <v/>
      </c>
      <c r="C2">
        <f>IFERROR(INDEX(InternalTrades!$E$2:$E$461,MATCH($A2,InternalTrades!$A$2:$A$461,0)),INDEX(ExchangeConfirms!$E$2:$E$460,MATCH($A2,ExchangeConfirms!$A$2:$A$460,0)))</f>
        <v/>
      </c>
      <c r="D2">
        <f>IFERROR(INDEX(InternalTrades!$K$2:$K$461,MATCH($A2,InternalTrades!$A$2:$A$461,0)),INDEX(ExchangeConfirms!$K$2:$K$460,MATCH($A2,ExchangeConfirms!$A$2:$A$460,0)))</f>
        <v/>
      </c>
      <c r="E2">
        <f>IF(COUNTIF(InternalTrades!$A$2:$A$461,$A2)&gt;0,1,0)</f>
        <v/>
      </c>
      <c r="F2">
        <f>IF(COUNTIF(ExchangeConfirms!$A$2:$A$460,$A2)&gt;0,1,0)</f>
        <v/>
      </c>
      <c r="G2">
        <f>IFERROR(INDEX(InternalTrades!$F$2:$F$461,MATCH($A2,InternalTrades!$A$2:$A$461,0)),"")</f>
        <v/>
      </c>
      <c r="H2">
        <f>IFERROR(INDEX(ExchangeConfirms!$F$2:$F$460,MATCH($A2,ExchangeConfirms!$A$2:$A$460,0)),"")</f>
        <v/>
      </c>
      <c r="I2">
        <f>IFERROR(INDEX(InternalTrades!$G$2:$G$461,MATCH($A2,InternalTrades!$A$2:$A$461,0)),"")</f>
        <v/>
      </c>
      <c r="J2">
        <f>IFERROR(INDEX(ExchangeConfirms!$G$2:$G$460,MATCH($A2,ExchangeConfirms!$A$2:$A$460,0)),"")</f>
        <v/>
      </c>
      <c r="K2">
        <f>IFERROR(INDEX(InternalTrades!$H$2:$H$461,MATCH($A2,InternalTrades!$A$2:$A$461,0)),"")</f>
        <v/>
      </c>
      <c r="L2">
        <f>IFERROR(INDEX(ExchangeConfirms!$H$2:$H$460,MATCH($A2,ExchangeConfirms!$A$2:$A$460,0)),"")</f>
        <v/>
      </c>
      <c r="M2">
        <f>IFERROR(INDEX(InternalTrades!$J$2:$J$461,MATCH($A2,InternalTrades!$A$2:$A$461,0)),"")</f>
        <v/>
      </c>
      <c r="N2">
        <f>IFERROR(INDEX(ExchangeConfirms!$J$2:$J$460,MATCH($A2,ExchangeConfirms!$A$2:$A$460,0)),"")</f>
        <v/>
      </c>
      <c r="O2">
        <f>IFERROR(INDEX(InternalTrades!$I$2:$I$461,MATCH($A2,InternalTrades!$A$2:$A$461,0)),"")</f>
        <v/>
      </c>
      <c r="P2">
        <f>IFERROR(INDEX(ExchangeConfirms!$I$2:$I$460,MATCH($A2,ExchangeConfirms!$A$2:$A$460,0)),"")</f>
        <v/>
      </c>
      <c r="Q2">
        <f>IF(AND($E2=1,$F2=0),"MISSING IN EXCHANGE",IF(AND($E2=0,$F2=1),"MISSING IN INTERNAL",IF($G2&lt;&gt;$H2,"SIDE BREAK",IF($I2&lt;&gt;$J2,"QTY BREAK",IF(ABS($K2-$L2)&gt;0.005,"PRICE BREAK",IF(ABS($M2-$N2)&gt;0.01,"FEE BREAK","MATCHED"))))))</f>
        <v/>
      </c>
      <c r="R2">
        <f>IF($Q2="MATCHED",0,1)</f>
        <v/>
      </c>
      <c r="S2">
        <f>IF($Q2="MATCHED",0,IF($Q2="MISSING IN EXCHANGE",$O2,IF($Q2="MISSING IN INTERNAL",$P2,ABS(N($O2)-N($P2)))))</f>
        <v/>
      </c>
    </row>
    <row r="3">
      <c r="A3" t="inlineStr">
        <is>
          <t>T100002</t>
        </is>
      </c>
      <c r="B3">
        <f>IFERROR(INDEX(InternalTrades!$D$2:$D$461,MATCH($A3,InternalTrades!$A$2:$A$461,0)),INDEX(ExchangeConfirms!$D$2:$D$460,MATCH($A3,ExchangeConfirms!$A$2:$A$460,0)))</f>
        <v/>
      </c>
      <c r="C3">
        <f>IFERROR(INDEX(InternalTrades!$E$2:$E$461,MATCH($A3,InternalTrades!$A$2:$A$461,0)),INDEX(ExchangeConfirms!$E$2:$E$460,MATCH($A3,ExchangeConfirms!$A$2:$A$460,0)))</f>
        <v/>
      </c>
      <c r="D3">
        <f>IFERROR(INDEX(InternalTrades!$K$2:$K$461,MATCH($A3,InternalTrades!$A$2:$A$461,0)),INDEX(ExchangeConfirms!$K$2:$K$460,MATCH($A3,ExchangeConfirms!$A$2:$A$460,0)))</f>
        <v/>
      </c>
      <c r="E3">
        <f>IF(COUNTIF(InternalTrades!$A$2:$A$461,$A3)&gt;0,1,0)</f>
        <v/>
      </c>
      <c r="F3">
        <f>IF(COUNTIF(ExchangeConfirms!$A$2:$A$460,$A3)&gt;0,1,0)</f>
        <v/>
      </c>
      <c r="G3">
        <f>IFERROR(INDEX(InternalTrades!$F$2:$F$461,MATCH($A3,InternalTrades!$A$2:$A$461,0)),"")</f>
        <v/>
      </c>
      <c r="H3">
        <f>IFERROR(INDEX(ExchangeConfirms!$F$2:$F$460,MATCH($A3,ExchangeConfirms!$A$2:$A$460,0)),"")</f>
        <v/>
      </c>
      <c r="I3">
        <f>IFERROR(INDEX(InternalTrades!$G$2:$G$461,MATCH($A3,InternalTrades!$A$2:$A$461,0)),"")</f>
        <v/>
      </c>
      <c r="J3">
        <f>IFERROR(INDEX(ExchangeConfirms!$G$2:$G$460,MATCH($A3,ExchangeConfirms!$A$2:$A$460,0)),"")</f>
        <v/>
      </c>
      <c r="K3">
        <f>IFERROR(INDEX(InternalTrades!$H$2:$H$461,MATCH($A3,InternalTrades!$A$2:$A$461,0)),"")</f>
        <v/>
      </c>
      <c r="L3">
        <f>IFERROR(INDEX(ExchangeConfirms!$H$2:$H$460,MATCH($A3,ExchangeConfirms!$A$2:$A$460,0)),"")</f>
        <v/>
      </c>
      <c r="M3">
        <f>IFERROR(INDEX(InternalTrades!$J$2:$J$461,MATCH($A3,InternalTrades!$A$2:$A$461,0)),"")</f>
        <v/>
      </c>
      <c r="N3">
        <f>IFERROR(INDEX(ExchangeConfirms!$J$2:$J$460,MATCH($A3,ExchangeConfirms!$A$2:$A$460,0)),"")</f>
        <v/>
      </c>
      <c r="O3">
        <f>IFERROR(INDEX(InternalTrades!$I$2:$I$461,MATCH($A3,InternalTrades!$A$2:$A$461,0)),"")</f>
        <v/>
      </c>
      <c r="P3">
        <f>IFERROR(INDEX(ExchangeConfirms!$I$2:$I$460,MATCH($A3,ExchangeConfirms!$A$2:$A$460,0)),"")</f>
        <v/>
      </c>
      <c r="Q3">
        <f>IF(AND($E3=1,$F3=0),"MISSING IN EXCHANGE",IF(AND($E3=0,$F3=1),"MISSING IN INTERNAL",IF($G3&lt;&gt;$H3,"SIDE BREAK",IF($I3&lt;&gt;$J3,"QTY BREAK",IF(ABS($K3-$L3)&gt;0.005,"PRICE BREAK",IF(ABS($M3-$N3)&gt;0.01,"FEE BREAK","MATCHED"))))))</f>
        <v/>
      </c>
      <c r="R3">
        <f>IF($Q3="MATCHED",0,1)</f>
        <v/>
      </c>
      <c r="S3">
        <f>IF($Q3="MATCHED",0,IF($Q3="MISSING IN EXCHANGE",$O3,IF($Q3="MISSING IN INTERNAL",$P3,ABS(N($O3)-N($P3)))))</f>
        <v/>
      </c>
    </row>
    <row r="4">
      <c r="A4" t="inlineStr">
        <is>
          <t>T100003</t>
        </is>
      </c>
      <c r="B4">
        <f>IFERROR(INDEX(InternalTrades!$D$2:$D$461,MATCH($A4,InternalTrades!$A$2:$A$461,0)),INDEX(ExchangeConfirms!$D$2:$D$460,MATCH($A4,ExchangeConfirms!$A$2:$A$460,0)))</f>
        <v/>
      </c>
      <c r="C4">
        <f>IFERROR(INDEX(InternalTrades!$E$2:$E$461,MATCH($A4,InternalTrades!$A$2:$A$461,0)),INDEX(ExchangeConfirms!$E$2:$E$460,MATCH($A4,ExchangeConfirms!$A$2:$A$460,0)))</f>
        <v/>
      </c>
      <c r="D4">
        <f>IFERROR(INDEX(InternalTrades!$K$2:$K$461,MATCH($A4,InternalTrades!$A$2:$A$461,0)),INDEX(ExchangeConfirms!$K$2:$K$460,MATCH($A4,ExchangeConfirms!$A$2:$A$460,0)))</f>
        <v/>
      </c>
      <c r="E4">
        <f>IF(COUNTIF(InternalTrades!$A$2:$A$461,$A4)&gt;0,1,0)</f>
        <v/>
      </c>
      <c r="F4">
        <f>IF(COUNTIF(ExchangeConfirms!$A$2:$A$460,$A4)&gt;0,1,0)</f>
        <v/>
      </c>
      <c r="G4">
        <f>IFERROR(INDEX(InternalTrades!$F$2:$F$461,MATCH($A4,InternalTrades!$A$2:$A$461,0)),"")</f>
        <v/>
      </c>
      <c r="H4">
        <f>IFERROR(INDEX(ExchangeConfirms!$F$2:$F$460,MATCH($A4,ExchangeConfirms!$A$2:$A$460,0)),"")</f>
        <v/>
      </c>
      <c r="I4">
        <f>IFERROR(INDEX(InternalTrades!$G$2:$G$461,MATCH($A4,InternalTrades!$A$2:$A$461,0)),"")</f>
        <v/>
      </c>
      <c r="J4">
        <f>IFERROR(INDEX(ExchangeConfirms!$G$2:$G$460,MATCH($A4,ExchangeConfirms!$A$2:$A$460,0)),"")</f>
        <v/>
      </c>
      <c r="K4">
        <f>IFERROR(INDEX(InternalTrades!$H$2:$H$461,MATCH($A4,InternalTrades!$A$2:$A$461,0)),"")</f>
        <v/>
      </c>
      <c r="L4">
        <f>IFERROR(INDEX(ExchangeConfirms!$H$2:$H$460,MATCH($A4,ExchangeConfirms!$A$2:$A$460,0)),"")</f>
        <v/>
      </c>
      <c r="M4">
        <f>IFERROR(INDEX(InternalTrades!$J$2:$J$461,MATCH($A4,InternalTrades!$A$2:$A$461,0)),"")</f>
        <v/>
      </c>
      <c r="N4">
        <f>IFERROR(INDEX(ExchangeConfirms!$J$2:$J$460,MATCH($A4,ExchangeConfirms!$A$2:$A$460,0)),"")</f>
        <v/>
      </c>
      <c r="O4">
        <f>IFERROR(INDEX(InternalTrades!$I$2:$I$461,MATCH($A4,InternalTrades!$A$2:$A$461,0)),"")</f>
        <v/>
      </c>
      <c r="P4">
        <f>IFERROR(INDEX(ExchangeConfirms!$I$2:$I$460,MATCH($A4,ExchangeConfirms!$A$2:$A$460,0)),"")</f>
        <v/>
      </c>
      <c r="Q4">
        <f>IF(AND($E4=1,$F4=0),"MISSING IN EXCHANGE",IF(AND($E4=0,$F4=1),"MISSING IN INTERNAL",IF($G4&lt;&gt;$H4,"SIDE BREAK",IF($I4&lt;&gt;$J4,"QTY BREAK",IF(ABS($K4-$L4)&gt;0.005,"PRICE BREAK",IF(ABS($M4-$N4)&gt;0.01,"FEE BREAK","MATCHED"))))))</f>
        <v/>
      </c>
      <c r="R4">
        <f>IF($Q4="MATCHED",0,1)</f>
        <v/>
      </c>
      <c r="S4">
        <f>IF($Q4="MATCHED",0,IF($Q4="MISSING IN EXCHANGE",$O4,IF($Q4="MISSING IN INTERNAL",$P4,ABS(N($O4)-N($P4)))))</f>
        <v/>
      </c>
    </row>
    <row r="5">
      <c r="A5" t="inlineStr">
        <is>
          <t>T100004</t>
        </is>
      </c>
      <c r="B5">
        <f>IFERROR(INDEX(InternalTrades!$D$2:$D$461,MATCH($A5,InternalTrades!$A$2:$A$461,0)),INDEX(ExchangeConfirms!$D$2:$D$460,MATCH($A5,ExchangeConfirms!$A$2:$A$460,0)))</f>
        <v/>
      </c>
      <c r="C5">
        <f>IFERROR(INDEX(InternalTrades!$E$2:$E$461,MATCH($A5,InternalTrades!$A$2:$A$461,0)),INDEX(ExchangeConfirms!$E$2:$E$460,MATCH($A5,ExchangeConfirms!$A$2:$A$460,0)))</f>
        <v/>
      </c>
      <c r="D5">
        <f>IFERROR(INDEX(InternalTrades!$K$2:$K$461,MATCH($A5,InternalTrades!$A$2:$A$461,0)),INDEX(ExchangeConfirms!$K$2:$K$460,MATCH($A5,ExchangeConfirms!$A$2:$A$460,0)))</f>
        <v/>
      </c>
      <c r="E5">
        <f>IF(COUNTIF(InternalTrades!$A$2:$A$461,$A5)&gt;0,1,0)</f>
        <v/>
      </c>
      <c r="F5">
        <f>IF(COUNTIF(ExchangeConfirms!$A$2:$A$460,$A5)&gt;0,1,0)</f>
        <v/>
      </c>
      <c r="G5">
        <f>IFERROR(INDEX(InternalTrades!$F$2:$F$461,MATCH($A5,InternalTrades!$A$2:$A$461,0)),"")</f>
        <v/>
      </c>
      <c r="H5">
        <f>IFERROR(INDEX(ExchangeConfirms!$F$2:$F$460,MATCH($A5,ExchangeConfirms!$A$2:$A$460,0)),"")</f>
        <v/>
      </c>
      <c r="I5">
        <f>IFERROR(INDEX(InternalTrades!$G$2:$G$461,MATCH($A5,InternalTrades!$A$2:$A$461,0)),"")</f>
        <v/>
      </c>
      <c r="J5">
        <f>IFERROR(INDEX(ExchangeConfirms!$G$2:$G$460,MATCH($A5,ExchangeConfirms!$A$2:$A$460,0)),"")</f>
        <v/>
      </c>
      <c r="K5">
        <f>IFERROR(INDEX(InternalTrades!$H$2:$H$461,MATCH($A5,InternalTrades!$A$2:$A$461,0)),"")</f>
        <v/>
      </c>
      <c r="L5">
        <f>IFERROR(INDEX(ExchangeConfirms!$H$2:$H$460,MATCH($A5,ExchangeConfirms!$A$2:$A$460,0)),"")</f>
        <v/>
      </c>
      <c r="M5">
        <f>IFERROR(INDEX(InternalTrades!$J$2:$J$461,MATCH($A5,InternalTrades!$A$2:$A$461,0)),"")</f>
        <v/>
      </c>
      <c r="N5">
        <f>IFERROR(INDEX(ExchangeConfirms!$J$2:$J$460,MATCH($A5,ExchangeConfirms!$A$2:$A$460,0)),"")</f>
        <v/>
      </c>
      <c r="O5">
        <f>IFERROR(INDEX(InternalTrades!$I$2:$I$461,MATCH($A5,InternalTrades!$A$2:$A$461,0)),"")</f>
        <v/>
      </c>
      <c r="P5">
        <f>IFERROR(INDEX(ExchangeConfirms!$I$2:$I$460,MATCH($A5,ExchangeConfirms!$A$2:$A$460,0)),"")</f>
        <v/>
      </c>
      <c r="Q5">
        <f>IF(AND($E5=1,$F5=0),"MISSING IN EXCHANGE",IF(AND($E5=0,$F5=1),"MISSING IN INTERNAL",IF($G5&lt;&gt;$H5,"SIDE BREAK",IF($I5&lt;&gt;$J5,"QTY BREAK",IF(ABS($K5-$L5)&gt;0.005,"PRICE BREAK",IF(ABS($M5-$N5)&gt;0.01,"FEE BREAK","MATCHED"))))))</f>
        <v/>
      </c>
      <c r="R5">
        <f>IF($Q5="MATCHED",0,1)</f>
        <v/>
      </c>
      <c r="S5">
        <f>IF($Q5="MATCHED",0,IF($Q5="MISSING IN EXCHANGE",$O5,IF($Q5="MISSING IN INTERNAL",$P5,ABS(N($O5)-N($P5)))))</f>
        <v/>
      </c>
    </row>
    <row r="6">
      <c r="A6" t="inlineStr">
        <is>
          <t>T100005</t>
        </is>
      </c>
      <c r="B6">
        <f>IFERROR(INDEX(InternalTrades!$D$2:$D$461,MATCH($A6,InternalTrades!$A$2:$A$461,0)),INDEX(ExchangeConfirms!$D$2:$D$460,MATCH($A6,ExchangeConfirms!$A$2:$A$460,0)))</f>
        <v/>
      </c>
      <c r="C6">
        <f>IFERROR(INDEX(InternalTrades!$E$2:$E$461,MATCH($A6,InternalTrades!$A$2:$A$461,0)),INDEX(ExchangeConfirms!$E$2:$E$460,MATCH($A6,ExchangeConfirms!$A$2:$A$460,0)))</f>
        <v/>
      </c>
      <c r="D6">
        <f>IFERROR(INDEX(InternalTrades!$K$2:$K$461,MATCH($A6,InternalTrades!$A$2:$A$461,0)),INDEX(ExchangeConfirms!$K$2:$K$460,MATCH($A6,ExchangeConfirms!$A$2:$A$460,0)))</f>
        <v/>
      </c>
      <c r="E6">
        <f>IF(COUNTIF(InternalTrades!$A$2:$A$461,$A6)&gt;0,1,0)</f>
        <v/>
      </c>
      <c r="F6">
        <f>IF(COUNTIF(ExchangeConfirms!$A$2:$A$460,$A6)&gt;0,1,0)</f>
        <v/>
      </c>
      <c r="G6">
        <f>IFERROR(INDEX(InternalTrades!$F$2:$F$461,MATCH($A6,InternalTrades!$A$2:$A$461,0)),"")</f>
        <v/>
      </c>
      <c r="H6">
        <f>IFERROR(INDEX(ExchangeConfirms!$F$2:$F$460,MATCH($A6,ExchangeConfirms!$A$2:$A$460,0)),"")</f>
        <v/>
      </c>
      <c r="I6">
        <f>IFERROR(INDEX(InternalTrades!$G$2:$G$461,MATCH($A6,InternalTrades!$A$2:$A$461,0)),"")</f>
        <v/>
      </c>
      <c r="J6">
        <f>IFERROR(INDEX(ExchangeConfirms!$G$2:$G$460,MATCH($A6,ExchangeConfirms!$A$2:$A$460,0)),"")</f>
        <v/>
      </c>
      <c r="K6">
        <f>IFERROR(INDEX(InternalTrades!$H$2:$H$461,MATCH($A6,InternalTrades!$A$2:$A$461,0)),"")</f>
        <v/>
      </c>
      <c r="L6">
        <f>IFERROR(INDEX(ExchangeConfirms!$H$2:$H$460,MATCH($A6,ExchangeConfirms!$A$2:$A$460,0)),"")</f>
        <v/>
      </c>
      <c r="M6">
        <f>IFERROR(INDEX(InternalTrades!$J$2:$J$461,MATCH($A6,InternalTrades!$A$2:$A$461,0)),"")</f>
        <v/>
      </c>
      <c r="N6">
        <f>IFERROR(INDEX(ExchangeConfirms!$J$2:$J$460,MATCH($A6,ExchangeConfirms!$A$2:$A$460,0)),"")</f>
        <v/>
      </c>
      <c r="O6">
        <f>IFERROR(INDEX(InternalTrades!$I$2:$I$461,MATCH($A6,InternalTrades!$A$2:$A$461,0)),"")</f>
        <v/>
      </c>
      <c r="P6">
        <f>IFERROR(INDEX(ExchangeConfirms!$I$2:$I$460,MATCH($A6,ExchangeConfirms!$A$2:$A$460,0)),"")</f>
        <v/>
      </c>
      <c r="Q6">
        <f>IF(AND($E6=1,$F6=0),"MISSING IN EXCHANGE",IF(AND($E6=0,$F6=1),"MISSING IN INTERNAL",IF($G6&lt;&gt;$H6,"SIDE BREAK",IF($I6&lt;&gt;$J6,"QTY BREAK",IF(ABS($K6-$L6)&gt;0.005,"PRICE BREAK",IF(ABS($M6-$N6)&gt;0.01,"FEE BREAK","MATCHED"))))))</f>
        <v/>
      </c>
      <c r="R6">
        <f>IF($Q6="MATCHED",0,1)</f>
        <v/>
      </c>
      <c r="S6">
        <f>IF($Q6="MATCHED",0,IF($Q6="MISSING IN EXCHANGE",$O6,IF($Q6="MISSING IN INTERNAL",$P6,ABS(N($O6)-N($P6)))))</f>
        <v/>
      </c>
    </row>
    <row r="7">
      <c r="A7" t="inlineStr">
        <is>
          <t>T100006</t>
        </is>
      </c>
      <c r="B7">
        <f>IFERROR(INDEX(InternalTrades!$D$2:$D$461,MATCH($A7,InternalTrades!$A$2:$A$461,0)),INDEX(ExchangeConfirms!$D$2:$D$460,MATCH($A7,ExchangeConfirms!$A$2:$A$460,0)))</f>
        <v/>
      </c>
      <c r="C7">
        <f>IFERROR(INDEX(InternalTrades!$E$2:$E$461,MATCH($A7,InternalTrades!$A$2:$A$461,0)),INDEX(ExchangeConfirms!$E$2:$E$460,MATCH($A7,ExchangeConfirms!$A$2:$A$460,0)))</f>
        <v/>
      </c>
      <c r="D7">
        <f>IFERROR(INDEX(InternalTrades!$K$2:$K$461,MATCH($A7,InternalTrades!$A$2:$A$461,0)),INDEX(ExchangeConfirms!$K$2:$K$460,MATCH($A7,ExchangeConfirms!$A$2:$A$460,0)))</f>
        <v/>
      </c>
      <c r="E7">
        <f>IF(COUNTIF(InternalTrades!$A$2:$A$461,$A7)&gt;0,1,0)</f>
        <v/>
      </c>
      <c r="F7">
        <f>IF(COUNTIF(ExchangeConfirms!$A$2:$A$460,$A7)&gt;0,1,0)</f>
        <v/>
      </c>
      <c r="G7">
        <f>IFERROR(INDEX(InternalTrades!$F$2:$F$461,MATCH($A7,InternalTrades!$A$2:$A$461,0)),"")</f>
        <v/>
      </c>
      <c r="H7">
        <f>IFERROR(INDEX(ExchangeConfirms!$F$2:$F$460,MATCH($A7,ExchangeConfirms!$A$2:$A$460,0)),"")</f>
        <v/>
      </c>
      <c r="I7">
        <f>IFERROR(INDEX(InternalTrades!$G$2:$G$461,MATCH($A7,InternalTrades!$A$2:$A$461,0)),"")</f>
        <v/>
      </c>
      <c r="J7">
        <f>IFERROR(INDEX(ExchangeConfirms!$G$2:$G$460,MATCH($A7,ExchangeConfirms!$A$2:$A$460,0)),"")</f>
        <v/>
      </c>
      <c r="K7">
        <f>IFERROR(INDEX(InternalTrades!$H$2:$H$461,MATCH($A7,InternalTrades!$A$2:$A$461,0)),"")</f>
        <v/>
      </c>
      <c r="L7">
        <f>IFERROR(INDEX(ExchangeConfirms!$H$2:$H$460,MATCH($A7,ExchangeConfirms!$A$2:$A$460,0)),"")</f>
        <v/>
      </c>
      <c r="M7">
        <f>IFERROR(INDEX(InternalTrades!$J$2:$J$461,MATCH($A7,InternalTrades!$A$2:$A$461,0)),"")</f>
        <v/>
      </c>
      <c r="N7">
        <f>IFERROR(INDEX(ExchangeConfirms!$J$2:$J$460,MATCH($A7,ExchangeConfirms!$A$2:$A$460,0)),"")</f>
        <v/>
      </c>
      <c r="O7">
        <f>IFERROR(INDEX(InternalTrades!$I$2:$I$461,MATCH($A7,InternalTrades!$A$2:$A$461,0)),"")</f>
        <v/>
      </c>
      <c r="P7">
        <f>IFERROR(INDEX(ExchangeConfirms!$I$2:$I$460,MATCH($A7,ExchangeConfirms!$A$2:$A$460,0)),"")</f>
        <v/>
      </c>
      <c r="Q7">
        <f>IF(AND($E7=1,$F7=0),"MISSING IN EXCHANGE",IF(AND($E7=0,$F7=1),"MISSING IN INTERNAL",IF($G7&lt;&gt;$H7,"SIDE BREAK",IF($I7&lt;&gt;$J7,"QTY BREAK",IF(ABS($K7-$L7)&gt;0.005,"PRICE BREAK",IF(ABS($M7-$N7)&gt;0.01,"FEE BREAK","MATCHED"))))))</f>
        <v/>
      </c>
      <c r="R7">
        <f>IF($Q7="MATCHED",0,1)</f>
        <v/>
      </c>
      <c r="S7">
        <f>IF($Q7="MATCHED",0,IF($Q7="MISSING IN EXCHANGE",$O7,IF($Q7="MISSING IN INTERNAL",$P7,ABS(N($O7)-N($P7)))))</f>
        <v/>
      </c>
    </row>
    <row r="8">
      <c r="A8" t="inlineStr">
        <is>
          <t>T100007</t>
        </is>
      </c>
      <c r="B8">
        <f>IFERROR(INDEX(InternalTrades!$D$2:$D$461,MATCH($A8,InternalTrades!$A$2:$A$461,0)),INDEX(ExchangeConfirms!$D$2:$D$460,MATCH($A8,ExchangeConfirms!$A$2:$A$460,0)))</f>
        <v/>
      </c>
      <c r="C8">
        <f>IFERROR(INDEX(InternalTrades!$E$2:$E$461,MATCH($A8,InternalTrades!$A$2:$A$461,0)),INDEX(ExchangeConfirms!$E$2:$E$460,MATCH($A8,ExchangeConfirms!$A$2:$A$460,0)))</f>
        <v/>
      </c>
      <c r="D8">
        <f>IFERROR(INDEX(InternalTrades!$K$2:$K$461,MATCH($A8,InternalTrades!$A$2:$A$461,0)),INDEX(ExchangeConfirms!$K$2:$K$460,MATCH($A8,ExchangeConfirms!$A$2:$A$460,0)))</f>
        <v/>
      </c>
      <c r="E8">
        <f>IF(COUNTIF(InternalTrades!$A$2:$A$461,$A8)&gt;0,1,0)</f>
        <v/>
      </c>
      <c r="F8">
        <f>IF(COUNTIF(ExchangeConfirms!$A$2:$A$460,$A8)&gt;0,1,0)</f>
        <v/>
      </c>
      <c r="G8">
        <f>IFERROR(INDEX(InternalTrades!$F$2:$F$461,MATCH($A8,InternalTrades!$A$2:$A$461,0)),"")</f>
        <v/>
      </c>
      <c r="H8">
        <f>IFERROR(INDEX(ExchangeConfirms!$F$2:$F$460,MATCH($A8,ExchangeConfirms!$A$2:$A$460,0)),"")</f>
        <v/>
      </c>
      <c r="I8">
        <f>IFERROR(INDEX(InternalTrades!$G$2:$G$461,MATCH($A8,InternalTrades!$A$2:$A$461,0)),"")</f>
        <v/>
      </c>
      <c r="J8">
        <f>IFERROR(INDEX(ExchangeConfirms!$G$2:$G$460,MATCH($A8,ExchangeConfirms!$A$2:$A$460,0)),"")</f>
        <v/>
      </c>
      <c r="K8">
        <f>IFERROR(INDEX(InternalTrades!$H$2:$H$461,MATCH($A8,InternalTrades!$A$2:$A$461,0)),"")</f>
        <v/>
      </c>
      <c r="L8">
        <f>IFERROR(INDEX(ExchangeConfirms!$H$2:$H$460,MATCH($A8,ExchangeConfirms!$A$2:$A$460,0)),"")</f>
        <v/>
      </c>
      <c r="M8">
        <f>IFERROR(INDEX(InternalTrades!$J$2:$J$461,MATCH($A8,InternalTrades!$A$2:$A$461,0)),"")</f>
        <v/>
      </c>
      <c r="N8">
        <f>IFERROR(INDEX(ExchangeConfirms!$J$2:$J$460,MATCH($A8,ExchangeConfirms!$A$2:$A$460,0)),"")</f>
        <v/>
      </c>
      <c r="O8">
        <f>IFERROR(INDEX(InternalTrades!$I$2:$I$461,MATCH($A8,InternalTrades!$A$2:$A$461,0)),"")</f>
        <v/>
      </c>
      <c r="P8">
        <f>IFERROR(INDEX(ExchangeConfirms!$I$2:$I$460,MATCH($A8,ExchangeConfirms!$A$2:$A$460,0)),"")</f>
        <v/>
      </c>
      <c r="Q8">
        <f>IF(AND($E8=1,$F8=0),"MISSING IN EXCHANGE",IF(AND($E8=0,$F8=1),"MISSING IN INTERNAL",IF($G8&lt;&gt;$H8,"SIDE BREAK",IF($I8&lt;&gt;$J8,"QTY BREAK",IF(ABS($K8-$L8)&gt;0.005,"PRICE BREAK",IF(ABS($M8-$N8)&gt;0.01,"FEE BREAK","MATCHED"))))))</f>
        <v/>
      </c>
      <c r="R8">
        <f>IF($Q8="MATCHED",0,1)</f>
        <v/>
      </c>
      <c r="S8">
        <f>IF($Q8="MATCHED",0,IF($Q8="MISSING IN EXCHANGE",$O8,IF($Q8="MISSING IN INTERNAL",$P8,ABS(N($O8)-N($P8)))))</f>
        <v/>
      </c>
    </row>
    <row r="9">
      <c r="A9" t="inlineStr">
        <is>
          <t>T100008</t>
        </is>
      </c>
      <c r="B9">
        <f>IFERROR(INDEX(InternalTrades!$D$2:$D$461,MATCH($A9,InternalTrades!$A$2:$A$461,0)),INDEX(ExchangeConfirms!$D$2:$D$460,MATCH($A9,ExchangeConfirms!$A$2:$A$460,0)))</f>
        <v/>
      </c>
      <c r="C9">
        <f>IFERROR(INDEX(InternalTrades!$E$2:$E$461,MATCH($A9,InternalTrades!$A$2:$A$461,0)),INDEX(ExchangeConfirms!$E$2:$E$460,MATCH($A9,ExchangeConfirms!$A$2:$A$460,0)))</f>
        <v/>
      </c>
      <c r="D9">
        <f>IFERROR(INDEX(InternalTrades!$K$2:$K$461,MATCH($A9,InternalTrades!$A$2:$A$461,0)),INDEX(ExchangeConfirms!$K$2:$K$460,MATCH($A9,ExchangeConfirms!$A$2:$A$460,0)))</f>
        <v/>
      </c>
      <c r="E9">
        <f>IF(COUNTIF(InternalTrades!$A$2:$A$461,$A9)&gt;0,1,0)</f>
        <v/>
      </c>
      <c r="F9">
        <f>IF(COUNTIF(ExchangeConfirms!$A$2:$A$460,$A9)&gt;0,1,0)</f>
        <v/>
      </c>
      <c r="G9">
        <f>IFERROR(INDEX(InternalTrades!$F$2:$F$461,MATCH($A9,InternalTrades!$A$2:$A$461,0)),"")</f>
        <v/>
      </c>
      <c r="H9">
        <f>IFERROR(INDEX(ExchangeConfirms!$F$2:$F$460,MATCH($A9,ExchangeConfirms!$A$2:$A$460,0)),"")</f>
        <v/>
      </c>
      <c r="I9">
        <f>IFERROR(INDEX(InternalTrades!$G$2:$G$461,MATCH($A9,InternalTrades!$A$2:$A$461,0)),"")</f>
        <v/>
      </c>
      <c r="J9">
        <f>IFERROR(INDEX(ExchangeConfirms!$G$2:$G$460,MATCH($A9,ExchangeConfirms!$A$2:$A$460,0)),"")</f>
        <v/>
      </c>
      <c r="K9">
        <f>IFERROR(INDEX(InternalTrades!$H$2:$H$461,MATCH($A9,InternalTrades!$A$2:$A$461,0)),"")</f>
        <v/>
      </c>
      <c r="L9">
        <f>IFERROR(INDEX(ExchangeConfirms!$H$2:$H$460,MATCH($A9,ExchangeConfirms!$A$2:$A$460,0)),"")</f>
        <v/>
      </c>
      <c r="M9">
        <f>IFERROR(INDEX(InternalTrades!$J$2:$J$461,MATCH($A9,InternalTrades!$A$2:$A$461,0)),"")</f>
        <v/>
      </c>
      <c r="N9">
        <f>IFERROR(INDEX(ExchangeConfirms!$J$2:$J$460,MATCH($A9,ExchangeConfirms!$A$2:$A$460,0)),"")</f>
        <v/>
      </c>
      <c r="O9">
        <f>IFERROR(INDEX(InternalTrades!$I$2:$I$461,MATCH($A9,InternalTrades!$A$2:$A$461,0)),"")</f>
        <v/>
      </c>
      <c r="P9">
        <f>IFERROR(INDEX(ExchangeConfirms!$I$2:$I$460,MATCH($A9,ExchangeConfirms!$A$2:$A$460,0)),"")</f>
        <v/>
      </c>
      <c r="Q9">
        <f>IF(AND($E9=1,$F9=0),"MISSING IN EXCHANGE",IF(AND($E9=0,$F9=1),"MISSING IN INTERNAL",IF($G9&lt;&gt;$H9,"SIDE BREAK",IF($I9&lt;&gt;$J9,"QTY BREAK",IF(ABS($K9-$L9)&gt;0.005,"PRICE BREAK",IF(ABS($M9-$N9)&gt;0.01,"FEE BREAK","MATCHED"))))))</f>
        <v/>
      </c>
      <c r="R9">
        <f>IF($Q9="MATCHED",0,1)</f>
        <v/>
      </c>
      <c r="S9">
        <f>IF($Q9="MATCHED",0,IF($Q9="MISSING IN EXCHANGE",$O9,IF($Q9="MISSING IN INTERNAL",$P9,ABS(N($O9)-N($P9)))))</f>
        <v/>
      </c>
    </row>
    <row r="10">
      <c r="A10" t="inlineStr">
        <is>
          <t>T100009</t>
        </is>
      </c>
      <c r="B10">
        <f>IFERROR(INDEX(InternalTrades!$D$2:$D$461,MATCH($A10,InternalTrades!$A$2:$A$461,0)),INDEX(ExchangeConfirms!$D$2:$D$460,MATCH($A10,ExchangeConfirms!$A$2:$A$460,0)))</f>
        <v/>
      </c>
      <c r="C10">
        <f>IFERROR(INDEX(InternalTrades!$E$2:$E$461,MATCH($A10,InternalTrades!$A$2:$A$461,0)),INDEX(ExchangeConfirms!$E$2:$E$460,MATCH($A10,ExchangeConfirms!$A$2:$A$460,0)))</f>
        <v/>
      </c>
      <c r="D10">
        <f>IFERROR(INDEX(InternalTrades!$K$2:$K$461,MATCH($A10,InternalTrades!$A$2:$A$461,0)),INDEX(ExchangeConfirms!$K$2:$K$460,MATCH($A10,ExchangeConfirms!$A$2:$A$460,0)))</f>
        <v/>
      </c>
      <c r="E10">
        <f>IF(COUNTIF(InternalTrades!$A$2:$A$461,$A10)&gt;0,1,0)</f>
        <v/>
      </c>
      <c r="F10">
        <f>IF(COUNTIF(ExchangeConfirms!$A$2:$A$460,$A10)&gt;0,1,0)</f>
        <v/>
      </c>
      <c r="G10">
        <f>IFERROR(INDEX(InternalTrades!$F$2:$F$461,MATCH($A10,InternalTrades!$A$2:$A$461,0)),"")</f>
        <v/>
      </c>
      <c r="H10">
        <f>IFERROR(INDEX(ExchangeConfirms!$F$2:$F$460,MATCH($A10,ExchangeConfirms!$A$2:$A$460,0)),"")</f>
        <v/>
      </c>
      <c r="I10">
        <f>IFERROR(INDEX(InternalTrades!$G$2:$G$461,MATCH($A10,InternalTrades!$A$2:$A$461,0)),"")</f>
        <v/>
      </c>
      <c r="J10">
        <f>IFERROR(INDEX(ExchangeConfirms!$G$2:$G$460,MATCH($A10,ExchangeConfirms!$A$2:$A$460,0)),"")</f>
        <v/>
      </c>
      <c r="K10">
        <f>IFERROR(INDEX(InternalTrades!$H$2:$H$461,MATCH($A10,InternalTrades!$A$2:$A$461,0)),"")</f>
        <v/>
      </c>
      <c r="L10">
        <f>IFERROR(INDEX(ExchangeConfirms!$H$2:$H$460,MATCH($A10,ExchangeConfirms!$A$2:$A$460,0)),"")</f>
        <v/>
      </c>
      <c r="M10">
        <f>IFERROR(INDEX(InternalTrades!$J$2:$J$461,MATCH($A10,InternalTrades!$A$2:$A$461,0)),"")</f>
        <v/>
      </c>
      <c r="N10">
        <f>IFERROR(INDEX(ExchangeConfirms!$J$2:$J$460,MATCH($A10,ExchangeConfirms!$A$2:$A$460,0)),"")</f>
        <v/>
      </c>
      <c r="O10">
        <f>IFERROR(INDEX(InternalTrades!$I$2:$I$461,MATCH($A10,InternalTrades!$A$2:$A$461,0)),"")</f>
        <v/>
      </c>
      <c r="P10">
        <f>IFERROR(INDEX(ExchangeConfirms!$I$2:$I$460,MATCH($A10,ExchangeConfirms!$A$2:$A$460,0)),"")</f>
        <v/>
      </c>
      <c r="Q10">
        <f>IF(AND($E10=1,$F10=0),"MISSING IN EXCHANGE",IF(AND($E10=0,$F10=1),"MISSING IN INTERNAL",IF($G10&lt;&gt;$H10,"SIDE BREAK",IF($I10&lt;&gt;$J10,"QTY BREAK",IF(ABS($K10-$L10)&gt;0.005,"PRICE BREAK",IF(ABS($M10-$N10)&gt;0.01,"FEE BREAK","MATCHED"))))))</f>
        <v/>
      </c>
      <c r="R10">
        <f>IF($Q10="MATCHED",0,1)</f>
        <v/>
      </c>
      <c r="S10">
        <f>IF($Q10="MATCHED",0,IF($Q10="MISSING IN EXCHANGE",$O10,IF($Q10="MISSING IN INTERNAL",$P10,ABS(N($O10)-N($P10)))))</f>
        <v/>
      </c>
    </row>
    <row r="11">
      <c r="A11" t="inlineStr">
        <is>
          <t>T100010</t>
        </is>
      </c>
      <c r="B11">
        <f>IFERROR(INDEX(InternalTrades!$D$2:$D$461,MATCH($A11,InternalTrades!$A$2:$A$461,0)),INDEX(ExchangeConfirms!$D$2:$D$460,MATCH($A11,ExchangeConfirms!$A$2:$A$460,0)))</f>
        <v/>
      </c>
      <c r="C11">
        <f>IFERROR(INDEX(InternalTrades!$E$2:$E$461,MATCH($A11,InternalTrades!$A$2:$A$461,0)),INDEX(ExchangeConfirms!$E$2:$E$460,MATCH($A11,ExchangeConfirms!$A$2:$A$460,0)))</f>
        <v/>
      </c>
      <c r="D11">
        <f>IFERROR(INDEX(InternalTrades!$K$2:$K$461,MATCH($A11,InternalTrades!$A$2:$A$461,0)),INDEX(ExchangeConfirms!$K$2:$K$460,MATCH($A11,ExchangeConfirms!$A$2:$A$460,0)))</f>
        <v/>
      </c>
      <c r="E11">
        <f>IF(COUNTIF(InternalTrades!$A$2:$A$461,$A11)&gt;0,1,0)</f>
        <v/>
      </c>
      <c r="F11">
        <f>IF(COUNTIF(ExchangeConfirms!$A$2:$A$460,$A11)&gt;0,1,0)</f>
        <v/>
      </c>
      <c r="G11">
        <f>IFERROR(INDEX(InternalTrades!$F$2:$F$461,MATCH($A11,InternalTrades!$A$2:$A$461,0)),"")</f>
        <v/>
      </c>
      <c r="H11">
        <f>IFERROR(INDEX(ExchangeConfirms!$F$2:$F$460,MATCH($A11,ExchangeConfirms!$A$2:$A$460,0)),"")</f>
        <v/>
      </c>
      <c r="I11">
        <f>IFERROR(INDEX(InternalTrades!$G$2:$G$461,MATCH($A11,InternalTrades!$A$2:$A$461,0)),"")</f>
        <v/>
      </c>
      <c r="J11">
        <f>IFERROR(INDEX(ExchangeConfirms!$G$2:$G$460,MATCH($A11,ExchangeConfirms!$A$2:$A$460,0)),"")</f>
        <v/>
      </c>
      <c r="K11">
        <f>IFERROR(INDEX(InternalTrades!$H$2:$H$461,MATCH($A11,InternalTrades!$A$2:$A$461,0)),"")</f>
        <v/>
      </c>
      <c r="L11">
        <f>IFERROR(INDEX(ExchangeConfirms!$H$2:$H$460,MATCH($A11,ExchangeConfirms!$A$2:$A$460,0)),"")</f>
        <v/>
      </c>
      <c r="M11">
        <f>IFERROR(INDEX(InternalTrades!$J$2:$J$461,MATCH($A11,InternalTrades!$A$2:$A$461,0)),"")</f>
        <v/>
      </c>
      <c r="N11">
        <f>IFERROR(INDEX(ExchangeConfirms!$J$2:$J$460,MATCH($A11,ExchangeConfirms!$A$2:$A$460,0)),"")</f>
        <v/>
      </c>
      <c r="O11">
        <f>IFERROR(INDEX(InternalTrades!$I$2:$I$461,MATCH($A11,InternalTrades!$A$2:$A$461,0)),"")</f>
        <v/>
      </c>
      <c r="P11">
        <f>IFERROR(INDEX(ExchangeConfirms!$I$2:$I$460,MATCH($A11,ExchangeConfirms!$A$2:$A$460,0)),"")</f>
        <v/>
      </c>
      <c r="Q11">
        <f>IF(AND($E11=1,$F11=0),"MISSING IN EXCHANGE",IF(AND($E11=0,$F11=1),"MISSING IN INTERNAL",IF($G11&lt;&gt;$H11,"SIDE BREAK",IF($I11&lt;&gt;$J11,"QTY BREAK",IF(ABS($K11-$L11)&gt;0.005,"PRICE BREAK",IF(ABS($M11-$N11)&gt;0.01,"FEE BREAK","MATCHED"))))))</f>
        <v/>
      </c>
      <c r="R11">
        <f>IF($Q11="MATCHED",0,1)</f>
        <v/>
      </c>
      <c r="S11">
        <f>IF($Q11="MATCHED",0,IF($Q11="MISSING IN EXCHANGE",$O11,IF($Q11="MISSING IN INTERNAL",$P11,ABS(N($O11)-N($P11)))))</f>
        <v/>
      </c>
    </row>
    <row r="12">
      <c r="A12" t="inlineStr">
        <is>
          <t>T100011</t>
        </is>
      </c>
      <c r="B12">
        <f>IFERROR(INDEX(InternalTrades!$D$2:$D$461,MATCH($A12,InternalTrades!$A$2:$A$461,0)),INDEX(ExchangeConfirms!$D$2:$D$460,MATCH($A12,ExchangeConfirms!$A$2:$A$460,0)))</f>
        <v/>
      </c>
      <c r="C12">
        <f>IFERROR(INDEX(InternalTrades!$E$2:$E$461,MATCH($A12,InternalTrades!$A$2:$A$461,0)),INDEX(ExchangeConfirms!$E$2:$E$460,MATCH($A12,ExchangeConfirms!$A$2:$A$460,0)))</f>
        <v/>
      </c>
      <c r="D12">
        <f>IFERROR(INDEX(InternalTrades!$K$2:$K$461,MATCH($A12,InternalTrades!$A$2:$A$461,0)),INDEX(ExchangeConfirms!$K$2:$K$460,MATCH($A12,ExchangeConfirms!$A$2:$A$460,0)))</f>
        <v/>
      </c>
      <c r="E12">
        <f>IF(COUNTIF(InternalTrades!$A$2:$A$461,$A12)&gt;0,1,0)</f>
        <v/>
      </c>
      <c r="F12">
        <f>IF(COUNTIF(ExchangeConfirms!$A$2:$A$460,$A12)&gt;0,1,0)</f>
        <v/>
      </c>
      <c r="G12">
        <f>IFERROR(INDEX(InternalTrades!$F$2:$F$461,MATCH($A12,InternalTrades!$A$2:$A$461,0)),"")</f>
        <v/>
      </c>
      <c r="H12">
        <f>IFERROR(INDEX(ExchangeConfirms!$F$2:$F$460,MATCH($A12,ExchangeConfirms!$A$2:$A$460,0)),"")</f>
        <v/>
      </c>
      <c r="I12">
        <f>IFERROR(INDEX(InternalTrades!$G$2:$G$461,MATCH($A12,InternalTrades!$A$2:$A$461,0)),"")</f>
        <v/>
      </c>
      <c r="J12">
        <f>IFERROR(INDEX(ExchangeConfirms!$G$2:$G$460,MATCH($A12,ExchangeConfirms!$A$2:$A$460,0)),"")</f>
        <v/>
      </c>
      <c r="K12">
        <f>IFERROR(INDEX(InternalTrades!$H$2:$H$461,MATCH($A12,InternalTrades!$A$2:$A$461,0)),"")</f>
        <v/>
      </c>
      <c r="L12">
        <f>IFERROR(INDEX(ExchangeConfirms!$H$2:$H$460,MATCH($A12,ExchangeConfirms!$A$2:$A$460,0)),"")</f>
        <v/>
      </c>
      <c r="M12">
        <f>IFERROR(INDEX(InternalTrades!$J$2:$J$461,MATCH($A12,InternalTrades!$A$2:$A$461,0)),"")</f>
        <v/>
      </c>
      <c r="N12">
        <f>IFERROR(INDEX(ExchangeConfirms!$J$2:$J$460,MATCH($A12,ExchangeConfirms!$A$2:$A$460,0)),"")</f>
        <v/>
      </c>
      <c r="O12">
        <f>IFERROR(INDEX(InternalTrades!$I$2:$I$461,MATCH($A12,InternalTrades!$A$2:$A$461,0)),"")</f>
        <v/>
      </c>
      <c r="P12">
        <f>IFERROR(INDEX(ExchangeConfirms!$I$2:$I$460,MATCH($A12,ExchangeConfirms!$A$2:$A$460,0)),"")</f>
        <v/>
      </c>
      <c r="Q12">
        <f>IF(AND($E12=1,$F12=0),"MISSING IN EXCHANGE",IF(AND($E12=0,$F12=1),"MISSING IN INTERNAL",IF($G12&lt;&gt;$H12,"SIDE BREAK",IF($I12&lt;&gt;$J12,"QTY BREAK",IF(ABS($K12-$L12)&gt;0.005,"PRICE BREAK",IF(ABS($M12-$N12)&gt;0.01,"FEE BREAK","MATCHED"))))))</f>
        <v/>
      </c>
      <c r="R12">
        <f>IF($Q12="MATCHED",0,1)</f>
        <v/>
      </c>
      <c r="S12">
        <f>IF($Q12="MATCHED",0,IF($Q12="MISSING IN EXCHANGE",$O12,IF($Q12="MISSING IN INTERNAL",$P12,ABS(N($O12)-N($P12)))))</f>
        <v/>
      </c>
    </row>
    <row r="13">
      <c r="A13" t="inlineStr">
        <is>
          <t>T100012</t>
        </is>
      </c>
      <c r="B13">
        <f>IFERROR(INDEX(InternalTrades!$D$2:$D$461,MATCH($A13,InternalTrades!$A$2:$A$461,0)),INDEX(ExchangeConfirms!$D$2:$D$460,MATCH($A13,ExchangeConfirms!$A$2:$A$460,0)))</f>
        <v/>
      </c>
      <c r="C13">
        <f>IFERROR(INDEX(InternalTrades!$E$2:$E$461,MATCH($A13,InternalTrades!$A$2:$A$461,0)),INDEX(ExchangeConfirms!$E$2:$E$460,MATCH($A13,ExchangeConfirms!$A$2:$A$460,0)))</f>
        <v/>
      </c>
      <c r="D13">
        <f>IFERROR(INDEX(InternalTrades!$K$2:$K$461,MATCH($A13,InternalTrades!$A$2:$A$461,0)),INDEX(ExchangeConfirms!$K$2:$K$460,MATCH($A13,ExchangeConfirms!$A$2:$A$460,0)))</f>
        <v/>
      </c>
      <c r="E13">
        <f>IF(COUNTIF(InternalTrades!$A$2:$A$461,$A13)&gt;0,1,0)</f>
        <v/>
      </c>
      <c r="F13">
        <f>IF(COUNTIF(ExchangeConfirms!$A$2:$A$460,$A13)&gt;0,1,0)</f>
        <v/>
      </c>
      <c r="G13">
        <f>IFERROR(INDEX(InternalTrades!$F$2:$F$461,MATCH($A13,InternalTrades!$A$2:$A$461,0)),"")</f>
        <v/>
      </c>
      <c r="H13">
        <f>IFERROR(INDEX(ExchangeConfirms!$F$2:$F$460,MATCH($A13,ExchangeConfirms!$A$2:$A$460,0)),"")</f>
        <v/>
      </c>
      <c r="I13">
        <f>IFERROR(INDEX(InternalTrades!$G$2:$G$461,MATCH($A13,InternalTrades!$A$2:$A$461,0)),"")</f>
        <v/>
      </c>
      <c r="J13">
        <f>IFERROR(INDEX(ExchangeConfirms!$G$2:$G$460,MATCH($A13,ExchangeConfirms!$A$2:$A$460,0)),"")</f>
        <v/>
      </c>
      <c r="K13">
        <f>IFERROR(INDEX(InternalTrades!$H$2:$H$461,MATCH($A13,InternalTrades!$A$2:$A$461,0)),"")</f>
        <v/>
      </c>
      <c r="L13">
        <f>IFERROR(INDEX(ExchangeConfirms!$H$2:$H$460,MATCH($A13,ExchangeConfirms!$A$2:$A$460,0)),"")</f>
        <v/>
      </c>
      <c r="M13">
        <f>IFERROR(INDEX(InternalTrades!$J$2:$J$461,MATCH($A13,InternalTrades!$A$2:$A$461,0)),"")</f>
        <v/>
      </c>
      <c r="N13">
        <f>IFERROR(INDEX(ExchangeConfirms!$J$2:$J$460,MATCH($A13,ExchangeConfirms!$A$2:$A$460,0)),"")</f>
        <v/>
      </c>
      <c r="O13">
        <f>IFERROR(INDEX(InternalTrades!$I$2:$I$461,MATCH($A13,InternalTrades!$A$2:$A$461,0)),"")</f>
        <v/>
      </c>
      <c r="P13">
        <f>IFERROR(INDEX(ExchangeConfirms!$I$2:$I$460,MATCH($A13,ExchangeConfirms!$A$2:$A$460,0)),"")</f>
        <v/>
      </c>
      <c r="Q13">
        <f>IF(AND($E13=1,$F13=0),"MISSING IN EXCHANGE",IF(AND($E13=0,$F13=1),"MISSING IN INTERNAL",IF($G13&lt;&gt;$H13,"SIDE BREAK",IF($I13&lt;&gt;$J13,"QTY BREAK",IF(ABS($K13-$L13)&gt;0.005,"PRICE BREAK",IF(ABS($M13-$N13)&gt;0.01,"FEE BREAK","MATCHED"))))))</f>
        <v/>
      </c>
      <c r="R13">
        <f>IF($Q13="MATCHED",0,1)</f>
        <v/>
      </c>
      <c r="S13">
        <f>IF($Q13="MATCHED",0,IF($Q13="MISSING IN EXCHANGE",$O13,IF($Q13="MISSING IN INTERNAL",$P13,ABS(N($O13)-N($P13)))))</f>
        <v/>
      </c>
    </row>
    <row r="14">
      <c r="A14" t="inlineStr">
        <is>
          <t>T100013</t>
        </is>
      </c>
      <c r="B14">
        <f>IFERROR(INDEX(InternalTrades!$D$2:$D$461,MATCH($A14,InternalTrades!$A$2:$A$461,0)),INDEX(ExchangeConfirms!$D$2:$D$460,MATCH($A14,ExchangeConfirms!$A$2:$A$460,0)))</f>
        <v/>
      </c>
      <c r="C14">
        <f>IFERROR(INDEX(InternalTrades!$E$2:$E$461,MATCH($A14,InternalTrades!$A$2:$A$461,0)),INDEX(ExchangeConfirms!$E$2:$E$460,MATCH($A14,ExchangeConfirms!$A$2:$A$460,0)))</f>
        <v/>
      </c>
      <c r="D14">
        <f>IFERROR(INDEX(InternalTrades!$K$2:$K$461,MATCH($A14,InternalTrades!$A$2:$A$461,0)),INDEX(ExchangeConfirms!$K$2:$K$460,MATCH($A14,ExchangeConfirms!$A$2:$A$460,0)))</f>
        <v/>
      </c>
      <c r="E14">
        <f>IF(COUNTIF(InternalTrades!$A$2:$A$461,$A14)&gt;0,1,0)</f>
        <v/>
      </c>
      <c r="F14">
        <f>IF(COUNTIF(ExchangeConfirms!$A$2:$A$460,$A14)&gt;0,1,0)</f>
        <v/>
      </c>
      <c r="G14">
        <f>IFERROR(INDEX(InternalTrades!$F$2:$F$461,MATCH($A14,InternalTrades!$A$2:$A$461,0)),"")</f>
        <v/>
      </c>
      <c r="H14">
        <f>IFERROR(INDEX(ExchangeConfirms!$F$2:$F$460,MATCH($A14,ExchangeConfirms!$A$2:$A$460,0)),"")</f>
        <v/>
      </c>
      <c r="I14">
        <f>IFERROR(INDEX(InternalTrades!$G$2:$G$461,MATCH($A14,InternalTrades!$A$2:$A$461,0)),"")</f>
        <v/>
      </c>
      <c r="J14">
        <f>IFERROR(INDEX(ExchangeConfirms!$G$2:$G$460,MATCH($A14,ExchangeConfirms!$A$2:$A$460,0)),"")</f>
        <v/>
      </c>
      <c r="K14">
        <f>IFERROR(INDEX(InternalTrades!$H$2:$H$461,MATCH($A14,InternalTrades!$A$2:$A$461,0)),"")</f>
        <v/>
      </c>
      <c r="L14">
        <f>IFERROR(INDEX(ExchangeConfirms!$H$2:$H$460,MATCH($A14,ExchangeConfirms!$A$2:$A$460,0)),"")</f>
        <v/>
      </c>
      <c r="M14">
        <f>IFERROR(INDEX(InternalTrades!$J$2:$J$461,MATCH($A14,InternalTrades!$A$2:$A$461,0)),"")</f>
        <v/>
      </c>
      <c r="N14">
        <f>IFERROR(INDEX(ExchangeConfirms!$J$2:$J$460,MATCH($A14,ExchangeConfirms!$A$2:$A$460,0)),"")</f>
        <v/>
      </c>
      <c r="O14">
        <f>IFERROR(INDEX(InternalTrades!$I$2:$I$461,MATCH($A14,InternalTrades!$A$2:$A$461,0)),"")</f>
        <v/>
      </c>
      <c r="P14">
        <f>IFERROR(INDEX(ExchangeConfirms!$I$2:$I$460,MATCH($A14,ExchangeConfirms!$A$2:$A$460,0)),"")</f>
        <v/>
      </c>
      <c r="Q14">
        <f>IF(AND($E14=1,$F14=0),"MISSING IN EXCHANGE",IF(AND($E14=0,$F14=1),"MISSING IN INTERNAL",IF($G14&lt;&gt;$H14,"SIDE BREAK",IF($I14&lt;&gt;$J14,"QTY BREAK",IF(ABS($K14-$L14)&gt;0.005,"PRICE BREAK",IF(ABS($M14-$N14)&gt;0.01,"FEE BREAK","MATCHED"))))))</f>
        <v/>
      </c>
      <c r="R14">
        <f>IF($Q14="MATCHED",0,1)</f>
        <v/>
      </c>
      <c r="S14">
        <f>IF($Q14="MATCHED",0,IF($Q14="MISSING IN EXCHANGE",$O14,IF($Q14="MISSING IN INTERNAL",$P14,ABS(N($O14)-N($P14)))))</f>
        <v/>
      </c>
    </row>
    <row r="15">
      <c r="A15" t="inlineStr">
        <is>
          <t>T100014</t>
        </is>
      </c>
      <c r="B15">
        <f>IFERROR(INDEX(InternalTrades!$D$2:$D$461,MATCH($A15,InternalTrades!$A$2:$A$461,0)),INDEX(ExchangeConfirms!$D$2:$D$460,MATCH($A15,ExchangeConfirms!$A$2:$A$460,0)))</f>
        <v/>
      </c>
      <c r="C15">
        <f>IFERROR(INDEX(InternalTrades!$E$2:$E$461,MATCH($A15,InternalTrades!$A$2:$A$461,0)),INDEX(ExchangeConfirms!$E$2:$E$460,MATCH($A15,ExchangeConfirms!$A$2:$A$460,0)))</f>
        <v/>
      </c>
      <c r="D15">
        <f>IFERROR(INDEX(InternalTrades!$K$2:$K$461,MATCH($A15,InternalTrades!$A$2:$A$461,0)),INDEX(ExchangeConfirms!$K$2:$K$460,MATCH($A15,ExchangeConfirms!$A$2:$A$460,0)))</f>
        <v/>
      </c>
      <c r="E15">
        <f>IF(COUNTIF(InternalTrades!$A$2:$A$461,$A15)&gt;0,1,0)</f>
        <v/>
      </c>
      <c r="F15">
        <f>IF(COUNTIF(ExchangeConfirms!$A$2:$A$460,$A15)&gt;0,1,0)</f>
        <v/>
      </c>
      <c r="G15">
        <f>IFERROR(INDEX(InternalTrades!$F$2:$F$461,MATCH($A15,InternalTrades!$A$2:$A$461,0)),"")</f>
        <v/>
      </c>
      <c r="H15">
        <f>IFERROR(INDEX(ExchangeConfirms!$F$2:$F$460,MATCH($A15,ExchangeConfirms!$A$2:$A$460,0)),"")</f>
        <v/>
      </c>
      <c r="I15">
        <f>IFERROR(INDEX(InternalTrades!$G$2:$G$461,MATCH($A15,InternalTrades!$A$2:$A$461,0)),"")</f>
        <v/>
      </c>
      <c r="J15">
        <f>IFERROR(INDEX(ExchangeConfirms!$G$2:$G$460,MATCH($A15,ExchangeConfirms!$A$2:$A$460,0)),"")</f>
        <v/>
      </c>
      <c r="K15">
        <f>IFERROR(INDEX(InternalTrades!$H$2:$H$461,MATCH($A15,InternalTrades!$A$2:$A$461,0)),"")</f>
        <v/>
      </c>
      <c r="L15">
        <f>IFERROR(INDEX(ExchangeConfirms!$H$2:$H$460,MATCH($A15,ExchangeConfirms!$A$2:$A$460,0)),"")</f>
        <v/>
      </c>
      <c r="M15">
        <f>IFERROR(INDEX(InternalTrades!$J$2:$J$461,MATCH($A15,InternalTrades!$A$2:$A$461,0)),"")</f>
        <v/>
      </c>
      <c r="N15">
        <f>IFERROR(INDEX(ExchangeConfirms!$J$2:$J$460,MATCH($A15,ExchangeConfirms!$A$2:$A$460,0)),"")</f>
        <v/>
      </c>
      <c r="O15">
        <f>IFERROR(INDEX(InternalTrades!$I$2:$I$461,MATCH($A15,InternalTrades!$A$2:$A$461,0)),"")</f>
        <v/>
      </c>
      <c r="P15">
        <f>IFERROR(INDEX(ExchangeConfirms!$I$2:$I$460,MATCH($A15,ExchangeConfirms!$A$2:$A$460,0)),"")</f>
        <v/>
      </c>
      <c r="Q15">
        <f>IF(AND($E15=1,$F15=0),"MISSING IN EXCHANGE",IF(AND($E15=0,$F15=1),"MISSING IN INTERNAL",IF($G15&lt;&gt;$H15,"SIDE BREAK",IF($I15&lt;&gt;$J15,"QTY BREAK",IF(ABS($K15-$L15)&gt;0.005,"PRICE BREAK",IF(ABS($M15-$N15)&gt;0.01,"FEE BREAK","MATCHED"))))))</f>
        <v/>
      </c>
      <c r="R15">
        <f>IF($Q15="MATCHED",0,1)</f>
        <v/>
      </c>
      <c r="S15">
        <f>IF($Q15="MATCHED",0,IF($Q15="MISSING IN EXCHANGE",$O15,IF($Q15="MISSING IN INTERNAL",$P15,ABS(N($O15)-N($P15)))))</f>
        <v/>
      </c>
    </row>
    <row r="16">
      <c r="A16" t="inlineStr">
        <is>
          <t>T100015</t>
        </is>
      </c>
      <c r="B16">
        <f>IFERROR(INDEX(InternalTrades!$D$2:$D$461,MATCH($A16,InternalTrades!$A$2:$A$461,0)),INDEX(ExchangeConfirms!$D$2:$D$460,MATCH($A16,ExchangeConfirms!$A$2:$A$460,0)))</f>
        <v/>
      </c>
      <c r="C16">
        <f>IFERROR(INDEX(InternalTrades!$E$2:$E$461,MATCH($A16,InternalTrades!$A$2:$A$461,0)),INDEX(ExchangeConfirms!$E$2:$E$460,MATCH($A16,ExchangeConfirms!$A$2:$A$460,0)))</f>
        <v/>
      </c>
      <c r="D16">
        <f>IFERROR(INDEX(InternalTrades!$K$2:$K$461,MATCH($A16,InternalTrades!$A$2:$A$461,0)),INDEX(ExchangeConfirms!$K$2:$K$460,MATCH($A16,ExchangeConfirms!$A$2:$A$460,0)))</f>
        <v/>
      </c>
      <c r="E16">
        <f>IF(COUNTIF(InternalTrades!$A$2:$A$461,$A16)&gt;0,1,0)</f>
        <v/>
      </c>
      <c r="F16">
        <f>IF(COUNTIF(ExchangeConfirms!$A$2:$A$460,$A16)&gt;0,1,0)</f>
        <v/>
      </c>
      <c r="G16">
        <f>IFERROR(INDEX(InternalTrades!$F$2:$F$461,MATCH($A16,InternalTrades!$A$2:$A$461,0)),"")</f>
        <v/>
      </c>
      <c r="H16">
        <f>IFERROR(INDEX(ExchangeConfirms!$F$2:$F$460,MATCH($A16,ExchangeConfirms!$A$2:$A$460,0)),"")</f>
        <v/>
      </c>
      <c r="I16">
        <f>IFERROR(INDEX(InternalTrades!$G$2:$G$461,MATCH($A16,InternalTrades!$A$2:$A$461,0)),"")</f>
        <v/>
      </c>
      <c r="J16">
        <f>IFERROR(INDEX(ExchangeConfirms!$G$2:$G$460,MATCH($A16,ExchangeConfirms!$A$2:$A$460,0)),"")</f>
        <v/>
      </c>
      <c r="K16">
        <f>IFERROR(INDEX(InternalTrades!$H$2:$H$461,MATCH($A16,InternalTrades!$A$2:$A$461,0)),"")</f>
        <v/>
      </c>
      <c r="L16">
        <f>IFERROR(INDEX(ExchangeConfirms!$H$2:$H$460,MATCH($A16,ExchangeConfirms!$A$2:$A$460,0)),"")</f>
        <v/>
      </c>
      <c r="M16">
        <f>IFERROR(INDEX(InternalTrades!$J$2:$J$461,MATCH($A16,InternalTrades!$A$2:$A$461,0)),"")</f>
        <v/>
      </c>
      <c r="N16">
        <f>IFERROR(INDEX(ExchangeConfirms!$J$2:$J$460,MATCH($A16,ExchangeConfirms!$A$2:$A$460,0)),"")</f>
        <v/>
      </c>
      <c r="O16">
        <f>IFERROR(INDEX(InternalTrades!$I$2:$I$461,MATCH($A16,InternalTrades!$A$2:$A$461,0)),"")</f>
        <v/>
      </c>
      <c r="P16">
        <f>IFERROR(INDEX(ExchangeConfirms!$I$2:$I$460,MATCH($A16,ExchangeConfirms!$A$2:$A$460,0)),"")</f>
        <v/>
      </c>
      <c r="Q16">
        <f>IF(AND($E16=1,$F16=0),"MISSING IN EXCHANGE",IF(AND($E16=0,$F16=1),"MISSING IN INTERNAL",IF($G16&lt;&gt;$H16,"SIDE BREAK",IF($I16&lt;&gt;$J16,"QTY BREAK",IF(ABS($K16-$L16)&gt;0.005,"PRICE BREAK",IF(ABS($M16-$N16)&gt;0.01,"FEE BREAK","MATCHED"))))))</f>
        <v/>
      </c>
      <c r="R16">
        <f>IF($Q16="MATCHED",0,1)</f>
        <v/>
      </c>
      <c r="S16">
        <f>IF($Q16="MATCHED",0,IF($Q16="MISSING IN EXCHANGE",$O16,IF($Q16="MISSING IN INTERNAL",$P16,ABS(N($O16)-N($P16)))))</f>
        <v/>
      </c>
    </row>
    <row r="17">
      <c r="A17" t="inlineStr">
        <is>
          <t>T100016</t>
        </is>
      </c>
      <c r="B17">
        <f>IFERROR(INDEX(InternalTrades!$D$2:$D$461,MATCH($A17,InternalTrades!$A$2:$A$461,0)),INDEX(ExchangeConfirms!$D$2:$D$460,MATCH($A17,ExchangeConfirms!$A$2:$A$460,0)))</f>
        <v/>
      </c>
      <c r="C17">
        <f>IFERROR(INDEX(InternalTrades!$E$2:$E$461,MATCH($A17,InternalTrades!$A$2:$A$461,0)),INDEX(ExchangeConfirms!$E$2:$E$460,MATCH($A17,ExchangeConfirms!$A$2:$A$460,0)))</f>
        <v/>
      </c>
      <c r="D17">
        <f>IFERROR(INDEX(InternalTrades!$K$2:$K$461,MATCH($A17,InternalTrades!$A$2:$A$461,0)),INDEX(ExchangeConfirms!$K$2:$K$460,MATCH($A17,ExchangeConfirms!$A$2:$A$460,0)))</f>
        <v/>
      </c>
      <c r="E17">
        <f>IF(COUNTIF(InternalTrades!$A$2:$A$461,$A17)&gt;0,1,0)</f>
        <v/>
      </c>
      <c r="F17">
        <f>IF(COUNTIF(ExchangeConfirms!$A$2:$A$460,$A17)&gt;0,1,0)</f>
        <v/>
      </c>
      <c r="G17">
        <f>IFERROR(INDEX(InternalTrades!$F$2:$F$461,MATCH($A17,InternalTrades!$A$2:$A$461,0)),"")</f>
        <v/>
      </c>
      <c r="H17">
        <f>IFERROR(INDEX(ExchangeConfirms!$F$2:$F$460,MATCH($A17,ExchangeConfirms!$A$2:$A$460,0)),"")</f>
        <v/>
      </c>
      <c r="I17">
        <f>IFERROR(INDEX(InternalTrades!$G$2:$G$461,MATCH($A17,InternalTrades!$A$2:$A$461,0)),"")</f>
        <v/>
      </c>
      <c r="J17">
        <f>IFERROR(INDEX(ExchangeConfirms!$G$2:$G$460,MATCH($A17,ExchangeConfirms!$A$2:$A$460,0)),"")</f>
        <v/>
      </c>
      <c r="K17">
        <f>IFERROR(INDEX(InternalTrades!$H$2:$H$461,MATCH($A17,InternalTrades!$A$2:$A$461,0)),"")</f>
        <v/>
      </c>
      <c r="L17">
        <f>IFERROR(INDEX(ExchangeConfirms!$H$2:$H$460,MATCH($A17,ExchangeConfirms!$A$2:$A$460,0)),"")</f>
        <v/>
      </c>
      <c r="M17">
        <f>IFERROR(INDEX(InternalTrades!$J$2:$J$461,MATCH($A17,InternalTrades!$A$2:$A$461,0)),"")</f>
        <v/>
      </c>
      <c r="N17">
        <f>IFERROR(INDEX(ExchangeConfirms!$J$2:$J$460,MATCH($A17,ExchangeConfirms!$A$2:$A$460,0)),"")</f>
        <v/>
      </c>
      <c r="O17">
        <f>IFERROR(INDEX(InternalTrades!$I$2:$I$461,MATCH($A17,InternalTrades!$A$2:$A$461,0)),"")</f>
        <v/>
      </c>
      <c r="P17">
        <f>IFERROR(INDEX(ExchangeConfirms!$I$2:$I$460,MATCH($A17,ExchangeConfirms!$A$2:$A$460,0)),"")</f>
        <v/>
      </c>
      <c r="Q17">
        <f>IF(AND($E17=1,$F17=0),"MISSING IN EXCHANGE",IF(AND($E17=0,$F17=1),"MISSING IN INTERNAL",IF($G17&lt;&gt;$H17,"SIDE BREAK",IF($I17&lt;&gt;$J17,"QTY BREAK",IF(ABS($K17-$L17)&gt;0.005,"PRICE BREAK",IF(ABS($M17-$N17)&gt;0.01,"FEE BREAK","MATCHED"))))))</f>
        <v/>
      </c>
      <c r="R17">
        <f>IF($Q17="MATCHED",0,1)</f>
        <v/>
      </c>
      <c r="S17">
        <f>IF($Q17="MATCHED",0,IF($Q17="MISSING IN EXCHANGE",$O17,IF($Q17="MISSING IN INTERNAL",$P17,ABS(N($O17)-N($P17)))))</f>
        <v/>
      </c>
    </row>
    <row r="18">
      <c r="A18" t="inlineStr">
        <is>
          <t>T100017</t>
        </is>
      </c>
      <c r="B18">
        <f>IFERROR(INDEX(InternalTrades!$D$2:$D$461,MATCH($A18,InternalTrades!$A$2:$A$461,0)),INDEX(ExchangeConfirms!$D$2:$D$460,MATCH($A18,ExchangeConfirms!$A$2:$A$460,0)))</f>
        <v/>
      </c>
      <c r="C18">
        <f>IFERROR(INDEX(InternalTrades!$E$2:$E$461,MATCH($A18,InternalTrades!$A$2:$A$461,0)),INDEX(ExchangeConfirms!$E$2:$E$460,MATCH($A18,ExchangeConfirms!$A$2:$A$460,0)))</f>
        <v/>
      </c>
      <c r="D18">
        <f>IFERROR(INDEX(InternalTrades!$K$2:$K$461,MATCH($A18,InternalTrades!$A$2:$A$461,0)),INDEX(ExchangeConfirms!$K$2:$K$460,MATCH($A18,ExchangeConfirms!$A$2:$A$460,0)))</f>
        <v/>
      </c>
      <c r="E18">
        <f>IF(COUNTIF(InternalTrades!$A$2:$A$461,$A18)&gt;0,1,0)</f>
        <v/>
      </c>
      <c r="F18">
        <f>IF(COUNTIF(ExchangeConfirms!$A$2:$A$460,$A18)&gt;0,1,0)</f>
        <v/>
      </c>
      <c r="G18">
        <f>IFERROR(INDEX(InternalTrades!$F$2:$F$461,MATCH($A18,InternalTrades!$A$2:$A$461,0)),"")</f>
        <v/>
      </c>
      <c r="H18">
        <f>IFERROR(INDEX(ExchangeConfirms!$F$2:$F$460,MATCH($A18,ExchangeConfirms!$A$2:$A$460,0)),"")</f>
        <v/>
      </c>
      <c r="I18">
        <f>IFERROR(INDEX(InternalTrades!$G$2:$G$461,MATCH($A18,InternalTrades!$A$2:$A$461,0)),"")</f>
        <v/>
      </c>
      <c r="J18">
        <f>IFERROR(INDEX(ExchangeConfirms!$G$2:$G$460,MATCH($A18,ExchangeConfirms!$A$2:$A$460,0)),"")</f>
        <v/>
      </c>
      <c r="K18">
        <f>IFERROR(INDEX(InternalTrades!$H$2:$H$461,MATCH($A18,InternalTrades!$A$2:$A$461,0)),"")</f>
        <v/>
      </c>
      <c r="L18">
        <f>IFERROR(INDEX(ExchangeConfirms!$H$2:$H$460,MATCH($A18,ExchangeConfirms!$A$2:$A$460,0)),"")</f>
        <v/>
      </c>
      <c r="M18">
        <f>IFERROR(INDEX(InternalTrades!$J$2:$J$461,MATCH($A18,InternalTrades!$A$2:$A$461,0)),"")</f>
        <v/>
      </c>
      <c r="N18">
        <f>IFERROR(INDEX(ExchangeConfirms!$J$2:$J$460,MATCH($A18,ExchangeConfirms!$A$2:$A$460,0)),"")</f>
        <v/>
      </c>
      <c r="O18">
        <f>IFERROR(INDEX(InternalTrades!$I$2:$I$461,MATCH($A18,InternalTrades!$A$2:$A$461,0)),"")</f>
        <v/>
      </c>
      <c r="P18">
        <f>IFERROR(INDEX(ExchangeConfirms!$I$2:$I$460,MATCH($A18,ExchangeConfirms!$A$2:$A$460,0)),"")</f>
        <v/>
      </c>
      <c r="Q18">
        <f>IF(AND($E18=1,$F18=0),"MISSING IN EXCHANGE",IF(AND($E18=0,$F18=1),"MISSING IN INTERNAL",IF($G18&lt;&gt;$H18,"SIDE BREAK",IF($I18&lt;&gt;$J18,"QTY BREAK",IF(ABS($K18-$L18)&gt;0.005,"PRICE BREAK",IF(ABS($M18-$N18)&gt;0.01,"FEE BREAK","MATCHED"))))))</f>
        <v/>
      </c>
      <c r="R18">
        <f>IF($Q18="MATCHED",0,1)</f>
        <v/>
      </c>
      <c r="S18">
        <f>IF($Q18="MATCHED",0,IF($Q18="MISSING IN EXCHANGE",$O18,IF($Q18="MISSING IN INTERNAL",$P18,ABS(N($O18)-N($P18)))))</f>
        <v/>
      </c>
    </row>
    <row r="19">
      <c r="A19" t="inlineStr">
        <is>
          <t>T100018</t>
        </is>
      </c>
      <c r="B19">
        <f>IFERROR(INDEX(InternalTrades!$D$2:$D$461,MATCH($A19,InternalTrades!$A$2:$A$461,0)),INDEX(ExchangeConfirms!$D$2:$D$460,MATCH($A19,ExchangeConfirms!$A$2:$A$460,0)))</f>
        <v/>
      </c>
      <c r="C19">
        <f>IFERROR(INDEX(InternalTrades!$E$2:$E$461,MATCH($A19,InternalTrades!$A$2:$A$461,0)),INDEX(ExchangeConfirms!$E$2:$E$460,MATCH($A19,ExchangeConfirms!$A$2:$A$460,0)))</f>
        <v/>
      </c>
      <c r="D19">
        <f>IFERROR(INDEX(InternalTrades!$K$2:$K$461,MATCH($A19,InternalTrades!$A$2:$A$461,0)),INDEX(ExchangeConfirms!$K$2:$K$460,MATCH($A19,ExchangeConfirms!$A$2:$A$460,0)))</f>
        <v/>
      </c>
      <c r="E19">
        <f>IF(COUNTIF(InternalTrades!$A$2:$A$461,$A19)&gt;0,1,0)</f>
        <v/>
      </c>
      <c r="F19">
        <f>IF(COUNTIF(ExchangeConfirms!$A$2:$A$460,$A19)&gt;0,1,0)</f>
        <v/>
      </c>
      <c r="G19">
        <f>IFERROR(INDEX(InternalTrades!$F$2:$F$461,MATCH($A19,InternalTrades!$A$2:$A$461,0)),"")</f>
        <v/>
      </c>
      <c r="H19">
        <f>IFERROR(INDEX(ExchangeConfirms!$F$2:$F$460,MATCH($A19,ExchangeConfirms!$A$2:$A$460,0)),"")</f>
        <v/>
      </c>
      <c r="I19">
        <f>IFERROR(INDEX(InternalTrades!$G$2:$G$461,MATCH($A19,InternalTrades!$A$2:$A$461,0)),"")</f>
        <v/>
      </c>
      <c r="J19">
        <f>IFERROR(INDEX(ExchangeConfirms!$G$2:$G$460,MATCH($A19,ExchangeConfirms!$A$2:$A$460,0)),"")</f>
        <v/>
      </c>
      <c r="K19">
        <f>IFERROR(INDEX(InternalTrades!$H$2:$H$461,MATCH($A19,InternalTrades!$A$2:$A$461,0)),"")</f>
        <v/>
      </c>
      <c r="L19">
        <f>IFERROR(INDEX(ExchangeConfirms!$H$2:$H$460,MATCH($A19,ExchangeConfirms!$A$2:$A$460,0)),"")</f>
        <v/>
      </c>
      <c r="M19">
        <f>IFERROR(INDEX(InternalTrades!$J$2:$J$461,MATCH($A19,InternalTrades!$A$2:$A$461,0)),"")</f>
        <v/>
      </c>
      <c r="N19">
        <f>IFERROR(INDEX(ExchangeConfirms!$J$2:$J$460,MATCH($A19,ExchangeConfirms!$A$2:$A$460,0)),"")</f>
        <v/>
      </c>
      <c r="O19">
        <f>IFERROR(INDEX(InternalTrades!$I$2:$I$461,MATCH($A19,InternalTrades!$A$2:$A$461,0)),"")</f>
        <v/>
      </c>
      <c r="P19">
        <f>IFERROR(INDEX(ExchangeConfirms!$I$2:$I$460,MATCH($A19,ExchangeConfirms!$A$2:$A$460,0)),"")</f>
        <v/>
      </c>
      <c r="Q19">
        <f>IF(AND($E19=1,$F19=0),"MISSING IN EXCHANGE",IF(AND($E19=0,$F19=1),"MISSING IN INTERNAL",IF($G19&lt;&gt;$H19,"SIDE BREAK",IF($I19&lt;&gt;$J19,"QTY BREAK",IF(ABS($K19-$L19)&gt;0.005,"PRICE BREAK",IF(ABS($M19-$N19)&gt;0.01,"FEE BREAK","MATCHED"))))))</f>
        <v/>
      </c>
      <c r="R19">
        <f>IF($Q19="MATCHED",0,1)</f>
        <v/>
      </c>
      <c r="S19">
        <f>IF($Q19="MATCHED",0,IF($Q19="MISSING IN EXCHANGE",$O19,IF($Q19="MISSING IN INTERNAL",$P19,ABS(N($O19)-N($P19)))))</f>
        <v/>
      </c>
    </row>
    <row r="20">
      <c r="A20" t="inlineStr">
        <is>
          <t>T100019</t>
        </is>
      </c>
      <c r="B20">
        <f>IFERROR(INDEX(InternalTrades!$D$2:$D$461,MATCH($A20,InternalTrades!$A$2:$A$461,0)),INDEX(ExchangeConfirms!$D$2:$D$460,MATCH($A20,ExchangeConfirms!$A$2:$A$460,0)))</f>
        <v/>
      </c>
      <c r="C20">
        <f>IFERROR(INDEX(InternalTrades!$E$2:$E$461,MATCH($A20,InternalTrades!$A$2:$A$461,0)),INDEX(ExchangeConfirms!$E$2:$E$460,MATCH($A20,ExchangeConfirms!$A$2:$A$460,0)))</f>
        <v/>
      </c>
      <c r="D20">
        <f>IFERROR(INDEX(InternalTrades!$K$2:$K$461,MATCH($A20,InternalTrades!$A$2:$A$461,0)),INDEX(ExchangeConfirms!$K$2:$K$460,MATCH($A20,ExchangeConfirms!$A$2:$A$460,0)))</f>
        <v/>
      </c>
      <c r="E20">
        <f>IF(COUNTIF(InternalTrades!$A$2:$A$461,$A20)&gt;0,1,0)</f>
        <v/>
      </c>
      <c r="F20">
        <f>IF(COUNTIF(ExchangeConfirms!$A$2:$A$460,$A20)&gt;0,1,0)</f>
        <v/>
      </c>
      <c r="G20">
        <f>IFERROR(INDEX(InternalTrades!$F$2:$F$461,MATCH($A20,InternalTrades!$A$2:$A$461,0)),"")</f>
        <v/>
      </c>
      <c r="H20">
        <f>IFERROR(INDEX(ExchangeConfirms!$F$2:$F$460,MATCH($A20,ExchangeConfirms!$A$2:$A$460,0)),"")</f>
        <v/>
      </c>
      <c r="I20">
        <f>IFERROR(INDEX(InternalTrades!$G$2:$G$461,MATCH($A20,InternalTrades!$A$2:$A$461,0)),"")</f>
        <v/>
      </c>
      <c r="J20">
        <f>IFERROR(INDEX(ExchangeConfirms!$G$2:$G$460,MATCH($A20,ExchangeConfirms!$A$2:$A$460,0)),"")</f>
        <v/>
      </c>
      <c r="K20">
        <f>IFERROR(INDEX(InternalTrades!$H$2:$H$461,MATCH($A20,InternalTrades!$A$2:$A$461,0)),"")</f>
        <v/>
      </c>
      <c r="L20">
        <f>IFERROR(INDEX(ExchangeConfirms!$H$2:$H$460,MATCH($A20,ExchangeConfirms!$A$2:$A$460,0)),"")</f>
        <v/>
      </c>
      <c r="M20">
        <f>IFERROR(INDEX(InternalTrades!$J$2:$J$461,MATCH($A20,InternalTrades!$A$2:$A$461,0)),"")</f>
        <v/>
      </c>
      <c r="N20">
        <f>IFERROR(INDEX(ExchangeConfirms!$J$2:$J$460,MATCH($A20,ExchangeConfirms!$A$2:$A$460,0)),"")</f>
        <v/>
      </c>
      <c r="O20">
        <f>IFERROR(INDEX(InternalTrades!$I$2:$I$461,MATCH($A20,InternalTrades!$A$2:$A$461,0)),"")</f>
        <v/>
      </c>
      <c r="P20">
        <f>IFERROR(INDEX(ExchangeConfirms!$I$2:$I$460,MATCH($A20,ExchangeConfirms!$A$2:$A$460,0)),"")</f>
        <v/>
      </c>
      <c r="Q20">
        <f>IF(AND($E20=1,$F20=0),"MISSING IN EXCHANGE",IF(AND($E20=0,$F20=1),"MISSING IN INTERNAL",IF($G20&lt;&gt;$H20,"SIDE BREAK",IF($I20&lt;&gt;$J20,"QTY BREAK",IF(ABS($K20-$L20)&gt;0.005,"PRICE BREAK",IF(ABS($M20-$N20)&gt;0.01,"FEE BREAK","MATCHED"))))))</f>
        <v/>
      </c>
      <c r="R20">
        <f>IF($Q20="MATCHED",0,1)</f>
        <v/>
      </c>
      <c r="S20">
        <f>IF($Q20="MATCHED",0,IF($Q20="MISSING IN EXCHANGE",$O20,IF($Q20="MISSING IN INTERNAL",$P20,ABS(N($O20)-N($P20)))))</f>
        <v/>
      </c>
    </row>
    <row r="21">
      <c r="A21" t="inlineStr">
        <is>
          <t>T100020</t>
        </is>
      </c>
      <c r="B21">
        <f>IFERROR(INDEX(InternalTrades!$D$2:$D$461,MATCH($A21,InternalTrades!$A$2:$A$461,0)),INDEX(ExchangeConfirms!$D$2:$D$460,MATCH($A21,ExchangeConfirms!$A$2:$A$460,0)))</f>
        <v/>
      </c>
      <c r="C21">
        <f>IFERROR(INDEX(InternalTrades!$E$2:$E$461,MATCH($A21,InternalTrades!$A$2:$A$461,0)),INDEX(ExchangeConfirms!$E$2:$E$460,MATCH($A21,ExchangeConfirms!$A$2:$A$460,0)))</f>
        <v/>
      </c>
      <c r="D21">
        <f>IFERROR(INDEX(InternalTrades!$K$2:$K$461,MATCH($A21,InternalTrades!$A$2:$A$461,0)),INDEX(ExchangeConfirms!$K$2:$K$460,MATCH($A21,ExchangeConfirms!$A$2:$A$460,0)))</f>
        <v/>
      </c>
      <c r="E21">
        <f>IF(COUNTIF(InternalTrades!$A$2:$A$461,$A21)&gt;0,1,0)</f>
        <v/>
      </c>
      <c r="F21">
        <f>IF(COUNTIF(ExchangeConfirms!$A$2:$A$460,$A21)&gt;0,1,0)</f>
        <v/>
      </c>
      <c r="G21">
        <f>IFERROR(INDEX(InternalTrades!$F$2:$F$461,MATCH($A21,InternalTrades!$A$2:$A$461,0)),"")</f>
        <v/>
      </c>
      <c r="H21">
        <f>IFERROR(INDEX(ExchangeConfirms!$F$2:$F$460,MATCH($A21,ExchangeConfirms!$A$2:$A$460,0)),"")</f>
        <v/>
      </c>
      <c r="I21">
        <f>IFERROR(INDEX(InternalTrades!$G$2:$G$461,MATCH($A21,InternalTrades!$A$2:$A$461,0)),"")</f>
        <v/>
      </c>
      <c r="J21">
        <f>IFERROR(INDEX(ExchangeConfirms!$G$2:$G$460,MATCH($A21,ExchangeConfirms!$A$2:$A$460,0)),"")</f>
        <v/>
      </c>
      <c r="K21">
        <f>IFERROR(INDEX(InternalTrades!$H$2:$H$461,MATCH($A21,InternalTrades!$A$2:$A$461,0)),"")</f>
        <v/>
      </c>
      <c r="L21">
        <f>IFERROR(INDEX(ExchangeConfirms!$H$2:$H$460,MATCH($A21,ExchangeConfirms!$A$2:$A$460,0)),"")</f>
        <v/>
      </c>
      <c r="M21">
        <f>IFERROR(INDEX(InternalTrades!$J$2:$J$461,MATCH($A21,InternalTrades!$A$2:$A$461,0)),"")</f>
        <v/>
      </c>
      <c r="N21">
        <f>IFERROR(INDEX(ExchangeConfirms!$J$2:$J$460,MATCH($A21,ExchangeConfirms!$A$2:$A$460,0)),"")</f>
        <v/>
      </c>
      <c r="O21">
        <f>IFERROR(INDEX(InternalTrades!$I$2:$I$461,MATCH($A21,InternalTrades!$A$2:$A$461,0)),"")</f>
        <v/>
      </c>
      <c r="P21">
        <f>IFERROR(INDEX(ExchangeConfirms!$I$2:$I$460,MATCH($A21,ExchangeConfirms!$A$2:$A$460,0)),"")</f>
        <v/>
      </c>
      <c r="Q21">
        <f>IF(AND($E21=1,$F21=0),"MISSING IN EXCHANGE",IF(AND($E21=0,$F21=1),"MISSING IN INTERNAL",IF($G21&lt;&gt;$H21,"SIDE BREAK",IF($I21&lt;&gt;$J21,"QTY BREAK",IF(ABS($K21-$L21)&gt;0.005,"PRICE BREAK",IF(ABS($M21-$N21)&gt;0.01,"FEE BREAK","MATCHED"))))))</f>
        <v/>
      </c>
      <c r="R21">
        <f>IF($Q21="MATCHED",0,1)</f>
        <v/>
      </c>
      <c r="S21">
        <f>IF($Q21="MATCHED",0,IF($Q21="MISSING IN EXCHANGE",$O21,IF($Q21="MISSING IN INTERNAL",$P21,ABS(N($O21)-N($P21)))))</f>
        <v/>
      </c>
    </row>
    <row r="22">
      <c r="A22" t="inlineStr">
        <is>
          <t>T100021</t>
        </is>
      </c>
      <c r="B22">
        <f>IFERROR(INDEX(InternalTrades!$D$2:$D$461,MATCH($A22,InternalTrades!$A$2:$A$461,0)),INDEX(ExchangeConfirms!$D$2:$D$460,MATCH($A22,ExchangeConfirms!$A$2:$A$460,0)))</f>
        <v/>
      </c>
      <c r="C22">
        <f>IFERROR(INDEX(InternalTrades!$E$2:$E$461,MATCH($A22,InternalTrades!$A$2:$A$461,0)),INDEX(ExchangeConfirms!$E$2:$E$460,MATCH($A22,ExchangeConfirms!$A$2:$A$460,0)))</f>
        <v/>
      </c>
      <c r="D22">
        <f>IFERROR(INDEX(InternalTrades!$K$2:$K$461,MATCH($A22,InternalTrades!$A$2:$A$461,0)),INDEX(ExchangeConfirms!$K$2:$K$460,MATCH($A22,ExchangeConfirms!$A$2:$A$460,0)))</f>
        <v/>
      </c>
      <c r="E22">
        <f>IF(COUNTIF(InternalTrades!$A$2:$A$461,$A22)&gt;0,1,0)</f>
        <v/>
      </c>
      <c r="F22">
        <f>IF(COUNTIF(ExchangeConfirms!$A$2:$A$460,$A22)&gt;0,1,0)</f>
        <v/>
      </c>
      <c r="G22">
        <f>IFERROR(INDEX(InternalTrades!$F$2:$F$461,MATCH($A22,InternalTrades!$A$2:$A$461,0)),"")</f>
        <v/>
      </c>
      <c r="H22">
        <f>IFERROR(INDEX(ExchangeConfirms!$F$2:$F$460,MATCH($A22,ExchangeConfirms!$A$2:$A$460,0)),"")</f>
        <v/>
      </c>
      <c r="I22">
        <f>IFERROR(INDEX(InternalTrades!$G$2:$G$461,MATCH($A22,InternalTrades!$A$2:$A$461,0)),"")</f>
        <v/>
      </c>
      <c r="J22">
        <f>IFERROR(INDEX(ExchangeConfirms!$G$2:$G$460,MATCH($A22,ExchangeConfirms!$A$2:$A$460,0)),"")</f>
        <v/>
      </c>
      <c r="K22">
        <f>IFERROR(INDEX(InternalTrades!$H$2:$H$461,MATCH($A22,InternalTrades!$A$2:$A$461,0)),"")</f>
        <v/>
      </c>
      <c r="L22">
        <f>IFERROR(INDEX(ExchangeConfirms!$H$2:$H$460,MATCH($A22,ExchangeConfirms!$A$2:$A$460,0)),"")</f>
        <v/>
      </c>
      <c r="M22">
        <f>IFERROR(INDEX(InternalTrades!$J$2:$J$461,MATCH($A22,InternalTrades!$A$2:$A$461,0)),"")</f>
        <v/>
      </c>
      <c r="N22">
        <f>IFERROR(INDEX(ExchangeConfirms!$J$2:$J$460,MATCH($A22,ExchangeConfirms!$A$2:$A$460,0)),"")</f>
        <v/>
      </c>
      <c r="O22">
        <f>IFERROR(INDEX(InternalTrades!$I$2:$I$461,MATCH($A22,InternalTrades!$A$2:$A$461,0)),"")</f>
        <v/>
      </c>
      <c r="P22">
        <f>IFERROR(INDEX(ExchangeConfirms!$I$2:$I$460,MATCH($A22,ExchangeConfirms!$A$2:$A$460,0)),"")</f>
        <v/>
      </c>
      <c r="Q22">
        <f>IF(AND($E22=1,$F22=0),"MISSING IN EXCHANGE",IF(AND($E22=0,$F22=1),"MISSING IN INTERNAL",IF($G22&lt;&gt;$H22,"SIDE BREAK",IF($I22&lt;&gt;$J22,"QTY BREAK",IF(ABS($K22-$L22)&gt;0.005,"PRICE BREAK",IF(ABS($M22-$N22)&gt;0.01,"FEE BREAK","MATCHED"))))))</f>
        <v/>
      </c>
      <c r="R22">
        <f>IF($Q22="MATCHED",0,1)</f>
        <v/>
      </c>
      <c r="S22">
        <f>IF($Q22="MATCHED",0,IF($Q22="MISSING IN EXCHANGE",$O22,IF($Q22="MISSING IN INTERNAL",$P22,ABS(N($O22)-N($P22)))))</f>
        <v/>
      </c>
    </row>
    <row r="23">
      <c r="A23" t="inlineStr">
        <is>
          <t>T100022</t>
        </is>
      </c>
      <c r="B23">
        <f>IFERROR(INDEX(InternalTrades!$D$2:$D$461,MATCH($A23,InternalTrades!$A$2:$A$461,0)),INDEX(ExchangeConfirms!$D$2:$D$460,MATCH($A23,ExchangeConfirms!$A$2:$A$460,0)))</f>
        <v/>
      </c>
      <c r="C23">
        <f>IFERROR(INDEX(InternalTrades!$E$2:$E$461,MATCH($A23,InternalTrades!$A$2:$A$461,0)),INDEX(ExchangeConfirms!$E$2:$E$460,MATCH($A23,ExchangeConfirms!$A$2:$A$460,0)))</f>
        <v/>
      </c>
      <c r="D23">
        <f>IFERROR(INDEX(InternalTrades!$K$2:$K$461,MATCH($A23,InternalTrades!$A$2:$A$461,0)),INDEX(ExchangeConfirms!$K$2:$K$460,MATCH($A23,ExchangeConfirms!$A$2:$A$460,0)))</f>
        <v/>
      </c>
      <c r="E23">
        <f>IF(COUNTIF(InternalTrades!$A$2:$A$461,$A23)&gt;0,1,0)</f>
        <v/>
      </c>
      <c r="F23">
        <f>IF(COUNTIF(ExchangeConfirms!$A$2:$A$460,$A23)&gt;0,1,0)</f>
        <v/>
      </c>
      <c r="G23">
        <f>IFERROR(INDEX(InternalTrades!$F$2:$F$461,MATCH($A23,InternalTrades!$A$2:$A$461,0)),"")</f>
        <v/>
      </c>
      <c r="H23">
        <f>IFERROR(INDEX(ExchangeConfirms!$F$2:$F$460,MATCH($A23,ExchangeConfirms!$A$2:$A$460,0)),"")</f>
        <v/>
      </c>
      <c r="I23">
        <f>IFERROR(INDEX(InternalTrades!$G$2:$G$461,MATCH($A23,InternalTrades!$A$2:$A$461,0)),"")</f>
        <v/>
      </c>
      <c r="J23">
        <f>IFERROR(INDEX(ExchangeConfirms!$G$2:$G$460,MATCH($A23,ExchangeConfirms!$A$2:$A$460,0)),"")</f>
        <v/>
      </c>
      <c r="K23">
        <f>IFERROR(INDEX(InternalTrades!$H$2:$H$461,MATCH($A23,InternalTrades!$A$2:$A$461,0)),"")</f>
        <v/>
      </c>
      <c r="L23">
        <f>IFERROR(INDEX(ExchangeConfirms!$H$2:$H$460,MATCH($A23,ExchangeConfirms!$A$2:$A$460,0)),"")</f>
        <v/>
      </c>
      <c r="M23">
        <f>IFERROR(INDEX(InternalTrades!$J$2:$J$461,MATCH($A23,InternalTrades!$A$2:$A$461,0)),"")</f>
        <v/>
      </c>
      <c r="N23">
        <f>IFERROR(INDEX(ExchangeConfirms!$J$2:$J$460,MATCH($A23,ExchangeConfirms!$A$2:$A$460,0)),"")</f>
        <v/>
      </c>
      <c r="O23">
        <f>IFERROR(INDEX(InternalTrades!$I$2:$I$461,MATCH($A23,InternalTrades!$A$2:$A$461,0)),"")</f>
        <v/>
      </c>
      <c r="P23">
        <f>IFERROR(INDEX(ExchangeConfirms!$I$2:$I$460,MATCH($A23,ExchangeConfirms!$A$2:$A$460,0)),"")</f>
        <v/>
      </c>
      <c r="Q23">
        <f>IF(AND($E23=1,$F23=0),"MISSING IN EXCHANGE",IF(AND($E23=0,$F23=1),"MISSING IN INTERNAL",IF($G23&lt;&gt;$H23,"SIDE BREAK",IF($I23&lt;&gt;$J23,"QTY BREAK",IF(ABS($K23-$L23)&gt;0.005,"PRICE BREAK",IF(ABS($M23-$N23)&gt;0.01,"FEE BREAK","MATCHED"))))))</f>
        <v/>
      </c>
      <c r="R23">
        <f>IF($Q23="MATCHED",0,1)</f>
        <v/>
      </c>
      <c r="S23">
        <f>IF($Q23="MATCHED",0,IF($Q23="MISSING IN EXCHANGE",$O23,IF($Q23="MISSING IN INTERNAL",$P23,ABS(N($O23)-N($P23)))))</f>
        <v/>
      </c>
    </row>
    <row r="24">
      <c r="A24" t="inlineStr">
        <is>
          <t>T100023</t>
        </is>
      </c>
      <c r="B24">
        <f>IFERROR(INDEX(InternalTrades!$D$2:$D$461,MATCH($A24,InternalTrades!$A$2:$A$461,0)),INDEX(ExchangeConfirms!$D$2:$D$460,MATCH($A24,ExchangeConfirms!$A$2:$A$460,0)))</f>
        <v/>
      </c>
      <c r="C24">
        <f>IFERROR(INDEX(InternalTrades!$E$2:$E$461,MATCH($A24,InternalTrades!$A$2:$A$461,0)),INDEX(ExchangeConfirms!$E$2:$E$460,MATCH($A24,ExchangeConfirms!$A$2:$A$460,0)))</f>
        <v/>
      </c>
      <c r="D24">
        <f>IFERROR(INDEX(InternalTrades!$K$2:$K$461,MATCH($A24,InternalTrades!$A$2:$A$461,0)),INDEX(ExchangeConfirms!$K$2:$K$460,MATCH($A24,ExchangeConfirms!$A$2:$A$460,0)))</f>
        <v/>
      </c>
      <c r="E24">
        <f>IF(COUNTIF(InternalTrades!$A$2:$A$461,$A24)&gt;0,1,0)</f>
        <v/>
      </c>
      <c r="F24">
        <f>IF(COUNTIF(ExchangeConfirms!$A$2:$A$460,$A24)&gt;0,1,0)</f>
        <v/>
      </c>
      <c r="G24">
        <f>IFERROR(INDEX(InternalTrades!$F$2:$F$461,MATCH($A24,InternalTrades!$A$2:$A$461,0)),"")</f>
        <v/>
      </c>
      <c r="H24">
        <f>IFERROR(INDEX(ExchangeConfirms!$F$2:$F$460,MATCH($A24,ExchangeConfirms!$A$2:$A$460,0)),"")</f>
        <v/>
      </c>
      <c r="I24">
        <f>IFERROR(INDEX(InternalTrades!$G$2:$G$461,MATCH($A24,InternalTrades!$A$2:$A$461,0)),"")</f>
        <v/>
      </c>
      <c r="J24">
        <f>IFERROR(INDEX(ExchangeConfirms!$G$2:$G$460,MATCH($A24,ExchangeConfirms!$A$2:$A$460,0)),"")</f>
        <v/>
      </c>
      <c r="K24">
        <f>IFERROR(INDEX(InternalTrades!$H$2:$H$461,MATCH($A24,InternalTrades!$A$2:$A$461,0)),"")</f>
        <v/>
      </c>
      <c r="L24">
        <f>IFERROR(INDEX(ExchangeConfirms!$H$2:$H$460,MATCH($A24,ExchangeConfirms!$A$2:$A$460,0)),"")</f>
        <v/>
      </c>
      <c r="M24">
        <f>IFERROR(INDEX(InternalTrades!$J$2:$J$461,MATCH($A24,InternalTrades!$A$2:$A$461,0)),"")</f>
        <v/>
      </c>
      <c r="N24">
        <f>IFERROR(INDEX(ExchangeConfirms!$J$2:$J$460,MATCH($A24,ExchangeConfirms!$A$2:$A$460,0)),"")</f>
        <v/>
      </c>
      <c r="O24">
        <f>IFERROR(INDEX(InternalTrades!$I$2:$I$461,MATCH($A24,InternalTrades!$A$2:$A$461,0)),"")</f>
        <v/>
      </c>
      <c r="P24">
        <f>IFERROR(INDEX(ExchangeConfirms!$I$2:$I$460,MATCH($A24,ExchangeConfirms!$A$2:$A$460,0)),"")</f>
        <v/>
      </c>
      <c r="Q24">
        <f>IF(AND($E24=1,$F24=0),"MISSING IN EXCHANGE",IF(AND($E24=0,$F24=1),"MISSING IN INTERNAL",IF($G24&lt;&gt;$H24,"SIDE BREAK",IF($I24&lt;&gt;$J24,"QTY BREAK",IF(ABS($K24-$L24)&gt;0.005,"PRICE BREAK",IF(ABS($M24-$N24)&gt;0.01,"FEE BREAK","MATCHED"))))))</f>
        <v/>
      </c>
      <c r="R24">
        <f>IF($Q24="MATCHED",0,1)</f>
        <v/>
      </c>
      <c r="S24">
        <f>IF($Q24="MATCHED",0,IF($Q24="MISSING IN EXCHANGE",$O24,IF($Q24="MISSING IN INTERNAL",$P24,ABS(N($O24)-N($P24)))))</f>
        <v/>
      </c>
    </row>
    <row r="25">
      <c r="A25" t="inlineStr">
        <is>
          <t>T100024</t>
        </is>
      </c>
      <c r="B25">
        <f>IFERROR(INDEX(InternalTrades!$D$2:$D$461,MATCH($A25,InternalTrades!$A$2:$A$461,0)),INDEX(ExchangeConfirms!$D$2:$D$460,MATCH($A25,ExchangeConfirms!$A$2:$A$460,0)))</f>
        <v/>
      </c>
      <c r="C25">
        <f>IFERROR(INDEX(InternalTrades!$E$2:$E$461,MATCH($A25,InternalTrades!$A$2:$A$461,0)),INDEX(ExchangeConfirms!$E$2:$E$460,MATCH($A25,ExchangeConfirms!$A$2:$A$460,0)))</f>
        <v/>
      </c>
      <c r="D25">
        <f>IFERROR(INDEX(InternalTrades!$K$2:$K$461,MATCH($A25,InternalTrades!$A$2:$A$461,0)),INDEX(ExchangeConfirms!$K$2:$K$460,MATCH($A25,ExchangeConfirms!$A$2:$A$460,0)))</f>
        <v/>
      </c>
      <c r="E25">
        <f>IF(COUNTIF(InternalTrades!$A$2:$A$461,$A25)&gt;0,1,0)</f>
        <v/>
      </c>
      <c r="F25">
        <f>IF(COUNTIF(ExchangeConfirms!$A$2:$A$460,$A25)&gt;0,1,0)</f>
        <v/>
      </c>
      <c r="G25">
        <f>IFERROR(INDEX(InternalTrades!$F$2:$F$461,MATCH($A25,InternalTrades!$A$2:$A$461,0)),"")</f>
        <v/>
      </c>
      <c r="H25">
        <f>IFERROR(INDEX(ExchangeConfirms!$F$2:$F$460,MATCH($A25,ExchangeConfirms!$A$2:$A$460,0)),"")</f>
        <v/>
      </c>
      <c r="I25">
        <f>IFERROR(INDEX(InternalTrades!$G$2:$G$461,MATCH($A25,InternalTrades!$A$2:$A$461,0)),"")</f>
        <v/>
      </c>
      <c r="J25">
        <f>IFERROR(INDEX(ExchangeConfirms!$G$2:$G$460,MATCH($A25,ExchangeConfirms!$A$2:$A$460,0)),"")</f>
        <v/>
      </c>
      <c r="K25">
        <f>IFERROR(INDEX(InternalTrades!$H$2:$H$461,MATCH($A25,InternalTrades!$A$2:$A$461,0)),"")</f>
        <v/>
      </c>
      <c r="L25">
        <f>IFERROR(INDEX(ExchangeConfirms!$H$2:$H$460,MATCH($A25,ExchangeConfirms!$A$2:$A$460,0)),"")</f>
        <v/>
      </c>
      <c r="M25">
        <f>IFERROR(INDEX(InternalTrades!$J$2:$J$461,MATCH($A25,InternalTrades!$A$2:$A$461,0)),"")</f>
        <v/>
      </c>
      <c r="N25">
        <f>IFERROR(INDEX(ExchangeConfirms!$J$2:$J$460,MATCH($A25,ExchangeConfirms!$A$2:$A$460,0)),"")</f>
        <v/>
      </c>
      <c r="O25">
        <f>IFERROR(INDEX(InternalTrades!$I$2:$I$461,MATCH($A25,InternalTrades!$A$2:$A$461,0)),"")</f>
        <v/>
      </c>
      <c r="P25">
        <f>IFERROR(INDEX(ExchangeConfirms!$I$2:$I$460,MATCH($A25,ExchangeConfirms!$A$2:$A$460,0)),"")</f>
        <v/>
      </c>
      <c r="Q25">
        <f>IF(AND($E25=1,$F25=0),"MISSING IN EXCHANGE",IF(AND($E25=0,$F25=1),"MISSING IN INTERNAL",IF($G25&lt;&gt;$H25,"SIDE BREAK",IF($I25&lt;&gt;$J25,"QTY BREAK",IF(ABS($K25-$L25)&gt;0.005,"PRICE BREAK",IF(ABS($M25-$N25)&gt;0.01,"FEE BREAK","MATCHED"))))))</f>
        <v/>
      </c>
      <c r="R25">
        <f>IF($Q25="MATCHED",0,1)</f>
        <v/>
      </c>
      <c r="S25">
        <f>IF($Q25="MATCHED",0,IF($Q25="MISSING IN EXCHANGE",$O25,IF($Q25="MISSING IN INTERNAL",$P25,ABS(N($O25)-N($P25)))))</f>
        <v/>
      </c>
    </row>
    <row r="26">
      <c r="A26" t="inlineStr">
        <is>
          <t>T100025</t>
        </is>
      </c>
      <c r="B26">
        <f>IFERROR(INDEX(InternalTrades!$D$2:$D$461,MATCH($A26,InternalTrades!$A$2:$A$461,0)),INDEX(ExchangeConfirms!$D$2:$D$460,MATCH($A26,ExchangeConfirms!$A$2:$A$460,0)))</f>
        <v/>
      </c>
      <c r="C26">
        <f>IFERROR(INDEX(InternalTrades!$E$2:$E$461,MATCH($A26,InternalTrades!$A$2:$A$461,0)),INDEX(ExchangeConfirms!$E$2:$E$460,MATCH($A26,ExchangeConfirms!$A$2:$A$460,0)))</f>
        <v/>
      </c>
      <c r="D26">
        <f>IFERROR(INDEX(InternalTrades!$K$2:$K$461,MATCH($A26,InternalTrades!$A$2:$A$461,0)),INDEX(ExchangeConfirms!$K$2:$K$460,MATCH($A26,ExchangeConfirms!$A$2:$A$460,0)))</f>
        <v/>
      </c>
      <c r="E26">
        <f>IF(COUNTIF(InternalTrades!$A$2:$A$461,$A26)&gt;0,1,0)</f>
        <v/>
      </c>
      <c r="F26">
        <f>IF(COUNTIF(ExchangeConfirms!$A$2:$A$460,$A26)&gt;0,1,0)</f>
        <v/>
      </c>
      <c r="G26">
        <f>IFERROR(INDEX(InternalTrades!$F$2:$F$461,MATCH($A26,InternalTrades!$A$2:$A$461,0)),"")</f>
        <v/>
      </c>
      <c r="H26">
        <f>IFERROR(INDEX(ExchangeConfirms!$F$2:$F$460,MATCH($A26,ExchangeConfirms!$A$2:$A$460,0)),"")</f>
        <v/>
      </c>
      <c r="I26">
        <f>IFERROR(INDEX(InternalTrades!$G$2:$G$461,MATCH($A26,InternalTrades!$A$2:$A$461,0)),"")</f>
        <v/>
      </c>
      <c r="J26">
        <f>IFERROR(INDEX(ExchangeConfirms!$G$2:$G$460,MATCH($A26,ExchangeConfirms!$A$2:$A$460,0)),"")</f>
        <v/>
      </c>
      <c r="K26">
        <f>IFERROR(INDEX(InternalTrades!$H$2:$H$461,MATCH($A26,InternalTrades!$A$2:$A$461,0)),"")</f>
        <v/>
      </c>
      <c r="L26">
        <f>IFERROR(INDEX(ExchangeConfirms!$H$2:$H$460,MATCH($A26,ExchangeConfirms!$A$2:$A$460,0)),"")</f>
        <v/>
      </c>
      <c r="M26">
        <f>IFERROR(INDEX(InternalTrades!$J$2:$J$461,MATCH($A26,InternalTrades!$A$2:$A$461,0)),"")</f>
        <v/>
      </c>
      <c r="N26">
        <f>IFERROR(INDEX(ExchangeConfirms!$J$2:$J$460,MATCH($A26,ExchangeConfirms!$A$2:$A$460,0)),"")</f>
        <v/>
      </c>
      <c r="O26">
        <f>IFERROR(INDEX(InternalTrades!$I$2:$I$461,MATCH($A26,InternalTrades!$A$2:$A$461,0)),"")</f>
        <v/>
      </c>
      <c r="P26">
        <f>IFERROR(INDEX(ExchangeConfirms!$I$2:$I$460,MATCH($A26,ExchangeConfirms!$A$2:$A$460,0)),"")</f>
        <v/>
      </c>
      <c r="Q26">
        <f>IF(AND($E26=1,$F26=0),"MISSING IN EXCHANGE",IF(AND($E26=0,$F26=1),"MISSING IN INTERNAL",IF($G26&lt;&gt;$H26,"SIDE BREAK",IF($I26&lt;&gt;$J26,"QTY BREAK",IF(ABS($K26-$L26)&gt;0.005,"PRICE BREAK",IF(ABS($M26-$N26)&gt;0.01,"FEE BREAK","MATCHED"))))))</f>
        <v/>
      </c>
      <c r="R26">
        <f>IF($Q26="MATCHED",0,1)</f>
        <v/>
      </c>
      <c r="S26">
        <f>IF($Q26="MATCHED",0,IF($Q26="MISSING IN EXCHANGE",$O26,IF($Q26="MISSING IN INTERNAL",$P26,ABS(N($O26)-N($P26)))))</f>
        <v/>
      </c>
    </row>
    <row r="27">
      <c r="A27" t="inlineStr">
        <is>
          <t>T100026</t>
        </is>
      </c>
      <c r="B27">
        <f>IFERROR(INDEX(InternalTrades!$D$2:$D$461,MATCH($A27,InternalTrades!$A$2:$A$461,0)),INDEX(ExchangeConfirms!$D$2:$D$460,MATCH($A27,ExchangeConfirms!$A$2:$A$460,0)))</f>
        <v/>
      </c>
      <c r="C27">
        <f>IFERROR(INDEX(InternalTrades!$E$2:$E$461,MATCH($A27,InternalTrades!$A$2:$A$461,0)),INDEX(ExchangeConfirms!$E$2:$E$460,MATCH($A27,ExchangeConfirms!$A$2:$A$460,0)))</f>
        <v/>
      </c>
      <c r="D27">
        <f>IFERROR(INDEX(InternalTrades!$K$2:$K$461,MATCH($A27,InternalTrades!$A$2:$A$461,0)),INDEX(ExchangeConfirms!$K$2:$K$460,MATCH($A27,ExchangeConfirms!$A$2:$A$460,0)))</f>
        <v/>
      </c>
      <c r="E27">
        <f>IF(COUNTIF(InternalTrades!$A$2:$A$461,$A27)&gt;0,1,0)</f>
        <v/>
      </c>
      <c r="F27">
        <f>IF(COUNTIF(ExchangeConfirms!$A$2:$A$460,$A27)&gt;0,1,0)</f>
        <v/>
      </c>
      <c r="G27">
        <f>IFERROR(INDEX(InternalTrades!$F$2:$F$461,MATCH($A27,InternalTrades!$A$2:$A$461,0)),"")</f>
        <v/>
      </c>
      <c r="H27">
        <f>IFERROR(INDEX(ExchangeConfirms!$F$2:$F$460,MATCH($A27,ExchangeConfirms!$A$2:$A$460,0)),"")</f>
        <v/>
      </c>
      <c r="I27">
        <f>IFERROR(INDEX(InternalTrades!$G$2:$G$461,MATCH($A27,InternalTrades!$A$2:$A$461,0)),"")</f>
        <v/>
      </c>
      <c r="J27">
        <f>IFERROR(INDEX(ExchangeConfirms!$G$2:$G$460,MATCH($A27,ExchangeConfirms!$A$2:$A$460,0)),"")</f>
        <v/>
      </c>
      <c r="K27">
        <f>IFERROR(INDEX(InternalTrades!$H$2:$H$461,MATCH($A27,InternalTrades!$A$2:$A$461,0)),"")</f>
        <v/>
      </c>
      <c r="L27">
        <f>IFERROR(INDEX(ExchangeConfirms!$H$2:$H$460,MATCH($A27,ExchangeConfirms!$A$2:$A$460,0)),"")</f>
        <v/>
      </c>
      <c r="M27">
        <f>IFERROR(INDEX(InternalTrades!$J$2:$J$461,MATCH($A27,InternalTrades!$A$2:$A$461,0)),"")</f>
        <v/>
      </c>
      <c r="N27">
        <f>IFERROR(INDEX(ExchangeConfirms!$J$2:$J$460,MATCH($A27,ExchangeConfirms!$A$2:$A$460,0)),"")</f>
        <v/>
      </c>
      <c r="O27">
        <f>IFERROR(INDEX(InternalTrades!$I$2:$I$461,MATCH($A27,InternalTrades!$A$2:$A$461,0)),"")</f>
        <v/>
      </c>
      <c r="P27">
        <f>IFERROR(INDEX(ExchangeConfirms!$I$2:$I$460,MATCH($A27,ExchangeConfirms!$A$2:$A$460,0)),"")</f>
        <v/>
      </c>
      <c r="Q27">
        <f>IF(AND($E27=1,$F27=0),"MISSING IN EXCHANGE",IF(AND($E27=0,$F27=1),"MISSING IN INTERNAL",IF($G27&lt;&gt;$H27,"SIDE BREAK",IF($I27&lt;&gt;$J27,"QTY BREAK",IF(ABS($K27-$L27)&gt;0.005,"PRICE BREAK",IF(ABS($M27-$N27)&gt;0.01,"FEE BREAK","MATCHED"))))))</f>
        <v/>
      </c>
      <c r="R27">
        <f>IF($Q27="MATCHED",0,1)</f>
        <v/>
      </c>
      <c r="S27">
        <f>IF($Q27="MATCHED",0,IF($Q27="MISSING IN EXCHANGE",$O27,IF($Q27="MISSING IN INTERNAL",$P27,ABS(N($O27)-N($P27)))))</f>
        <v/>
      </c>
    </row>
    <row r="28">
      <c r="A28" t="inlineStr">
        <is>
          <t>T100027</t>
        </is>
      </c>
      <c r="B28">
        <f>IFERROR(INDEX(InternalTrades!$D$2:$D$461,MATCH($A28,InternalTrades!$A$2:$A$461,0)),INDEX(ExchangeConfirms!$D$2:$D$460,MATCH($A28,ExchangeConfirms!$A$2:$A$460,0)))</f>
        <v/>
      </c>
      <c r="C28">
        <f>IFERROR(INDEX(InternalTrades!$E$2:$E$461,MATCH($A28,InternalTrades!$A$2:$A$461,0)),INDEX(ExchangeConfirms!$E$2:$E$460,MATCH($A28,ExchangeConfirms!$A$2:$A$460,0)))</f>
        <v/>
      </c>
      <c r="D28">
        <f>IFERROR(INDEX(InternalTrades!$K$2:$K$461,MATCH($A28,InternalTrades!$A$2:$A$461,0)),INDEX(ExchangeConfirms!$K$2:$K$460,MATCH($A28,ExchangeConfirms!$A$2:$A$460,0)))</f>
        <v/>
      </c>
      <c r="E28">
        <f>IF(COUNTIF(InternalTrades!$A$2:$A$461,$A28)&gt;0,1,0)</f>
        <v/>
      </c>
      <c r="F28">
        <f>IF(COUNTIF(ExchangeConfirms!$A$2:$A$460,$A28)&gt;0,1,0)</f>
        <v/>
      </c>
      <c r="G28">
        <f>IFERROR(INDEX(InternalTrades!$F$2:$F$461,MATCH($A28,InternalTrades!$A$2:$A$461,0)),"")</f>
        <v/>
      </c>
      <c r="H28">
        <f>IFERROR(INDEX(ExchangeConfirms!$F$2:$F$460,MATCH($A28,ExchangeConfirms!$A$2:$A$460,0)),"")</f>
        <v/>
      </c>
      <c r="I28">
        <f>IFERROR(INDEX(InternalTrades!$G$2:$G$461,MATCH($A28,InternalTrades!$A$2:$A$461,0)),"")</f>
        <v/>
      </c>
      <c r="J28">
        <f>IFERROR(INDEX(ExchangeConfirms!$G$2:$G$460,MATCH($A28,ExchangeConfirms!$A$2:$A$460,0)),"")</f>
        <v/>
      </c>
      <c r="K28">
        <f>IFERROR(INDEX(InternalTrades!$H$2:$H$461,MATCH($A28,InternalTrades!$A$2:$A$461,0)),"")</f>
        <v/>
      </c>
      <c r="L28">
        <f>IFERROR(INDEX(ExchangeConfirms!$H$2:$H$460,MATCH($A28,ExchangeConfirms!$A$2:$A$460,0)),"")</f>
        <v/>
      </c>
      <c r="M28">
        <f>IFERROR(INDEX(InternalTrades!$J$2:$J$461,MATCH($A28,InternalTrades!$A$2:$A$461,0)),"")</f>
        <v/>
      </c>
      <c r="N28">
        <f>IFERROR(INDEX(ExchangeConfirms!$J$2:$J$460,MATCH($A28,ExchangeConfirms!$A$2:$A$460,0)),"")</f>
        <v/>
      </c>
      <c r="O28">
        <f>IFERROR(INDEX(InternalTrades!$I$2:$I$461,MATCH($A28,InternalTrades!$A$2:$A$461,0)),"")</f>
        <v/>
      </c>
      <c r="P28">
        <f>IFERROR(INDEX(ExchangeConfirms!$I$2:$I$460,MATCH($A28,ExchangeConfirms!$A$2:$A$460,0)),"")</f>
        <v/>
      </c>
      <c r="Q28">
        <f>IF(AND($E28=1,$F28=0),"MISSING IN EXCHANGE",IF(AND($E28=0,$F28=1),"MISSING IN INTERNAL",IF($G28&lt;&gt;$H28,"SIDE BREAK",IF($I28&lt;&gt;$J28,"QTY BREAK",IF(ABS($K28-$L28)&gt;0.005,"PRICE BREAK",IF(ABS($M28-$N28)&gt;0.01,"FEE BREAK","MATCHED"))))))</f>
        <v/>
      </c>
      <c r="R28">
        <f>IF($Q28="MATCHED",0,1)</f>
        <v/>
      </c>
      <c r="S28">
        <f>IF($Q28="MATCHED",0,IF($Q28="MISSING IN EXCHANGE",$O28,IF($Q28="MISSING IN INTERNAL",$P28,ABS(N($O28)-N($P28)))))</f>
        <v/>
      </c>
    </row>
    <row r="29">
      <c r="A29" t="inlineStr">
        <is>
          <t>T100028</t>
        </is>
      </c>
      <c r="B29">
        <f>IFERROR(INDEX(InternalTrades!$D$2:$D$461,MATCH($A29,InternalTrades!$A$2:$A$461,0)),INDEX(ExchangeConfirms!$D$2:$D$460,MATCH($A29,ExchangeConfirms!$A$2:$A$460,0)))</f>
        <v/>
      </c>
      <c r="C29">
        <f>IFERROR(INDEX(InternalTrades!$E$2:$E$461,MATCH($A29,InternalTrades!$A$2:$A$461,0)),INDEX(ExchangeConfirms!$E$2:$E$460,MATCH($A29,ExchangeConfirms!$A$2:$A$460,0)))</f>
        <v/>
      </c>
      <c r="D29">
        <f>IFERROR(INDEX(InternalTrades!$K$2:$K$461,MATCH($A29,InternalTrades!$A$2:$A$461,0)),INDEX(ExchangeConfirms!$K$2:$K$460,MATCH($A29,ExchangeConfirms!$A$2:$A$460,0)))</f>
        <v/>
      </c>
      <c r="E29">
        <f>IF(COUNTIF(InternalTrades!$A$2:$A$461,$A29)&gt;0,1,0)</f>
        <v/>
      </c>
      <c r="F29">
        <f>IF(COUNTIF(ExchangeConfirms!$A$2:$A$460,$A29)&gt;0,1,0)</f>
        <v/>
      </c>
      <c r="G29">
        <f>IFERROR(INDEX(InternalTrades!$F$2:$F$461,MATCH($A29,InternalTrades!$A$2:$A$461,0)),"")</f>
        <v/>
      </c>
      <c r="H29">
        <f>IFERROR(INDEX(ExchangeConfirms!$F$2:$F$460,MATCH($A29,ExchangeConfirms!$A$2:$A$460,0)),"")</f>
        <v/>
      </c>
      <c r="I29">
        <f>IFERROR(INDEX(InternalTrades!$G$2:$G$461,MATCH($A29,InternalTrades!$A$2:$A$461,0)),"")</f>
        <v/>
      </c>
      <c r="J29">
        <f>IFERROR(INDEX(ExchangeConfirms!$G$2:$G$460,MATCH($A29,ExchangeConfirms!$A$2:$A$460,0)),"")</f>
        <v/>
      </c>
      <c r="K29">
        <f>IFERROR(INDEX(InternalTrades!$H$2:$H$461,MATCH($A29,InternalTrades!$A$2:$A$461,0)),"")</f>
        <v/>
      </c>
      <c r="L29">
        <f>IFERROR(INDEX(ExchangeConfirms!$H$2:$H$460,MATCH($A29,ExchangeConfirms!$A$2:$A$460,0)),"")</f>
        <v/>
      </c>
      <c r="M29">
        <f>IFERROR(INDEX(InternalTrades!$J$2:$J$461,MATCH($A29,InternalTrades!$A$2:$A$461,0)),"")</f>
        <v/>
      </c>
      <c r="N29">
        <f>IFERROR(INDEX(ExchangeConfirms!$J$2:$J$460,MATCH($A29,ExchangeConfirms!$A$2:$A$460,0)),"")</f>
        <v/>
      </c>
      <c r="O29">
        <f>IFERROR(INDEX(InternalTrades!$I$2:$I$461,MATCH($A29,InternalTrades!$A$2:$A$461,0)),"")</f>
        <v/>
      </c>
      <c r="P29">
        <f>IFERROR(INDEX(ExchangeConfirms!$I$2:$I$460,MATCH($A29,ExchangeConfirms!$A$2:$A$460,0)),"")</f>
        <v/>
      </c>
      <c r="Q29">
        <f>IF(AND($E29=1,$F29=0),"MISSING IN EXCHANGE",IF(AND($E29=0,$F29=1),"MISSING IN INTERNAL",IF($G29&lt;&gt;$H29,"SIDE BREAK",IF($I29&lt;&gt;$J29,"QTY BREAK",IF(ABS($K29-$L29)&gt;0.005,"PRICE BREAK",IF(ABS($M29-$N29)&gt;0.01,"FEE BREAK","MATCHED"))))))</f>
        <v/>
      </c>
      <c r="R29">
        <f>IF($Q29="MATCHED",0,1)</f>
        <v/>
      </c>
      <c r="S29">
        <f>IF($Q29="MATCHED",0,IF($Q29="MISSING IN EXCHANGE",$O29,IF($Q29="MISSING IN INTERNAL",$P29,ABS(N($O29)-N($P29)))))</f>
        <v/>
      </c>
    </row>
    <row r="30">
      <c r="A30" t="inlineStr">
        <is>
          <t>T100029</t>
        </is>
      </c>
      <c r="B30">
        <f>IFERROR(INDEX(InternalTrades!$D$2:$D$461,MATCH($A30,InternalTrades!$A$2:$A$461,0)),INDEX(ExchangeConfirms!$D$2:$D$460,MATCH($A30,ExchangeConfirms!$A$2:$A$460,0)))</f>
        <v/>
      </c>
      <c r="C30">
        <f>IFERROR(INDEX(InternalTrades!$E$2:$E$461,MATCH($A30,InternalTrades!$A$2:$A$461,0)),INDEX(ExchangeConfirms!$E$2:$E$460,MATCH($A30,ExchangeConfirms!$A$2:$A$460,0)))</f>
        <v/>
      </c>
      <c r="D30">
        <f>IFERROR(INDEX(InternalTrades!$K$2:$K$461,MATCH($A30,InternalTrades!$A$2:$A$461,0)),INDEX(ExchangeConfirms!$K$2:$K$460,MATCH($A30,ExchangeConfirms!$A$2:$A$460,0)))</f>
        <v/>
      </c>
      <c r="E30">
        <f>IF(COUNTIF(InternalTrades!$A$2:$A$461,$A30)&gt;0,1,0)</f>
        <v/>
      </c>
      <c r="F30">
        <f>IF(COUNTIF(ExchangeConfirms!$A$2:$A$460,$A30)&gt;0,1,0)</f>
        <v/>
      </c>
      <c r="G30">
        <f>IFERROR(INDEX(InternalTrades!$F$2:$F$461,MATCH($A30,InternalTrades!$A$2:$A$461,0)),"")</f>
        <v/>
      </c>
      <c r="H30">
        <f>IFERROR(INDEX(ExchangeConfirms!$F$2:$F$460,MATCH($A30,ExchangeConfirms!$A$2:$A$460,0)),"")</f>
        <v/>
      </c>
      <c r="I30">
        <f>IFERROR(INDEX(InternalTrades!$G$2:$G$461,MATCH($A30,InternalTrades!$A$2:$A$461,0)),"")</f>
        <v/>
      </c>
      <c r="J30">
        <f>IFERROR(INDEX(ExchangeConfirms!$G$2:$G$460,MATCH($A30,ExchangeConfirms!$A$2:$A$460,0)),"")</f>
        <v/>
      </c>
      <c r="K30">
        <f>IFERROR(INDEX(InternalTrades!$H$2:$H$461,MATCH($A30,InternalTrades!$A$2:$A$461,0)),"")</f>
        <v/>
      </c>
      <c r="L30">
        <f>IFERROR(INDEX(ExchangeConfirms!$H$2:$H$460,MATCH($A30,ExchangeConfirms!$A$2:$A$460,0)),"")</f>
        <v/>
      </c>
      <c r="M30">
        <f>IFERROR(INDEX(InternalTrades!$J$2:$J$461,MATCH($A30,InternalTrades!$A$2:$A$461,0)),"")</f>
        <v/>
      </c>
      <c r="N30">
        <f>IFERROR(INDEX(ExchangeConfirms!$J$2:$J$460,MATCH($A30,ExchangeConfirms!$A$2:$A$460,0)),"")</f>
        <v/>
      </c>
      <c r="O30">
        <f>IFERROR(INDEX(InternalTrades!$I$2:$I$461,MATCH($A30,InternalTrades!$A$2:$A$461,0)),"")</f>
        <v/>
      </c>
      <c r="P30">
        <f>IFERROR(INDEX(ExchangeConfirms!$I$2:$I$460,MATCH($A30,ExchangeConfirms!$A$2:$A$460,0)),"")</f>
        <v/>
      </c>
      <c r="Q30">
        <f>IF(AND($E30=1,$F30=0),"MISSING IN EXCHANGE",IF(AND($E30=0,$F30=1),"MISSING IN INTERNAL",IF($G30&lt;&gt;$H30,"SIDE BREAK",IF($I30&lt;&gt;$J30,"QTY BREAK",IF(ABS($K30-$L30)&gt;0.005,"PRICE BREAK",IF(ABS($M30-$N30)&gt;0.01,"FEE BREAK","MATCHED"))))))</f>
        <v/>
      </c>
      <c r="R30">
        <f>IF($Q30="MATCHED",0,1)</f>
        <v/>
      </c>
      <c r="S30">
        <f>IF($Q30="MATCHED",0,IF($Q30="MISSING IN EXCHANGE",$O30,IF($Q30="MISSING IN INTERNAL",$P30,ABS(N($O30)-N($P30)))))</f>
        <v/>
      </c>
    </row>
    <row r="31">
      <c r="A31" t="inlineStr">
        <is>
          <t>T100030</t>
        </is>
      </c>
      <c r="B31">
        <f>IFERROR(INDEX(InternalTrades!$D$2:$D$461,MATCH($A31,InternalTrades!$A$2:$A$461,0)),INDEX(ExchangeConfirms!$D$2:$D$460,MATCH($A31,ExchangeConfirms!$A$2:$A$460,0)))</f>
        <v/>
      </c>
      <c r="C31">
        <f>IFERROR(INDEX(InternalTrades!$E$2:$E$461,MATCH($A31,InternalTrades!$A$2:$A$461,0)),INDEX(ExchangeConfirms!$E$2:$E$460,MATCH($A31,ExchangeConfirms!$A$2:$A$460,0)))</f>
        <v/>
      </c>
      <c r="D31">
        <f>IFERROR(INDEX(InternalTrades!$K$2:$K$461,MATCH($A31,InternalTrades!$A$2:$A$461,0)),INDEX(ExchangeConfirms!$K$2:$K$460,MATCH($A31,ExchangeConfirms!$A$2:$A$460,0)))</f>
        <v/>
      </c>
      <c r="E31">
        <f>IF(COUNTIF(InternalTrades!$A$2:$A$461,$A31)&gt;0,1,0)</f>
        <v/>
      </c>
      <c r="F31">
        <f>IF(COUNTIF(ExchangeConfirms!$A$2:$A$460,$A31)&gt;0,1,0)</f>
        <v/>
      </c>
      <c r="G31">
        <f>IFERROR(INDEX(InternalTrades!$F$2:$F$461,MATCH($A31,InternalTrades!$A$2:$A$461,0)),"")</f>
        <v/>
      </c>
      <c r="H31">
        <f>IFERROR(INDEX(ExchangeConfirms!$F$2:$F$460,MATCH($A31,ExchangeConfirms!$A$2:$A$460,0)),"")</f>
        <v/>
      </c>
      <c r="I31">
        <f>IFERROR(INDEX(InternalTrades!$G$2:$G$461,MATCH($A31,InternalTrades!$A$2:$A$461,0)),"")</f>
        <v/>
      </c>
      <c r="J31">
        <f>IFERROR(INDEX(ExchangeConfirms!$G$2:$G$460,MATCH($A31,ExchangeConfirms!$A$2:$A$460,0)),"")</f>
        <v/>
      </c>
      <c r="K31">
        <f>IFERROR(INDEX(InternalTrades!$H$2:$H$461,MATCH($A31,InternalTrades!$A$2:$A$461,0)),"")</f>
        <v/>
      </c>
      <c r="L31">
        <f>IFERROR(INDEX(ExchangeConfirms!$H$2:$H$460,MATCH($A31,ExchangeConfirms!$A$2:$A$460,0)),"")</f>
        <v/>
      </c>
      <c r="M31">
        <f>IFERROR(INDEX(InternalTrades!$J$2:$J$461,MATCH($A31,InternalTrades!$A$2:$A$461,0)),"")</f>
        <v/>
      </c>
      <c r="N31">
        <f>IFERROR(INDEX(ExchangeConfirms!$J$2:$J$460,MATCH($A31,ExchangeConfirms!$A$2:$A$460,0)),"")</f>
        <v/>
      </c>
      <c r="O31">
        <f>IFERROR(INDEX(InternalTrades!$I$2:$I$461,MATCH($A31,InternalTrades!$A$2:$A$461,0)),"")</f>
        <v/>
      </c>
      <c r="P31">
        <f>IFERROR(INDEX(ExchangeConfirms!$I$2:$I$460,MATCH($A31,ExchangeConfirms!$A$2:$A$460,0)),"")</f>
        <v/>
      </c>
      <c r="Q31">
        <f>IF(AND($E31=1,$F31=0),"MISSING IN EXCHANGE",IF(AND($E31=0,$F31=1),"MISSING IN INTERNAL",IF($G31&lt;&gt;$H31,"SIDE BREAK",IF($I31&lt;&gt;$J31,"QTY BREAK",IF(ABS($K31-$L31)&gt;0.005,"PRICE BREAK",IF(ABS($M31-$N31)&gt;0.01,"FEE BREAK","MATCHED"))))))</f>
        <v/>
      </c>
      <c r="R31">
        <f>IF($Q31="MATCHED",0,1)</f>
        <v/>
      </c>
      <c r="S31">
        <f>IF($Q31="MATCHED",0,IF($Q31="MISSING IN EXCHANGE",$O31,IF($Q31="MISSING IN INTERNAL",$P31,ABS(N($O31)-N($P31)))))</f>
        <v/>
      </c>
    </row>
    <row r="32">
      <c r="A32" t="inlineStr">
        <is>
          <t>T100031</t>
        </is>
      </c>
      <c r="B32">
        <f>IFERROR(INDEX(InternalTrades!$D$2:$D$461,MATCH($A32,InternalTrades!$A$2:$A$461,0)),INDEX(ExchangeConfirms!$D$2:$D$460,MATCH($A32,ExchangeConfirms!$A$2:$A$460,0)))</f>
        <v/>
      </c>
      <c r="C32">
        <f>IFERROR(INDEX(InternalTrades!$E$2:$E$461,MATCH($A32,InternalTrades!$A$2:$A$461,0)),INDEX(ExchangeConfirms!$E$2:$E$460,MATCH($A32,ExchangeConfirms!$A$2:$A$460,0)))</f>
        <v/>
      </c>
      <c r="D32">
        <f>IFERROR(INDEX(InternalTrades!$K$2:$K$461,MATCH($A32,InternalTrades!$A$2:$A$461,0)),INDEX(ExchangeConfirms!$K$2:$K$460,MATCH($A32,ExchangeConfirms!$A$2:$A$460,0)))</f>
        <v/>
      </c>
      <c r="E32">
        <f>IF(COUNTIF(InternalTrades!$A$2:$A$461,$A32)&gt;0,1,0)</f>
        <v/>
      </c>
      <c r="F32">
        <f>IF(COUNTIF(ExchangeConfirms!$A$2:$A$460,$A32)&gt;0,1,0)</f>
        <v/>
      </c>
      <c r="G32">
        <f>IFERROR(INDEX(InternalTrades!$F$2:$F$461,MATCH($A32,InternalTrades!$A$2:$A$461,0)),"")</f>
        <v/>
      </c>
      <c r="H32">
        <f>IFERROR(INDEX(ExchangeConfirms!$F$2:$F$460,MATCH($A32,ExchangeConfirms!$A$2:$A$460,0)),"")</f>
        <v/>
      </c>
      <c r="I32">
        <f>IFERROR(INDEX(InternalTrades!$G$2:$G$461,MATCH($A32,InternalTrades!$A$2:$A$461,0)),"")</f>
        <v/>
      </c>
      <c r="J32">
        <f>IFERROR(INDEX(ExchangeConfirms!$G$2:$G$460,MATCH($A32,ExchangeConfirms!$A$2:$A$460,0)),"")</f>
        <v/>
      </c>
      <c r="K32">
        <f>IFERROR(INDEX(InternalTrades!$H$2:$H$461,MATCH($A32,InternalTrades!$A$2:$A$461,0)),"")</f>
        <v/>
      </c>
      <c r="L32">
        <f>IFERROR(INDEX(ExchangeConfirms!$H$2:$H$460,MATCH($A32,ExchangeConfirms!$A$2:$A$460,0)),"")</f>
        <v/>
      </c>
      <c r="M32">
        <f>IFERROR(INDEX(InternalTrades!$J$2:$J$461,MATCH($A32,InternalTrades!$A$2:$A$461,0)),"")</f>
        <v/>
      </c>
      <c r="N32">
        <f>IFERROR(INDEX(ExchangeConfirms!$J$2:$J$460,MATCH($A32,ExchangeConfirms!$A$2:$A$460,0)),"")</f>
        <v/>
      </c>
      <c r="O32">
        <f>IFERROR(INDEX(InternalTrades!$I$2:$I$461,MATCH($A32,InternalTrades!$A$2:$A$461,0)),"")</f>
        <v/>
      </c>
      <c r="P32">
        <f>IFERROR(INDEX(ExchangeConfirms!$I$2:$I$460,MATCH($A32,ExchangeConfirms!$A$2:$A$460,0)),"")</f>
        <v/>
      </c>
      <c r="Q32">
        <f>IF(AND($E32=1,$F32=0),"MISSING IN EXCHANGE",IF(AND($E32=0,$F32=1),"MISSING IN INTERNAL",IF($G32&lt;&gt;$H32,"SIDE BREAK",IF($I32&lt;&gt;$J32,"QTY BREAK",IF(ABS($K32-$L32)&gt;0.005,"PRICE BREAK",IF(ABS($M32-$N32)&gt;0.01,"FEE BREAK","MATCHED"))))))</f>
        <v/>
      </c>
      <c r="R32">
        <f>IF($Q32="MATCHED",0,1)</f>
        <v/>
      </c>
      <c r="S32">
        <f>IF($Q32="MATCHED",0,IF($Q32="MISSING IN EXCHANGE",$O32,IF($Q32="MISSING IN INTERNAL",$P32,ABS(N($O32)-N($P32)))))</f>
        <v/>
      </c>
    </row>
    <row r="33">
      <c r="A33" t="inlineStr">
        <is>
          <t>T100032</t>
        </is>
      </c>
      <c r="B33">
        <f>IFERROR(INDEX(InternalTrades!$D$2:$D$461,MATCH($A33,InternalTrades!$A$2:$A$461,0)),INDEX(ExchangeConfirms!$D$2:$D$460,MATCH($A33,ExchangeConfirms!$A$2:$A$460,0)))</f>
        <v/>
      </c>
      <c r="C33">
        <f>IFERROR(INDEX(InternalTrades!$E$2:$E$461,MATCH($A33,InternalTrades!$A$2:$A$461,0)),INDEX(ExchangeConfirms!$E$2:$E$460,MATCH($A33,ExchangeConfirms!$A$2:$A$460,0)))</f>
        <v/>
      </c>
      <c r="D33">
        <f>IFERROR(INDEX(InternalTrades!$K$2:$K$461,MATCH($A33,InternalTrades!$A$2:$A$461,0)),INDEX(ExchangeConfirms!$K$2:$K$460,MATCH($A33,ExchangeConfirms!$A$2:$A$460,0)))</f>
        <v/>
      </c>
      <c r="E33">
        <f>IF(COUNTIF(InternalTrades!$A$2:$A$461,$A33)&gt;0,1,0)</f>
        <v/>
      </c>
      <c r="F33">
        <f>IF(COUNTIF(ExchangeConfirms!$A$2:$A$460,$A33)&gt;0,1,0)</f>
        <v/>
      </c>
      <c r="G33">
        <f>IFERROR(INDEX(InternalTrades!$F$2:$F$461,MATCH($A33,InternalTrades!$A$2:$A$461,0)),"")</f>
        <v/>
      </c>
      <c r="H33">
        <f>IFERROR(INDEX(ExchangeConfirms!$F$2:$F$460,MATCH($A33,ExchangeConfirms!$A$2:$A$460,0)),"")</f>
        <v/>
      </c>
      <c r="I33">
        <f>IFERROR(INDEX(InternalTrades!$G$2:$G$461,MATCH($A33,InternalTrades!$A$2:$A$461,0)),"")</f>
        <v/>
      </c>
      <c r="J33">
        <f>IFERROR(INDEX(ExchangeConfirms!$G$2:$G$460,MATCH($A33,ExchangeConfirms!$A$2:$A$460,0)),"")</f>
        <v/>
      </c>
      <c r="K33">
        <f>IFERROR(INDEX(InternalTrades!$H$2:$H$461,MATCH($A33,InternalTrades!$A$2:$A$461,0)),"")</f>
        <v/>
      </c>
      <c r="L33">
        <f>IFERROR(INDEX(ExchangeConfirms!$H$2:$H$460,MATCH($A33,ExchangeConfirms!$A$2:$A$460,0)),"")</f>
        <v/>
      </c>
      <c r="M33">
        <f>IFERROR(INDEX(InternalTrades!$J$2:$J$461,MATCH($A33,InternalTrades!$A$2:$A$461,0)),"")</f>
        <v/>
      </c>
      <c r="N33">
        <f>IFERROR(INDEX(ExchangeConfirms!$J$2:$J$460,MATCH($A33,ExchangeConfirms!$A$2:$A$460,0)),"")</f>
        <v/>
      </c>
      <c r="O33">
        <f>IFERROR(INDEX(InternalTrades!$I$2:$I$461,MATCH($A33,InternalTrades!$A$2:$A$461,0)),"")</f>
        <v/>
      </c>
      <c r="P33">
        <f>IFERROR(INDEX(ExchangeConfirms!$I$2:$I$460,MATCH($A33,ExchangeConfirms!$A$2:$A$460,0)),"")</f>
        <v/>
      </c>
      <c r="Q33">
        <f>IF(AND($E33=1,$F33=0),"MISSING IN EXCHANGE",IF(AND($E33=0,$F33=1),"MISSING IN INTERNAL",IF($G33&lt;&gt;$H33,"SIDE BREAK",IF($I33&lt;&gt;$J33,"QTY BREAK",IF(ABS($K33-$L33)&gt;0.005,"PRICE BREAK",IF(ABS($M33-$N33)&gt;0.01,"FEE BREAK","MATCHED"))))))</f>
        <v/>
      </c>
      <c r="R33">
        <f>IF($Q33="MATCHED",0,1)</f>
        <v/>
      </c>
      <c r="S33">
        <f>IF($Q33="MATCHED",0,IF($Q33="MISSING IN EXCHANGE",$O33,IF($Q33="MISSING IN INTERNAL",$P33,ABS(N($O33)-N($P33)))))</f>
        <v/>
      </c>
    </row>
    <row r="34">
      <c r="A34" t="inlineStr">
        <is>
          <t>T100033</t>
        </is>
      </c>
      <c r="B34">
        <f>IFERROR(INDEX(InternalTrades!$D$2:$D$461,MATCH($A34,InternalTrades!$A$2:$A$461,0)),INDEX(ExchangeConfirms!$D$2:$D$460,MATCH($A34,ExchangeConfirms!$A$2:$A$460,0)))</f>
        <v/>
      </c>
      <c r="C34">
        <f>IFERROR(INDEX(InternalTrades!$E$2:$E$461,MATCH($A34,InternalTrades!$A$2:$A$461,0)),INDEX(ExchangeConfirms!$E$2:$E$460,MATCH($A34,ExchangeConfirms!$A$2:$A$460,0)))</f>
        <v/>
      </c>
      <c r="D34">
        <f>IFERROR(INDEX(InternalTrades!$K$2:$K$461,MATCH($A34,InternalTrades!$A$2:$A$461,0)),INDEX(ExchangeConfirms!$K$2:$K$460,MATCH($A34,ExchangeConfirms!$A$2:$A$460,0)))</f>
        <v/>
      </c>
      <c r="E34">
        <f>IF(COUNTIF(InternalTrades!$A$2:$A$461,$A34)&gt;0,1,0)</f>
        <v/>
      </c>
      <c r="F34">
        <f>IF(COUNTIF(ExchangeConfirms!$A$2:$A$460,$A34)&gt;0,1,0)</f>
        <v/>
      </c>
      <c r="G34">
        <f>IFERROR(INDEX(InternalTrades!$F$2:$F$461,MATCH($A34,InternalTrades!$A$2:$A$461,0)),"")</f>
        <v/>
      </c>
      <c r="H34">
        <f>IFERROR(INDEX(ExchangeConfirms!$F$2:$F$460,MATCH($A34,ExchangeConfirms!$A$2:$A$460,0)),"")</f>
        <v/>
      </c>
      <c r="I34">
        <f>IFERROR(INDEX(InternalTrades!$G$2:$G$461,MATCH($A34,InternalTrades!$A$2:$A$461,0)),"")</f>
        <v/>
      </c>
      <c r="J34">
        <f>IFERROR(INDEX(ExchangeConfirms!$G$2:$G$460,MATCH($A34,ExchangeConfirms!$A$2:$A$460,0)),"")</f>
        <v/>
      </c>
      <c r="K34">
        <f>IFERROR(INDEX(InternalTrades!$H$2:$H$461,MATCH($A34,InternalTrades!$A$2:$A$461,0)),"")</f>
        <v/>
      </c>
      <c r="L34">
        <f>IFERROR(INDEX(ExchangeConfirms!$H$2:$H$460,MATCH($A34,ExchangeConfirms!$A$2:$A$460,0)),"")</f>
        <v/>
      </c>
      <c r="M34">
        <f>IFERROR(INDEX(InternalTrades!$J$2:$J$461,MATCH($A34,InternalTrades!$A$2:$A$461,0)),"")</f>
        <v/>
      </c>
      <c r="N34">
        <f>IFERROR(INDEX(ExchangeConfirms!$J$2:$J$460,MATCH($A34,ExchangeConfirms!$A$2:$A$460,0)),"")</f>
        <v/>
      </c>
      <c r="O34">
        <f>IFERROR(INDEX(InternalTrades!$I$2:$I$461,MATCH($A34,InternalTrades!$A$2:$A$461,0)),"")</f>
        <v/>
      </c>
      <c r="P34">
        <f>IFERROR(INDEX(ExchangeConfirms!$I$2:$I$460,MATCH($A34,ExchangeConfirms!$A$2:$A$460,0)),"")</f>
        <v/>
      </c>
      <c r="Q34">
        <f>IF(AND($E34=1,$F34=0),"MISSING IN EXCHANGE",IF(AND($E34=0,$F34=1),"MISSING IN INTERNAL",IF($G34&lt;&gt;$H34,"SIDE BREAK",IF($I34&lt;&gt;$J34,"QTY BREAK",IF(ABS($K34-$L34)&gt;0.005,"PRICE BREAK",IF(ABS($M34-$N34)&gt;0.01,"FEE BREAK","MATCHED"))))))</f>
        <v/>
      </c>
      <c r="R34">
        <f>IF($Q34="MATCHED",0,1)</f>
        <v/>
      </c>
      <c r="S34">
        <f>IF($Q34="MATCHED",0,IF($Q34="MISSING IN EXCHANGE",$O34,IF($Q34="MISSING IN INTERNAL",$P34,ABS(N($O34)-N($P34)))))</f>
        <v/>
      </c>
    </row>
    <row r="35">
      <c r="A35" t="inlineStr">
        <is>
          <t>T100034</t>
        </is>
      </c>
      <c r="B35">
        <f>IFERROR(INDEX(InternalTrades!$D$2:$D$461,MATCH($A35,InternalTrades!$A$2:$A$461,0)),INDEX(ExchangeConfirms!$D$2:$D$460,MATCH($A35,ExchangeConfirms!$A$2:$A$460,0)))</f>
        <v/>
      </c>
      <c r="C35">
        <f>IFERROR(INDEX(InternalTrades!$E$2:$E$461,MATCH($A35,InternalTrades!$A$2:$A$461,0)),INDEX(ExchangeConfirms!$E$2:$E$460,MATCH($A35,ExchangeConfirms!$A$2:$A$460,0)))</f>
        <v/>
      </c>
      <c r="D35">
        <f>IFERROR(INDEX(InternalTrades!$K$2:$K$461,MATCH($A35,InternalTrades!$A$2:$A$461,0)),INDEX(ExchangeConfirms!$K$2:$K$460,MATCH($A35,ExchangeConfirms!$A$2:$A$460,0)))</f>
        <v/>
      </c>
      <c r="E35">
        <f>IF(COUNTIF(InternalTrades!$A$2:$A$461,$A35)&gt;0,1,0)</f>
        <v/>
      </c>
      <c r="F35">
        <f>IF(COUNTIF(ExchangeConfirms!$A$2:$A$460,$A35)&gt;0,1,0)</f>
        <v/>
      </c>
      <c r="G35">
        <f>IFERROR(INDEX(InternalTrades!$F$2:$F$461,MATCH($A35,InternalTrades!$A$2:$A$461,0)),"")</f>
        <v/>
      </c>
      <c r="H35">
        <f>IFERROR(INDEX(ExchangeConfirms!$F$2:$F$460,MATCH($A35,ExchangeConfirms!$A$2:$A$460,0)),"")</f>
        <v/>
      </c>
      <c r="I35">
        <f>IFERROR(INDEX(InternalTrades!$G$2:$G$461,MATCH($A35,InternalTrades!$A$2:$A$461,0)),"")</f>
        <v/>
      </c>
      <c r="J35">
        <f>IFERROR(INDEX(ExchangeConfirms!$G$2:$G$460,MATCH($A35,ExchangeConfirms!$A$2:$A$460,0)),"")</f>
        <v/>
      </c>
      <c r="K35">
        <f>IFERROR(INDEX(InternalTrades!$H$2:$H$461,MATCH($A35,InternalTrades!$A$2:$A$461,0)),"")</f>
        <v/>
      </c>
      <c r="L35">
        <f>IFERROR(INDEX(ExchangeConfirms!$H$2:$H$460,MATCH($A35,ExchangeConfirms!$A$2:$A$460,0)),"")</f>
        <v/>
      </c>
      <c r="M35">
        <f>IFERROR(INDEX(InternalTrades!$J$2:$J$461,MATCH($A35,InternalTrades!$A$2:$A$461,0)),"")</f>
        <v/>
      </c>
      <c r="N35">
        <f>IFERROR(INDEX(ExchangeConfirms!$J$2:$J$460,MATCH($A35,ExchangeConfirms!$A$2:$A$460,0)),"")</f>
        <v/>
      </c>
      <c r="O35">
        <f>IFERROR(INDEX(InternalTrades!$I$2:$I$461,MATCH($A35,InternalTrades!$A$2:$A$461,0)),"")</f>
        <v/>
      </c>
      <c r="P35">
        <f>IFERROR(INDEX(ExchangeConfirms!$I$2:$I$460,MATCH($A35,ExchangeConfirms!$A$2:$A$460,0)),"")</f>
        <v/>
      </c>
      <c r="Q35">
        <f>IF(AND($E35=1,$F35=0),"MISSING IN EXCHANGE",IF(AND($E35=0,$F35=1),"MISSING IN INTERNAL",IF($G35&lt;&gt;$H35,"SIDE BREAK",IF($I35&lt;&gt;$J35,"QTY BREAK",IF(ABS($K35-$L35)&gt;0.005,"PRICE BREAK",IF(ABS($M35-$N35)&gt;0.01,"FEE BREAK","MATCHED"))))))</f>
        <v/>
      </c>
      <c r="R35">
        <f>IF($Q35="MATCHED",0,1)</f>
        <v/>
      </c>
      <c r="S35">
        <f>IF($Q35="MATCHED",0,IF($Q35="MISSING IN EXCHANGE",$O35,IF($Q35="MISSING IN INTERNAL",$P35,ABS(N($O35)-N($P35)))))</f>
        <v/>
      </c>
    </row>
    <row r="36">
      <c r="A36" t="inlineStr">
        <is>
          <t>T100035</t>
        </is>
      </c>
      <c r="B36">
        <f>IFERROR(INDEX(InternalTrades!$D$2:$D$461,MATCH($A36,InternalTrades!$A$2:$A$461,0)),INDEX(ExchangeConfirms!$D$2:$D$460,MATCH($A36,ExchangeConfirms!$A$2:$A$460,0)))</f>
        <v/>
      </c>
      <c r="C36">
        <f>IFERROR(INDEX(InternalTrades!$E$2:$E$461,MATCH($A36,InternalTrades!$A$2:$A$461,0)),INDEX(ExchangeConfirms!$E$2:$E$460,MATCH($A36,ExchangeConfirms!$A$2:$A$460,0)))</f>
        <v/>
      </c>
      <c r="D36">
        <f>IFERROR(INDEX(InternalTrades!$K$2:$K$461,MATCH($A36,InternalTrades!$A$2:$A$461,0)),INDEX(ExchangeConfirms!$K$2:$K$460,MATCH($A36,ExchangeConfirms!$A$2:$A$460,0)))</f>
        <v/>
      </c>
      <c r="E36">
        <f>IF(COUNTIF(InternalTrades!$A$2:$A$461,$A36)&gt;0,1,0)</f>
        <v/>
      </c>
      <c r="F36">
        <f>IF(COUNTIF(ExchangeConfirms!$A$2:$A$460,$A36)&gt;0,1,0)</f>
        <v/>
      </c>
      <c r="G36">
        <f>IFERROR(INDEX(InternalTrades!$F$2:$F$461,MATCH($A36,InternalTrades!$A$2:$A$461,0)),"")</f>
        <v/>
      </c>
      <c r="H36">
        <f>IFERROR(INDEX(ExchangeConfirms!$F$2:$F$460,MATCH($A36,ExchangeConfirms!$A$2:$A$460,0)),"")</f>
        <v/>
      </c>
      <c r="I36">
        <f>IFERROR(INDEX(InternalTrades!$G$2:$G$461,MATCH($A36,InternalTrades!$A$2:$A$461,0)),"")</f>
        <v/>
      </c>
      <c r="J36">
        <f>IFERROR(INDEX(ExchangeConfirms!$G$2:$G$460,MATCH($A36,ExchangeConfirms!$A$2:$A$460,0)),"")</f>
        <v/>
      </c>
      <c r="K36">
        <f>IFERROR(INDEX(InternalTrades!$H$2:$H$461,MATCH($A36,InternalTrades!$A$2:$A$461,0)),"")</f>
        <v/>
      </c>
      <c r="L36">
        <f>IFERROR(INDEX(ExchangeConfirms!$H$2:$H$460,MATCH($A36,ExchangeConfirms!$A$2:$A$460,0)),"")</f>
        <v/>
      </c>
      <c r="M36">
        <f>IFERROR(INDEX(InternalTrades!$J$2:$J$461,MATCH($A36,InternalTrades!$A$2:$A$461,0)),"")</f>
        <v/>
      </c>
      <c r="N36">
        <f>IFERROR(INDEX(ExchangeConfirms!$J$2:$J$460,MATCH($A36,ExchangeConfirms!$A$2:$A$460,0)),"")</f>
        <v/>
      </c>
      <c r="O36">
        <f>IFERROR(INDEX(InternalTrades!$I$2:$I$461,MATCH($A36,InternalTrades!$A$2:$A$461,0)),"")</f>
        <v/>
      </c>
      <c r="P36">
        <f>IFERROR(INDEX(ExchangeConfirms!$I$2:$I$460,MATCH($A36,ExchangeConfirms!$A$2:$A$460,0)),"")</f>
        <v/>
      </c>
      <c r="Q36">
        <f>IF(AND($E36=1,$F36=0),"MISSING IN EXCHANGE",IF(AND($E36=0,$F36=1),"MISSING IN INTERNAL",IF($G36&lt;&gt;$H36,"SIDE BREAK",IF($I36&lt;&gt;$J36,"QTY BREAK",IF(ABS($K36-$L36)&gt;0.005,"PRICE BREAK",IF(ABS($M36-$N36)&gt;0.01,"FEE BREAK","MATCHED"))))))</f>
        <v/>
      </c>
      <c r="R36">
        <f>IF($Q36="MATCHED",0,1)</f>
        <v/>
      </c>
      <c r="S36">
        <f>IF($Q36="MATCHED",0,IF($Q36="MISSING IN EXCHANGE",$O36,IF($Q36="MISSING IN INTERNAL",$P36,ABS(N($O36)-N($P36)))))</f>
        <v/>
      </c>
    </row>
    <row r="37">
      <c r="A37" t="inlineStr">
        <is>
          <t>T100036</t>
        </is>
      </c>
      <c r="B37">
        <f>IFERROR(INDEX(InternalTrades!$D$2:$D$461,MATCH($A37,InternalTrades!$A$2:$A$461,0)),INDEX(ExchangeConfirms!$D$2:$D$460,MATCH($A37,ExchangeConfirms!$A$2:$A$460,0)))</f>
        <v/>
      </c>
      <c r="C37">
        <f>IFERROR(INDEX(InternalTrades!$E$2:$E$461,MATCH($A37,InternalTrades!$A$2:$A$461,0)),INDEX(ExchangeConfirms!$E$2:$E$460,MATCH($A37,ExchangeConfirms!$A$2:$A$460,0)))</f>
        <v/>
      </c>
      <c r="D37">
        <f>IFERROR(INDEX(InternalTrades!$K$2:$K$461,MATCH($A37,InternalTrades!$A$2:$A$461,0)),INDEX(ExchangeConfirms!$K$2:$K$460,MATCH($A37,ExchangeConfirms!$A$2:$A$460,0)))</f>
        <v/>
      </c>
      <c r="E37">
        <f>IF(COUNTIF(InternalTrades!$A$2:$A$461,$A37)&gt;0,1,0)</f>
        <v/>
      </c>
      <c r="F37">
        <f>IF(COUNTIF(ExchangeConfirms!$A$2:$A$460,$A37)&gt;0,1,0)</f>
        <v/>
      </c>
      <c r="G37">
        <f>IFERROR(INDEX(InternalTrades!$F$2:$F$461,MATCH($A37,InternalTrades!$A$2:$A$461,0)),"")</f>
        <v/>
      </c>
      <c r="H37">
        <f>IFERROR(INDEX(ExchangeConfirms!$F$2:$F$460,MATCH($A37,ExchangeConfirms!$A$2:$A$460,0)),"")</f>
        <v/>
      </c>
      <c r="I37">
        <f>IFERROR(INDEX(InternalTrades!$G$2:$G$461,MATCH($A37,InternalTrades!$A$2:$A$461,0)),"")</f>
        <v/>
      </c>
      <c r="J37">
        <f>IFERROR(INDEX(ExchangeConfirms!$G$2:$G$460,MATCH($A37,ExchangeConfirms!$A$2:$A$460,0)),"")</f>
        <v/>
      </c>
      <c r="K37">
        <f>IFERROR(INDEX(InternalTrades!$H$2:$H$461,MATCH($A37,InternalTrades!$A$2:$A$461,0)),"")</f>
        <v/>
      </c>
      <c r="L37">
        <f>IFERROR(INDEX(ExchangeConfirms!$H$2:$H$460,MATCH($A37,ExchangeConfirms!$A$2:$A$460,0)),"")</f>
        <v/>
      </c>
      <c r="M37">
        <f>IFERROR(INDEX(InternalTrades!$J$2:$J$461,MATCH($A37,InternalTrades!$A$2:$A$461,0)),"")</f>
        <v/>
      </c>
      <c r="N37">
        <f>IFERROR(INDEX(ExchangeConfirms!$J$2:$J$460,MATCH($A37,ExchangeConfirms!$A$2:$A$460,0)),"")</f>
        <v/>
      </c>
      <c r="O37">
        <f>IFERROR(INDEX(InternalTrades!$I$2:$I$461,MATCH($A37,InternalTrades!$A$2:$A$461,0)),"")</f>
        <v/>
      </c>
      <c r="P37">
        <f>IFERROR(INDEX(ExchangeConfirms!$I$2:$I$460,MATCH($A37,ExchangeConfirms!$A$2:$A$460,0)),"")</f>
        <v/>
      </c>
      <c r="Q37">
        <f>IF(AND($E37=1,$F37=0),"MISSING IN EXCHANGE",IF(AND($E37=0,$F37=1),"MISSING IN INTERNAL",IF($G37&lt;&gt;$H37,"SIDE BREAK",IF($I37&lt;&gt;$J37,"QTY BREAK",IF(ABS($K37-$L37)&gt;0.005,"PRICE BREAK",IF(ABS($M37-$N37)&gt;0.01,"FEE BREAK","MATCHED"))))))</f>
        <v/>
      </c>
      <c r="R37">
        <f>IF($Q37="MATCHED",0,1)</f>
        <v/>
      </c>
      <c r="S37">
        <f>IF($Q37="MATCHED",0,IF($Q37="MISSING IN EXCHANGE",$O37,IF($Q37="MISSING IN INTERNAL",$P37,ABS(N($O37)-N($P37)))))</f>
        <v/>
      </c>
    </row>
    <row r="38">
      <c r="A38" t="inlineStr">
        <is>
          <t>T100037</t>
        </is>
      </c>
      <c r="B38">
        <f>IFERROR(INDEX(InternalTrades!$D$2:$D$461,MATCH($A38,InternalTrades!$A$2:$A$461,0)),INDEX(ExchangeConfirms!$D$2:$D$460,MATCH($A38,ExchangeConfirms!$A$2:$A$460,0)))</f>
        <v/>
      </c>
      <c r="C38">
        <f>IFERROR(INDEX(InternalTrades!$E$2:$E$461,MATCH($A38,InternalTrades!$A$2:$A$461,0)),INDEX(ExchangeConfirms!$E$2:$E$460,MATCH($A38,ExchangeConfirms!$A$2:$A$460,0)))</f>
        <v/>
      </c>
      <c r="D38">
        <f>IFERROR(INDEX(InternalTrades!$K$2:$K$461,MATCH($A38,InternalTrades!$A$2:$A$461,0)),INDEX(ExchangeConfirms!$K$2:$K$460,MATCH($A38,ExchangeConfirms!$A$2:$A$460,0)))</f>
        <v/>
      </c>
      <c r="E38">
        <f>IF(COUNTIF(InternalTrades!$A$2:$A$461,$A38)&gt;0,1,0)</f>
        <v/>
      </c>
      <c r="F38">
        <f>IF(COUNTIF(ExchangeConfirms!$A$2:$A$460,$A38)&gt;0,1,0)</f>
        <v/>
      </c>
      <c r="G38">
        <f>IFERROR(INDEX(InternalTrades!$F$2:$F$461,MATCH($A38,InternalTrades!$A$2:$A$461,0)),"")</f>
        <v/>
      </c>
      <c r="H38">
        <f>IFERROR(INDEX(ExchangeConfirms!$F$2:$F$460,MATCH($A38,ExchangeConfirms!$A$2:$A$460,0)),"")</f>
        <v/>
      </c>
      <c r="I38">
        <f>IFERROR(INDEX(InternalTrades!$G$2:$G$461,MATCH($A38,InternalTrades!$A$2:$A$461,0)),"")</f>
        <v/>
      </c>
      <c r="J38">
        <f>IFERROR(INDEX(ExchangeConfirms!$G$2:$G$460,MATCH($A38,ExchangeConfirms!$A$2:$A$460,0)),"")</f>
        <v/>
      </c>
      <c r="K38">
        <f>IFERROR(INDEX(InternalTrades!$H$2:$H$461,MATCH($A38,InternalTrades!$A$2:$A$461,0)),"")</f>
        <v/>
      </c>
      <c r="L38">
        <f>IFERROR(INDEX(ExchangeConfirms!$H$2:$H$460,MATCH($A38,ExchangeConfirms!$A$2:$A$460,0)),"")</f>
        <v/>
      </c>
      <c r="M38">
        <f>IFERROR(INDEX(InternalTrades!$J$2:$J$461,MATCH($A38,InternalTrades!$A$2:$A$461,0)),"")</f>
        <v/>
      </c>
      <c r="N38">
        <f>IFERROR(INDEX(ExchangeConfirms!$J$2:$J$460,MATCH($A38,ExchangeConfirms!$A$2:$A$460,0)),"")</f>
        <v/>
      </c>
      <c r="O38">
        <f>IFERROR(INDEX(InternalTrades!$I$2:$I$461,MATCH($A38,InternalTrades!$A$2:$A$461,0)),"")</f>
        <v/>
      </c>
      <c r="P38">
        <f>IFERROR(INDEX(ExchangeConfirms!$I$2:$I$460,MATCH($A38,ExchangeConfirms!$A$2:$A$460,0)),"")</f>
        <v/>
      </c>
      <c r="Q38">
        <f>IF(AND($E38=1,$F38=0),"MISSING IN EXCHANGE",IF(AND($E38=0,$F38=1),"MISSING IN INTERNAL",IF($G38&lt;&gt;$H38,"SIDE BREAK",IF($I38&lt;&gt;$J38,"QTY BREAK",IF(ABS($K38-$L38)&gt;0.005,"PRICE BREAK",IF(ABS($M38-$N38)&gt;0.01,"FEE BREAK","MATCHED"))))))</f>
        <v/>
      </c>
      <c r="R38">
        <f>IF($Q38="MATCHED",0,1)</f>
        <v/>
      </c>
      <c r="S38">
        <f>IF($Q38="MATCHED",0,IF($Q38="MISSING IN EXCHANGE",$O38,IF($Q38="MISSING IN INTERNAL",$P38,ABS(N($O38)-N($P38)))))</f>
        <v/>
      </c>
    </row>
    <row r="39">
      <c r="A39" t="inlineStr">
        <is>
          <t>T100038</t>
        </is>
      </c>
      <c r="B39">
        <f>IFERROR(INDEX(InternalTrades!$D$2:$D$461,MATCH($A39,InternalTrades!$A$2:$A$461,0)),INDEX(ExchangeConfirms!$D$2:$D$460,MATCH($A39,ExchangeConfirms!$A$2:$A$460,0)))</f>
        <v/>
      </c>
      <c r="C39">
        <f>IFERROR(INDEX(InternalTrades!$E$2:$E$461,MATCH($A39,InternalTrades!$A$2:$A$461,0)),INDEX(ExchangeConfirms!$E$2:$E$460,MATCH($A39,ExchangeConfirms!$A$2:$A$460,0)))</f>
        <v/>
      </c>
      <c r="D39">
        <f>IFERROR(INDEX(InternalTrades!$K$2:$K$461,MATCH($A39,InternalTrades!$A$2:$A$461,0)),INDEX(ExchangeConfirms!$K$2:$K$460,MATCH($A39,ExchangeConfirms!$A$2:$A$460,0)))</f>
        <v/>
      </c>
      <c r="E39">
        <f>IF(COUNTIF(InternalTrades!$A$2:$A$461,$A39)&gt;0,1,0)</f>
        <v/>
      </c>
      <c r="F39">
        <f>IF(COUNTIF(ExchangeConfirms!$A$2:$A$460,$A39)&gt;0,1,0)</f>
        <v/>
      </c>
      <c r="G39">
        <f>IFERROR(INDEX(InternalTrades!$F$2:$F$461,MATCH($A39,InternalTrades!$A$2:$A$461,0)),"")</f>
        <v/>
      </c>
      <c r="H39">
        <f>IFERROR(INDEX(ExchangeConfirms!$F$2:$F$460,MATCH($A39,ExchangeConfirms!$A$2:$A$460,0)),"")</f>
        <v/>
      </c>
      <c r="I39">
        <f>IFERROR(INDEX(InternalTrades!$G$2:$G$461,MATCH($A39,InternalTrades!$A$2:$A$461,0)),"")</f>
        <v/>
      </c>
      <c r="J39">
        <f>IFERROR(INDEX(ExchangeConfirms!$G$2:$G$460,MATCH($A39,ExchangeConfirms!$A$2:$A$460,0)),"")</f>
        <v/>
      </c>
      <c r="K39">
        <f>IFERROR(INDEX(InternalTrades!$H$2:$H$461,MATCH($A39,InternalTrades!$A$2:$A$461,0)),"")</f>
        <v/>
      </c>
      <c r="L39">
        <f>IFERROR(INDEX(ExchangeConfirms!$H$2:$H$460,MATCH($A39,ExchangeConfirms!$A$2:$A$460,0)),"")</f>
        <v/>
      </c>
      <c r="M39">
        <f>IFERROR(INDEX(InternalTrades!$J$2:$J$461,MATCH($A39,InternalTrades!$A$2:$A$461,0)),"")</f>
        <v/>
      </c>
      <c r="N39">
        <f>IFERROR(INDEX(ExchangeConfirms!$J$2:$J$460,MATCH($A39,ExchangeConfirms!$A$2:$A$460,0)),"")</f>
        <v/>
      </c>
      <c r="O39">
        <f>IFERROR(INDEX(InternalTrades!$I$2:$I$461,MATCH($A39,InternalTrades!$A$2:$A$461,0)),"")</f>
        <v/>
      </c>
      <c r="P39">
        <f>IFERROR(INDEX(ExchangeConfirms!$I$2:$I$460,MATCH($A39,ExchangeConfirms!$A$2:$A$460,0)),"")</f>
        <v/>
      </c>
      <c r="Q39">
        <f>IF(AND($E39=1,$F39=0),"MISSING IN EXCHANGE",IF(AND($E39=0,$F39=1),"MISSING IN INTERNAL",IF($G39&lt;&gt;$H39,"SIDE BREAK",IF($I39&lt;&gt;$J39,"QTY BREAK",IF(ABS($K39-$L39)&gt;0.005,"PRICE BREAK",IF(ABS($M39-$N39)&gt;0.01,"FEE BREAK","MATCHED"))))))</f>
        <v/>
      </c>
      <c r="R39">
        <f>IF($Q39="MATCHED",0,1)</f>
        <v/>
      </c>
      <c r="S39">
        <f>IF($Q39="MATCHED",0,IF($Q39="MISSING IN EXCHANGE",$O39,IF($Q39="MISSING IN INTERNAL",$P39,ABS(N($O39)-N($P39)))))</f>
        <v/>
      </c>
    </row>
    <row r="40">
      <c r="A40" t="inlineStr">
        <is>
          <t>T100039</t>
        </is>
      </c>
      <c r="B40">
        <f>IFERROR(INDEX(InternalTrades!$D$2:$D$461,MATCH($A40,InternalTrades!$A$2:$A$461,0)),INDEX(ExchangeConfirms!$D$2:$D$460,MATCH($A40,ExchangeConfirms!$A$2:$A$460,0)))</f>
        <v/>
      </c>
      <c r="C40">
        <f>IFERROR(INDEX(InternalTrades!$E$2:$E$461,MATCH($A40,InternalTrades!$A$2:$A$461,0)),INDEX(ExchangeConfirms!$E$2:$E$460,MATCH($A40,ExchangeConfirms!$A$2:$A$460,0)))</f>
        <v/>
      </c>
      <c r="D40">
        <f>IFERROR(INDEX(InternalTrades!$K$2:$K$461,MATCH($A40,InternalTrades!$A$2:$A$461,0)),INDEX(ExchangeConfirms!$K$2:$K$460,MATCH($A40,ExchangeConfirms!$A$2:$A$460,0)))</f>
        <v/>
      </c>
      <c r="E40">
        <f>IF(COUNTIF(InternalTrades!$A$2:$A$461,$A40)&gt;0,1,0)</f>
        <v/>
      </c>
      <c r="F40">
        <f>IF(COUNTIF(ExchangeConfirms!$A$2:$A$460,$A40)&gt;0,1,0)</f>
        <v/>
      </c>
      <c r="G40">
        <f>IFERROR(INDEX(InternalTrades!$F$2:$F$461,MATCH($A40,InternalTrades!$A$2:$A$461,0)),"")</f>
        <v/>
      </c>
      <c r="H40">
        <f>IFERROR(INDEX(ExchangeConfirms!$F$2:$F$460,MATCH($A40,ExchangeConfirms!$A$2:$A$460,0)),"")</f>
        <v/>
      </c>
      <c r="I40">
        <f>IFERROR(INDEX(InternalTrades!$G$2:$G$461,MATCH($A40,InternalTrades!$A$2:$A$461,0)),"")</f>
        <v/>
      </c>
      <c r="J40">
        <f>IFERROR(INDEX(ExchangeConfirms!$G$2:$G$460,MATCH($A40,ExchangeConfirms!$A$2:$A$460,0)),"")</f>
        <v/>
      </c>
      <c r="K40">
        <f>IFERROR(INDEX(InternalTrades!$H$2:$H$461,MATCH($A40,InternalTrades!$A$2:$A$461,0)),"")</f>
        <v/>
      </c>
      <c r="L40">
        <f>IFERROR(INDEX(ExchangeConfirms!$H$2:$H$460,MATCH($A40,ExchangeConfirms!$A$2:$A$460,0)),"")</f>
        <v/>
      </c>
      <c r="M40">
        <f>IFERROR(INDEX(InternalTrades!$J$2:$J$461,MATCH($A40,InternalTrades!$A$2:$A$461,0)),"")</f>
        <v/>
      </c>
      <c r="N40">
        <f>IFERROR(INDEX(ExchangeConfirms!$J$2:$J$460,MATCH($A40,ExchangeConfirms!$A$2:$A$460,0)),"")</f>
        <v/>
      </c>
      <c r="O40">
        <f>IFERROR(INDEX(InternalTrades!$I$2:$I$461,MATCH($A40,InternalTrades!$A$2:$A$461,0)),"")</f>
        <v/>
      </c>
      <c r="P40">
        <f>IFERROR(INDEX(ExchangeConfirms!$I$2:$I$460,MATCH($A40,ExchangeConfirms!$A$2:$A$460,0)),"")</f>
        <v/>
      </c>
      <c r="Q40">
        <f>IF(AND($E40=1,$F40=0),"MISSING IN EXCHANGE",IF(AND($E40=0,$F40=1),"MISSING IN INTERNAL",IF($G40&lt;&gt;$H40,"SIDE BREAK",IF($I40&lt;&gt;$J40,"QTY BREAK",IF(ABS($K40-$L40)&gt;0.005,"PRICE BREAK",IF(ABS($M40-$N40)&gt;0.01,"FEE BREAK","MATCHED"))))))</f>
        <v/>
      </c>
      <c r="R40">
        <f>IF($Q40="MATCHED",0,1)</f>
        <v/>
      </c>
      <c r="S40">
        <f>IF($Q40="MATCHED",0,IF($Q40="MISSING IN EXCHANGE",$O40,IF($Q40="MISSING IN INTERNAL",$P40,ABS(N($O40)-N($P40)))))</f>
        <v/>
      </c>
    </row>
    <row r="41">
      <c r="A41" t="inlineStr">
        <is>
          <t>T100040</t>
        </is>
      </c>
      <c r="B41">
        <f>IFERROR(INDEX(InternalTrades!$D$2:$D$461,MATCH($A41,InternalTrades!$A$2:$A$461,0)),INDEX(ExchangeConfirms!$D$2:$D$460,MATCH($A41,ExchangeConfirms!$A$2:$A$460,0)))</f>
        <v/>
      </c>
      <c r="C41">
        <f>IFERROR(INDEX(InternalTrades!$E$2:$E$461,MATCH($A41,InternalTrades!$A$2:$A$461,0)),INDEX(ExchangeConfirms!$E$2:$E$460,MATCH($A41,ExchangeConfirms!$A$2:$A$460,0)))</f>
        <v/>
      </c>
      <c r="D41">
        <f>IFERROR(INDEX(InternalTrades!$K$2:$K$461,MATCH($A41,InternalTrades!$A$2:$A$461,0)),INDEX(ExchangeConfirms!$K$2:$K$460,MATCH($A41,ExchangeConfirms!$A$2:$A$460,0)))</f>
        <v/>
      </c>
      <c r="E41">
        <f>IF(COUNTIF(InternalTrades!$A$2:$A$461,$A41)&gt;0,1,0)</f>
        <v/>
      </c>
      <c r="F41">
        <f>IF(COUNTIF(ExchangeConfirms!$A$2:$A$460,$A41)&gt;0,1,0)</f>
        <v/>
      </c>
      <c r="G41">
        <f>IFERROR(INDEX(InternalTrades!$F$2:$F$461,MATCH($A41,InternalTrades!$A$2:$A$461,0)),"")</f>
        <v/>
      </c>
      <c r="H41">
        <f>IFERROR(INDEX(ExchangeConfirms!$F$2:$F$460,MATCH($A41,ExchangeConfirms!$A$2:$A$460,0)),"")</f>
        <v/>
      </c>
      <c r="I41">
        <f>IFERROR(INDEX(InternalTrades!$G$2:$G$461,MATCH($A41,InternalTrades!$A$2:$A$461,0)),"")</f>
        <v/>
      </c>
      <c r="J41">
        <f>IFERROR(INDEX(ExchangeConfirms!$G$2:$G$460,MATCH($A41,ExchangeConfirms!$A$2:$A$460,0)),"")</f>
        <v/>
      </c>
      <c r="K41">
        <f>IFERROR(INDEX(InternalTrades!$H$2:$H$461,MATCH($A41,InternalTrades!$A$2:$A$461,0)),"")</f>
        <v/>
      </c>
      <c r="L41">
        <f>IFERROR(INDEX(ExchangeConfirms!$H$2:$H$460,MATCH($A41,ExchangeConfirms!$A$2:$A$460,0)),"")</f>
        <v/>
      </c>
      <c r="M41">
        <f>IFERROR(INDEX(InternalTrades!$J$2:$J$461,MATCH($A41,InternalTrades!$A$2:$A$461,0)),"")</f>
        <v/>
      </c>
      <c r="N41">
        <f>IFERROR(INDEX(ExchangeConfirms!$J$2:$J$460,MATCH($A41,ExchangeConfirms!$A$2:$A$460,0)),"")</f>
        <v/>
      </c>
      <c r="O41">
        <f>IFERROR(INDEX(InternalTrades!$I$2:$I$461,MATCH($A41,InternalTrades!$A$2:$A$461,0)),"")</f>
        <v/>
      </c>
      <c r="P41">
        <f>IFERROR(INDEX(ExchangeConfirms!$I$2:$I$460,MATCH($A41,ExchangeConfirms!$A$2:$A$460,0)),"")</f>
        <v/>
      </c>
      <c r="Q41">
        <f>IF(AND($E41=1,$F41=0),"MISSING IN EXCHANGE",IF(AND($E41=0,$F41=1),"MISSING IN INTERNAL",IF($G41&lt;&gt;$H41,"SIDE BREAK",IF($I41&lt;&gt;$J41,"QTY BREAK",IF(ABS($K41-$L41)&gt;0.005,"PRICE BREAK",IF(ABS($M41-$N41)&gt;0.01,"FEE BREAK","MATCHED"))))))</f>
        <v/>
      </c>
      <c r="R41">
        <f>IF($Q41="MATCHED",0,1)</f>
        <v/>
      </c>
      <c r="S41">
        <f>IF($Q41="MATCHED",0,IF($Q41="MISSING IN EXCHANGE",$O41,IF($Q41="MISSING IN INTERNAL",$P41,ABS(N($O41)-N($P41)))))</f>
        <v/>
      </c>
    </row>
    <row r="42">
      <c r="A42" t="inlineStr">
        <is>
          <t>T100041</t>
        </is>
      </c>
      <c r="B42">
        <f>IFERROR(INDEX(InternalTrades!$D$2:$D$461,MATCH($A42,InternalTrades!$A$2:$A$461,0)),INDEX(ExchangeConfirms!$D$2:$D$460,MATCH($A42,ExchangeConfirms!$A$2:$A$460,0)))</f>
        <v/>
      </c>
      <c r="C42">
        <f>IFERROR(INDEX(InternalTrades!$E$2:$E$461,MATCH($A42,InternalTrades!$A$2:$A$461,0)),INDEX(ExchangeConfirms!$E$2:$E$460,MATCH($A42,ExchangeConfirms!$A$2:$A$460,0)))</f>
        <v/>
      </c>
      <c r="D42">
        <f>IFERROR(INDEX(InternalTrades!$K$2:$K$461,MATCH($A42,InternalTrades!$A$2:$A$461,0)),INDEX(ExchangeConfirms!$K$2:$K$460,MATCH($A42,ExchangeConfirms!$A$2:$A$460,0)))</f>
        <v/>
      </c>
      <c r="E42">
        <f>IF(COUNTIF(InternalTrades!$A$2:$A$461,$A42)&gt;0,1,0)</f>
        <v/>
      </c>
      <c r="F42">
        <f>IF(COUNTIF(ExchangeConfirms!$A$2:$A$460,$A42)&gt;0,1,0)</f>
        <v/>
      </c>
      <c r="G42">
        <f>IFERROR(INDEX(InternalTrades!$F$2:$F$461,MATCH($A42,InternalTrades!$A$2:$A$461,0)),"")</f>
        <v/>
      </c>
      <c r="H42">
        <f>IFERROR(INDEX(ExchangeConfirms!$F$2:$F$460,MATCH($A42,ExchangeConfirms!$A$2:$A$460,0)),"")</f>
        <v/>
      </c>
      <c r="I42">
        <f>IFERROR(INDEX(InternalTrades!$G$2:$G$461,MATCH($A42,InternalTrades!$A$2:$A$461,0)),"")</f>
        <v/>
      </c>
      <c r="J42">
        <f>IFERROR(INDEX(ExchangeConfirms!$G$2:$G$460,MATCH($A42,ExchangeConfirms!$A$2:$A$460,0)),"")</f>
        <v/>
      </c>
      <c r="K42">
        <f>IFERROR(INDEX(InternalTrades!$H$2:$H$461,MATCH($A42,InternalTrades!$A$2:$A$461,0)),"")</f>
        <v/>
      </c>
      <c r="L42">
        <f>IFERROR(INDEX(ExchangeConfirms!$H$2:$H$460,MATCH($A42,ExchangeConfirms!$A$2:$A$460,0)),"")</f>
        <v/>
      </c>
      <c r="M42">
        <f>IFERROR(INDEX(InternalTrades!$J$2:$J$461,MATCH($A42,InternalTrades!$A$2:$A$461,0)),"")</f>
        <v/>
      </c>
      <c r="N42">
        <f>IFERROR(INDEX(ExchangeConfirms!$J$2:$J$460,MATCH($A42,ExchangeConfirms!$A$2:$A$460,0)),"")</f>
        <v/>
      </c>
      <c r="O42">
        <f>IFERROR(INDEX(InternalTrades!$I$2:$I$461,MATCH($A42,InternalTrades!$A$2:$A$461,0)),"")</f>
        <v/>
      </c>
      <c r="P42">
        <f>IFERROR(INDEX(ExchangeConfirms!$I$2:$I$460,MATCH($A42,ExchangeConfirms!$A$2:$A$460,0)),"")</f>
        <v/>
      </c>
      <c r="Q42">
        <f>IF(AND($E42=1,$F42=0),"MISSING IN EXCHANGE",IF(AND($E42=0,$F42=1),"MISSING IN INTERNAL",IF($G42&lt;&gt;$H42,"SIDE BREAK",IF($I42&lt;&gt;$J42,"QTY BREAK",IF(ABS($K42-$L42)&gt;0.005,"PRICE BREAK",IF(ABS($M42-$N42)&gt;0.01,"FEE BREAK","MATCHED"))))))</f>
        <v/>
      </c>
      <c r="R42">
        <f>IF($Q42="MATCHED",0,1)</f>
        <v/>
      </c>
      <c r="S42">
        <f>IF($Q42="MATCHED",0,IF($Q42="MISSING IN EXCHANGE",$O42,IF($Q42="MISSING IN INTERNAL",$P42,ABS(N($O42)-N($P42)))))</f>
        <v/>
      </c>
    </row>
    <row r="43">
      <c r="A43" t="inlineStr">
        <is>
          <t>T100042</t>
        </is>
      </c>
      <c r="B43">
        <f>IFERROR(INDEX(InternalTrades!$D$2:$D$461,MATCH($A43,InternalTrades!$A$2:$A$461,0)),INDEX(ExchangeConfirms!$D$2:$D$460,MATCH($A43,ExchangeConfirms!$A$2:$A$460,0)))</f>
        <v/>
      </c>
      <c r="C43">
        <f>IFERROR(INDEX(InternalTrades!$E$2:$E$461,MATCH($A43,InternalTrades!$A$2:$A$461,0)),INDEX(ExchangeConfirms!$E$2:$E$460,MATCH($A43,ExchangeConfirms!$A$2:$A$460,0)))</f>
        <v/>
      </c>
      <c r="D43">
        <f>IFERROR(INDEX(InternalTrades!$K$2:$K$461,MATCH($A43,InternalTrades!$A$2:$A$461,0)),INDEX(ExchangeConfirms!$K$2:$K$460,MATCH($A43,ExchangeConfirms!$A$2:$A$460,0)))</f>
        <v/>
      </c>
      <c r="E43">
        <f>IF(COUNTIF(InternalTrades!$A$2:$A$461,$A43)&gt;0,1,0)</f>
        <v/>
      </c>
      <c r="F43">
        <f>IF(COUNTIF(ExchangeConfirms!$A$2:$A$460,$A43)&gt;0,1,0)</f>
        <v/>
      </c>
      <c r="G43">
        <f>IFERROR(INDEX(InternalTrades!$F$2:$F$461,MATCH($A43,InternalTrades!$A$2:$A$461,0)),"")</f>
        <v/>
      </c>
      <c r="H43">
        <f>IFERROR(INDEX(ExchangeConfirms!$F$2:$F$460,MATCH($A43,ExchangeConfirms!$A$2:$A$460,0)),"")</f>
        <v/>
      </c>
      <c r="I43">
        <f>IFERROR(INDEX(InternalTrades!$G$2:$G$461,MATCH($A43,InternalTrades!$A$2:$A$461,0)),"")</f>
        <v/>
      </c>
      <c r="J43">
        <f>IFERROR(INDEX(ExchangeConfirms!$G$2:$G$460,MATCH($A43,ExchangeConfirms!$A$2:$A$460,0)),"")</f>
        <v/>
      </c>
      <c r="K43">
        <f>IFERROR(INDEX(InternalTrades!$H$2:$H$461,MATCH($A43,InternalTrades!$A$2:$A$461,0)),"")</f>
        <v/>
      </c>
      <c r="L43">
        <f>IFERROR(INDEX(ExchangeConfirms!$H$2:$H$460,MATCH($A43,ExchangeConfirms!$A$2:$A$460,0)),"")</f>
        <v/>
      </c>
      <c r="M43">
        <f>IFERROR(INDEX(InternalTrades!$J$2:$J$461,MATCH($A43,InternalTrades!$A$2:$A$461,0)),"")</f>
        <v/>
      </c>
      <c r="N43">
        <f>IFERROR(INDEX(ExchangeConfirms!$J$2:$J$460,MATCH($A43,ExchangeConfirms!$A$2:$A$460,0)),"")</f>
        <v/>
      </c>
      <c r="O43">
        <f>IFERROR(INDEX(InternalTrades!$I$2:$I$461,MATCH($A43,InternalTrades!$A$2:$A$461,0)),"")</f>
        <v/>
      </c>
      <c r="P43">
        <f>IFERROR(INDEX(ExchangeConfirms!$I$2:$I$460,MATCH($A43,ExchangeConfirms!$A$2:$A$460,0)),"")</f>
        <v/>
      </c>
      <c r="Q43">
        <f>IF(AND($E43=1,$F43=0),"MISSING IN EXCHANGE",IF(AND($E43=0,$F43=1),"MISSING IN INTERNAL",IF($G43&lt;&gt;$H43,"SIDE BREAK",IF($I43&lt;&gt;$J43,"QTY BREAK",IF(ABS($K43-$L43)&gt;0.005,"PRICE BREAK",IF(ABS($M43-$N43)&gt;0.01,"FEE BREAK","MATCHED"))))))</f>
        <v/>
      </c>
      <c r="R43">
        <f>IF($Q43="MATCHED",0,1)</f>
        <v/>
      </c>
      <c r="S43">
        <f>IF($Q43="MATCHED",0,IF($Q43="MISSING IN EXCHANGE",$O43,IF($Q43="MISSING IN INTERNAL",$P43,ABS(N($O43)-N($P43)))))</f>
        <v/>
      </c>
    </row>
    <row r="44">
      <c r="A44" t="inlineStr">
        <is>
          <t>T100043</t>
        </is>
      </c>
      <c r="B44">
        <f>IFERROR(INDEX(InternalTrades!$D$2:$D$461,MATCH($A44,InternalTrades!$A$2:$A$461,0)),INDEX(ExchangeConfirms!$D$2:$D$460,MATCH($A44,ExchangeConfirms!$A$2:$A$460,0)))</f>
        <v/>
      </c>
      <c r="C44">
        <f>IFERROR(INDEX(InternalTrades!$E$2:$E$461,MATCH($A44,InternalTrades!$A$2:$A$461,0)),INDEX(ExchangeConfirms!$E$2:$E$460,MATCH($A44,ExchangeConfirms!$A$2:$A$460,0)))</f>
        <v/>
      </c>
      <c r="D44">
        <f>IFERROR(INDEX(InternalTrades!$K$2:$K$461,MATCH($A44,InternalTrades!$A$2:$A$461,0)),INDEX(ExchangeConfirms!$K$2:$K$460,MATCH($A44,ExchangeConfirms!$A$2:$A$460,0)))</f>
        <v/>
      </c>
      <c r="E44">
        <f>IF(COUNTIF(InternalTrades!$A$2:$A$461,$A44)&gt;0,1,0)</f>
        <v/>
      </c>
      <c r="F44">
        <f>IF(COUNTIF(ExchangeConfirms!$A$2:$A$460,$A44)&gt;0,1,0)</f>
        <v/>
      </c>
      <c r="G44">
        <f>IFERROR(INDEX(InternalTrades!$F$2:$F$461,MATCH($A44,InternalTrades!$A$2:$A$461,0)),"")</f>
        <v/>
      </c>
      <c r="H44">
        <f>IFERROR(INDEX(ExchangeConfirms!$F$2:$F$460,MATCH($A44,ExchangeConfirms!$A$2:$A$460,0)),"")</f>
        <v/>
      </c>
      <c r="I44">
        <f>IFERROR(INDEX(InternalTrades!$G$2:$G$461,MATCH($A44,InternalTrades!$A$2:$A$461,0)),"")</f>
        <v/>
      </c>
      <c r="J44">
        <f>IFERROR(INDEX(ExchangeConfirms!$G$2:$G$460,MATCH($A44,ExchangeConfirms!$A$2:$A$460,0)),"")</f>
        <v/>
      </c>
      <c r="K44">
        <f>IFERROR(INDEX(InternalTrades!$H$2:$H$461,MATCH($A44,InternalTrades!$A$2:$A$461,0)),"")</f>
        <v/>
      </c>
      <c r="L44">
        <f>IFERROR(INDEX(ExchangeConfirms!$H$2:$H$460,MATCH($A44,ExchangeConfirms!$A$2:$A$460,0)),"")</f>
        <v/>
      </c>
      <c r="M44">
        <f>IFERROR(INDEX(InternalTrades!$J$2:$J$461,MATCH($A44,InternalTrades!$A$2:$A$461,0)),"")</f>
        <v/>
      </c>
      <c r="N44">
        <f>IFERROR(INDEX(ExchangeConfirms!$J$2:$J$460,MATCH($A44,ExchangeConfirms!$A$2:$A$460,0)),"")</f>
        <v/>
      </c>
      <c r="O44">
        <f>IFERROR(INDEX(InternalTrades!$I$2:$I$461,MATCH($A44,InternalTrades!$A$2:$A$461,0)),"")</f>
        <v/>
      </c>
      <c r="P44">
        <f>IFERROR(INDEX(ExchangeConfirms!$I$2:$I$460,MATCH($A44,ExchangeConfirms!$A$2:$A$460,0)),"")</f>
        <v/>
      </c>
      <c r="Q44">
        <f>IF(AND($E44=1,$F44=0),"MISSING IN EXCHANGE",IF(AND($E44=0,$F44=1),"MISSING IN INTERNAL",IF($G44&lt;&gt;$H44,"SIDE BREAK",IF($I44&lt;&gt;$J44,"QTY BREAK",IF(ABS($K44-$L44)&gt;0.005,"PRICE BREAK",IF(ABS($M44-$N44)&gt;0.01,"FEE BREAK","MATCHED"))))))</f>
        <v/>
      </c>
      <c r="R44">
        <f>IF($Q44="MATCHED",0,1)</f>
        <v/>
      </c>
      <c r="S44">
        <f>IF($Q44="MATCHED",0,IF($Q44="MISSING IN EXCHANGE",$O44,IF($Q44="MISSING IN INTERNAL",$P44,ABS(N($O44)-N($P44)))))</f>
        <v/>
      </c>
    </row>
    <row r="45">
      <c r="A45" t="inlineStr">
        <is>
          <t>T100044</t>
        </is>
      </c>
      <c r="B45">
        <f>IFERROR(INDEX(InternalTrades!$D$2:$D$461,MATCH($A45,InternalTrades!$A$2:$A$461,0)),INDEX(ExchangeConfirms!$D$2:$D$460,MATCH($A45,ExchangeConfirms!$A$2:$A$460,0)))</f>
        <v/>
      </c>
      <c r="C45">
        <f>IFERROR(INDEX(InternalTrades!$E$2:$E$461,MATCH($A45,InternalTrades!$A$2:$A$461,0)),INDEX(ExchangeConfirms!$E$2:$E$460,MATCH($A45,ExchangeConfirms!$A$2:$A$460,0)))</f>
        <v/>
      </c>
      <c r="D45">
        <f>IFERROR(INDEX(InternalTrades!$K$2:$K$461,MATCH($A45,InternalTrades!$A$2:$A$461,0)),INDEX(ExchangeConfirms!$K$2:$K$460,MATCH($A45,ExchangeConfirms!$A$2:$A$460,0)))</f>
        <v/>
      </c>
      <c r="E45">
        <f>IF(COUNTIF(InternalTrades!$A$2:$A$461,$A45)&gt;0,1,0)</f>
        <v/>
      </c>
      <c r="F45">
        <f>IF(COUNTIF(ExchangeConfirms!$A$2:$A$460,$A45)&gt;0,1,0)</f>
        <v/>
      </c>
      <c r="G45">
        <f>IFERROR(INDEX(InternalTrades!$F$2:$F$461,MATCH($A45,InternalTrades!$A$2:$A$461,0)),"")</f>
        <v/>
      </c>
      <c r="H45">
        <f>IFERROR(INDEX(ExchangeConfirms!$F$2:$F$460,MATCH($A45,ExchangeConfirms!$A$2:$A$460,0)),"")</f>
        <v/>
      </c>
      <c r="I45">
        <f>IFERROR(INDEX(InternalTrades!$G$2:$G$461,MATCH($A45,InternalTrades!$A$2:$A$461,0)),"")</f>
        <v/>
      </c>
      <c r="J45">
        <f>IFERROR(INDEX(ExchangeConfirms!$G$2:$G$460,MATCH($A45,ExchangeConfirms!$A$2:$A$460,0)),"")</f>
        <v/>
      </c>
      <c r="K45">
        <f>IFERROR(INDEX(InternalTrades!$H$2:$H$461,MATCH($A45,InternalTrades!$A$2:$A$461,0)),"")</f>
        <v/>
      </c>
      <c r="L45">
        <f>IFERROR(INDEX(ExchangeConfirms!$H$2:$H$460,MATCH($A45,ExchangeConfirms!$A$2:$A$460,0)),"")</f>
        <v/>
      </c>
      <c r="M45">
        <f>IFERROR(INDEX(InternalTrades!$J$2:$J$461,MATCH($A45,InternalTrades!$A$2:$A$461,0)),"")</f>
        <v/>
      </c>
      <c r="N45">
        <f>IFERROR(INDEX(ExchangeConfirms!$J$2:$J$460,MATCH($A45,ExchangeConfirms!$A$2:$A$460,0)),"")</f>
        <v/>
      </c>
      <c r="O45">
        <f>IFERROR(INDEX(InternalTrades!$I$2:$I$461,MATCH($A45,InternalTrades!$A$2:$A$461,0)),"")</f>
        <v/>
      </c>
      <c r="P45">
        <f>IFERROR(INDEX(ExchangeConfirms!$I$2:$I$460,MATCH($A45,ExchangeConfirms!$A$2:$A$460,0)),"")</f>
        <v/>
      </c>
      <c r="Q45">
        <f>IF(AND($E45=1,$F45=0),"MISSING IN EXCHANGE",IF(AND($E45=0,$F45=1),"MISSING IN INTERNAL",IF($G45&lt;&gt;$H45,"SIDE BREAK",IF($I45&lt;&gt;$J45,"QTY BREAK",IF(ABS($K45-$L45)&gt;0.005,"PRICE BREAK",IF(ABS($M45-$N45)&gt;0.01,"FEE BREAK","MATCHED"))))))</f>
        <v/>
      </c>
      <c r="R45">
        <f>IF($Q45="MATCHED",0,1)</f>
        <v/>
      </c>
      <c r="S45">
        <f>IF($Q45="MATCHED",0,IF($Q45="MISSING IN EXCHANGE",$O45,IF($Q45="MISSING IN INTERNAL",$P45,ABS(N($O45)-N($P45)))))</f>
        <v/>
      </c>
    </row>
    <row r="46">
      <c r="A46" t="inlineStr">
        <is>
          <t>T100045</t>
        </is>
      </c>
      <c r="B46">
        <f>IFERROR(INDEX(InternalTrades!$D$2:$D$461,MATCH($A46,InternalTrades!$A$2:$A$461,0)),INDEX(ExchangeConfirms!$D$2:$D$460,MATCH($A46,ExchangeConfirms!$A$2:$A$460,0)))</f>
        <v/>
      </c>
      <c r="C46">
        <f>IFERROR(INDEX(InternalTrades!$E$2:$E$461,MATCH($A46,InternalTrades!$A$2:$A$461,0)),INDEX(ExchangeConfirms!$E$2:$E$460,MATCH($A46,ExchangeConfirms!$A$2:$A$460,0)))</f>
        <v/>
      </c>
      <c r="D46">
        <f>IFERROR(INDEX(InternalTrades!$K$2:$K$461,MATCH($A46,InternalTrades!$A$2:$A$461,0)),INDEX(ExchangeConfirms!$K$2:$K$460,MATCH($A46,ExchangeConfirms!$A$2:$A$460,0)))</f>
        <v/>
      </c>
      <c r="E46">
        <f>IF(COUNTIF(InternalTrades!$A$2:$A$461,$A46)&gt;0,1,0)</f>
        <v/>
      </c>
      <c r="F46">
        <f>IF(COUNTIF(ExchangeConfirms!$A$2:$A$460,$A46)&gt;0,1,0)</f>
        <v/>
      </c>
      <c r="G46">
        <f>IFERROR(INDEX(InternalTrades!$F$2:$F$461,MATCH($A46,InternalTrades!$A$2:$A$461,0)),"")</f>
        <v/>
      </c>
      <c r="H46">
        <f>IFERROR(INDEX(ExchangeConfirms!$F$2:$F$460,MATCH($A46,ExchangeConfirms!$A$2:$A$460,0)),"")</f>
        <v/>
      </c>
      <c r="I46">
        <f>IFERROR(INDEX(InternalTrades!$G$2:$G$461,MATCH($A46,InternalTrades!$A$2:$A$461,0)),"")</f>
        <v/>
      </c>
      <c r="J46">
        <f>IFERROR(INDEX(ExchangeConfirms!$G$2:$G$460,MATCH($A46,ExchangeConfirms!$A$2:$A$460,0)),"")</f>
        <v/>
      </c>
      <c r="K46">
        <f>IFERROR(INDEX(InternalTrades!$H$2:$H$461,MATCH($A46,InternalTrades!$A$2:$A$461,0)),"")</f>
        <v/>
      </c>
      <c r="L46">
        <f>IFERROR(INDEX(ExchangeConfirms!$H$2:$H$460,MATCH($A46,ExchangeConfirms!$A$2:$A$460,0)),"")</f>
        <v/>
      </c>
      <c r="M46">
        <f>IFERROR(INDEX(InternalTrades!$J$2:$J$461,MATCH($A46,InternalTrades!$A$2:$A$461,0)),"")</f>
        <v/>
      </c>
      <c r="N46">
        <f>IFERROR(INDEX(ExchangeConfirms!$J$2:$J$460,MATCH($A46,ExchangeConfirms!$A$2:$A$460,0)),"")</f>
        <v/>
      </c>
      <c r="O46">
        <f>IFERROR(INDEX(InternalTrades!$I$2:$I$461,MATCH($A46,InternalTrades!$A$2:$A$461,0)),"")</f>
        <v/>
      </c>
      <c r="P46">
        <f>IFERROR(INDEX(ExchangeConfirms!$I$2:$I$460,MATCH($A46,ExchangeConfirms!$A$2:$A$460,0)),"")</f>
        <v/>
      </c>
      <c r="Q46">
        <f>IF(AND($E46=1,$F46=0),"MISSING IN EXCHANGE",IF(AND($E46=0,$F46=1),"MISSING IN INTERNAL",IF($G46&lt;&gt;$H46,"SIDE BREAK",IF($I46&lt;&gt;$J46,"QTY BREAK",IF(ABS($K46-$L46)&gt;0.005,"PRICE BREAK",IF(ABS($M46-$N46)&gt;0.01,"FEE BREAK","MATCHED"))))))</f>
        <v/>
      </c>
      <c r="R46">
        <f>IF($Q46="MATCHED",0,1)</f>
        <v/>
      </c>
      <c r="S46">
        <f>IF($Q46="MATCHED",0,IF($Q46="MISSING IN EXCHANGE",$O46,IF($Q46="MISSING IN INTERNAL",$P46,ABS(N($O46)-N($P46)))))</f>
        <v/>
      </c>
    </row>
    <row r="47">
      <c r="A47" t="inlineStr">
        <is>
          <t>T100046</t>
        </is>
      </c>
      <c r="B47">
        <f>IFERROR(INDEX(InternalTrades!$D$2:$D$461,MATCH($A47,InternalTrades!$A$2:$A$461,0)),INDEX(ExchangeConfirms!$D$2:$D$460,MATCH($A47,ExchangeConfirms!$A$2:$A$460,0)))</f>
        <v/>
      </c>
      <c r="C47">
        <f>IFERROR(INDEX(InternalTrades!$E$2:$E$461,MATCH($A47,InternalTrades!$A$2:$A$461,0)),INDEX(ExchangeConfirms!$E$2:$E$460,MATCH($A47,ExchangeConfirms!$A$2:$A$460,0)))</f>
        <v/>
      </c>
      <c r="D47">
        <f>IFERROR(INDEX(InternalTrades!$K$2:$K$461,MATCH($A47,InternalTrades!$A$2:$A$461,0)),INDEX(ExchangeConfirms!$K$2:$K$460,MATCH($A47,ExchangeConfirms!$A$2:$A$460,0)))</f>
        <v/>
      </c>
      <c r="E47">
        <f>IF(COUNTIF(InternalTrades!$A$2:$A$461,$A47)&gt;0,1,0)</f>
        <v/>
      </c>
      <c r="F47">
        <f>IF(COUNTIF(ExchangeConfirms!$A$2:$A$460,$A47)&gt;0,1,0)</f>
        <v/>
      </c>
      <c r="G47">
        <f>IFERROR(INDEX(InternalTrades!$F$2:$F$461,MATCH($A47,InternalTrades!$A$2:$A$461,0)),"")</f>
        <v/>
      </c>
      <c r="H47">
        <f>IFERROR(INDEX(ExchangeConfirms!$F$2:$F$460,MATCH($A47,ExchangeConfirms!$A$2:$A$460,0)),"")</f>
        <v/>
      </c>
      <c r="I47">
        <f>IFERROR(INDEX(InternalTrades!$G$2:$G$461,MATCH($A47,InternalTrades!$A$2:$A$461,0)),"")</f>
        <v/>
      </c>
      <c r="J47">
        <f>IFERROR(INDEX(ExchangeConfirms!$G$2:$G$460,MATCH($A47,ExchangeConfirms!$A$2:$A$460,0)),"")</f>
        <v/>
      </c>
      <c r="K47">
        <f>IFERROR(INDEX(InternalTrades!$H$2:$H$461,MATCH($A47,InternalTrades!$A$2:$A$461,0)),"")</f>
        <v/>
      </c>
      <c r="L47">
        <f>IFERROR(INDEX(ExchangeConfirms!$H$2:$H$460,MATCH($A47,ExchangeConfirms!$A$2:$A$460,0)),"")</f>
        <v/>
      </c>
      <c r="M47">
        <f>IFERROR(INDEX(InternalTrades!$J$2:$J$461,MATCH($A47,InternalTrades!$A$2:$A$461,0)),"")</f>
        <v/>
      </c>
      <c r="N47">
        <f>IFERROR(INDEX(ExchangeConfirms!$J$2:$J$460,MATCH($A47,ExchangeConfirms!$A$2:$A$460,0)),"")</f>
        <v/>
      </c>
      <c r="O47">
        <f>IFERROR(INDEX(InternalTrades!$I$2:$I$461,MATCH($A47,InternalTrades!$A$2:$A$461,0)),"")</f>
        <v/>
      </c>
      <c r="P47">
        <f>IFERROR(INDEX(ExchangeConfirms!$I$2:$I$460,MATCH($A47,ExchangeConfirms!$A$2:$A$460,0)),"")</f>
        <v/>
      </c>
      <c r="Q47">
        <f>IF(AND($E47=1,$F47=0),"MISSING IN EXCHANGE",IF(AND($E47=0,$F47=1),"MISSING IN INTERNAL",IF($G47&lt;&gt;$H47,"SIDE BREAK",IF($I47&lt;&gt;$J47,"QTY BREAK",IF(ABS($K47-$L47)&gt;0.005,"PRICE BREAK",IF(ABS($M47-$N47)&gt;0.01,"FEE BREAK","MATCHED"))))))</f>
        <v/>
      </c>
      <c r="R47">
        <f>IF($Q47="MATCHED",0,1)</f>
        <v/>
      </c>
      <c r="S47">
        <f>IF($Q47="MATCHED",0,IF($Q47="MISSING IN EXCHANGE",$O47,IF($Q47="MISSING IN INTERNAL",$P47,ABS(N($O47)-N($P47)))))</f>
        <v/>
      </c>
    </row>
    <row r="48">
      <c r="A48" t="inlineStr">
        <is>
          <t>T100047</t>
        </is>
      </c>
      <c r="B48">
        <f>IFERROR(INDEX(InternalTrades!$D$2:$D$461,MATCH($A48,InternalTrades!$A$2:$A$461,0)),INDEX(ExchangeConfirms!$D$2:$D$460,MATCH($A48,ExchangeConfirms!$A$2:$A$460,0)))</f>
        <v/>
      </c>
      <c r="C48">
        <f>IFERROR(INDEX(InternalTrades!$E$2:$E$461,MATCH($A48,InternalTrades!$A$2:$A$461,0)),INDEX(ExchangeConfirms!$E$2:$E$460,MATCH($A48,ExchangeConfirms!$A$2:$A$460,0)))</f>
        <v/>
      </c>
      <c r="D48">
        <f>IFERROR(INDEX(InternalTrades!$K$2:$K$461,MATCH($A48,InternalTrades!$A$2:$A$461,0)),INDEX(ExchangeConfirms!$K$2:$K$460,MATCH($A48,ExchangeConfirms!$A$2:$A$460,0)))</f>
        <v/>
      </c>
      <c r="E48">
        <f>IF(COUNTIF(InternalTrades!$A$2:$A$461,$A48)&gt;0,1,0)</f>
        <v/>
      </c>
      <c r="F48">
        <f>IF(COUNTIF(ExchangeConfirms!$A$2:$A$460,$A48)&gt;0,1,0)</f>
        <v/>
      </c>
      <c r="G48">
        <f>IFERROR(INDEX(InternalTrades!$F$2:$F$461,MATCH($A48,InternalTrades!$A$2:$A$461,0)),"")</f>
        <v/>
      </c>
      <c r="H48">
        <f>IFERROR(INDEX(ExchangeConfirms!$F$2:$F$460,MATCH($A48,ExchangeConfirms!$A$2:$A$460,0)),"")</f>
        <v/>
      </c>
      <c r="I48">
        <f>IFERROR(INDEX(InternalTrades!$G$2:$G$461,MATCH($A48,InternalTrades!$A$2:$A$461,0)),"")</f>
        <v/>
      </c>
      <c r="J48">
        <f>IFERROR(INDEX(ExchangeConfirms!$G$2:$G$460,MATCH($A48,ExchangeConfirms!$A$2:$A$460,0)),"")</f>
        <v/>
      </c>
      <c r="K48">
        <f>IFERROR(INDEX(InternalTrades!$H$2:$H$461,MATCH($A48,InternalTrades!$A$2:$A$461,0)),"")</f>
        <v/>
      </c>
      <c r="L48">
        <f>IFERROR(INDEX(ExchangeConfirms!$H$2:$H$460,MATCH($A48,ExchangeConfirms!$A$2:$A$460,0)),"")</f>
        <v/>
      </c>
      <c r="M48">
        <f>IFERROR(INDEX(InternalTrades!$J$2:$J$461,MATCH($A48,InternalTrades!$A$2:$A$461,0)),"")</f>
        <v/>
      </c>
      <c r="N48">
        <f>IFERROR(INDEX(ExchangeConfirms!$J$2:$J$460,MATCH($A48,ExchangeConfirms!$A$2:$A$460,0)),"")</f>
        <v/>
      </c>
      <c r="O48">
        <f>IFERROR(INDEX(InternalTrades!$I$2:$I$461,MATCH($A48,InternalTrades!$A$2:$A$461,0)),"")</f>
        <v/>
      </c>
      <c r="P48">
        <f>IFERROR(INDEX(ExchangeConfirms!$I$2:$I$460,MATCH($A48,ExchangeConfirms!$A$2:$A$460,0)),"")</f>
        <v/>
      </c>
      <c r="Q48">
        <f>IF(AND($E48=1,$F48=0),"MISSING IN EXCHANGE",IF(AND($E48=0,$F48=1),"MISSING IN INTERNAL",IF($G48&lt;&gt;$H48,"SIDE BREAK",IF($I48&lt;&gt;$J48,"QTY BREAK",IF(ABS($K48-$L48)&gt;0.005,"PRICE BREAK",IF(ABS($M48-$N48)&gt;0.01,"FEE BREAK","MATCHED"))))))</f>
        <v/>
      </c>
      <c r="R48">
        <f>IF($Q48="MATCHED",0,1)</f>
        <v/>
      </c>
      <c r="S48">
        <f>IF($Q48="MATCHED",0,IF($Q48="MISSING IN EXCHANGE",$O48,IF($Q48="MISSING IN INTERNAL",$P48,ABS(N($O48)-N($P48)))))</f>
        <v/>
      </c>
    </row>
    <row r="49">
      <c r="A49" t="inlineStr">
        <is>
          <t>T100048</t>
        </is>
      </c>
      <c r="B49">
        <f>IFERROR(INDEX(InternalTrades!$D$2:$D$461,MATCH($A49,InternalTrades!$A$2:$A$461,0)),INDEX(ExchangeConfirms!$D$2:$D$460,MATCH($A49,ExchangeConfirms!$A$2:$A$460,0)))</f>
        <v/>
      </c>
      <c r="C49">
        <f>IFERROR(INDEX(InternalTrades!$E$2:$E$461,MATCH($A49,InternalTrades!$A$2:$A$461,0)),INDEX(ExchangeConfirms!$E$2:$E$460,MATCH($A49,ExchangeConfirms!$A$2:$A$460,0)))</f>
        <v/>
      </c>
      <c r="D49">
        <f>IFERROR(INDEX(InternalTrades!$K$2:$K$461,MATCH($A49,InternalTrades!$A$2:$A$461,0)),INDEX(ExchangeConfirms!$K$2:$K$460,MATCH($A49,ExchangeConfirms!$A$2:$A$460,0)))</f>
        <v/>
      </c>
      <c r="E49">
        <f>IF(COUNTIF(InternalTrades!$A$2:$A$461,$A49)&gt;0,1,0)</f>
        <v/>
      </c>
      <c r="F49">
        <f>IF(COUNTIF(ExchangeConfirms!$A$2:$A$460,$A49)&gt;0,1,0)</f>
        <v/>
      </c>
      <c r="G49">
        <f>IFERROR(INDEX(InternalTrades!$F$2:$F$461,MATCH($A49,InternalTrades!$A$2:$A$461,0)),"")</f>
        <v/>
      </c>
      <c r="H49">
        <f>IFERROR(INDEX(ExchangeConfirms!$F$2:$F$460,MATCH($A49,ExchangeConfirms!$A$2:$A$460,0)),"")</f>
        <v/>
      </c>
      <c r="I49">
        <f>IFERROR(INDEX(InternalTrades!$G$2:$G$461,MATCH($A49,InternalTrades!$A$2:$A$461,0)),"")</f>
        <v/>
      </c>
      <c r="J49">
        <f>IFERROR(INDEX(ExchangeConfirms!$G$2:$G$460,MATCH($A49,ExchangeConfirms!$A$2:$A$460,0)),"")</f>
        <v/>
      </c>
      <c r="K49">
        <f>IFERROR(INDEX(InternalTrades!$H$2:$H$461,MATCH($A49,InternalTrades!$A$2:$A$461,0)),"")</f>
        <v/>
      </c>
      <c r="L49">
        <f>IFERROR(INDEX(ExchangeConfirms!$H$2:$H$460,MATCH($A49,ExchangeConfirms!$A$2:$A$460,0)),"")</f>
        <v/>
      </c>
      <c r="M49">
        <f>IFERROR(INDEX(InternalTrades!$J$2:$J$461,MATCH($A49,InternalTrades!$A$2:$A$461,0)),"")</f>
        <v/>
      </c>
      <c r="N49">
        <f>IFERROR(INDEX(ExchangeConfirms!$J$2:$J$460,MATCH($A49,ExchangeConfirms!$A$2:$A$460,0)),"")</f>
        <v/>
      </c>
      <c r="O49">
        <f>IFERROR(INDEX(InternalTrades!$I$2:$I$461,MATCH($A49,InternalTrades!$A$2:$A$461,0)),"")</f>
        <v/>
      </c>
      <c r="P49">
        <f>IFERROR(INDEX(ExchangeConfirms!$I$2:$I$460,MATCH($A49,ExchangeConfirms!$A$2:$A$460,0)),"")</f>
        <v/>
      </c>
      <c r="Q49">
        <f>IF(AND($E49=1,$F49=0),"MISSING IN EXCHANGE",IF(AND($E49=0,$F49=1),"MISSING IN INTERNAL",IF($G49&lt;&gt;$H49,"SIDE BREAK",IF($I49&lt;&gt;$J49,"QTY BREAK",IF(ABS($K49-$L49)&gt;0.005,"PRICE BREAK",IF(ABS($M49-$N49)&gt;0.01,"FEE BREAK","MATCHED"))))))</f>
        <v/>
      </c>
      <c r="R49">
        <f>IF($Q49="MATCHED",0,1)</f>
        <v/>
      </c>
      <c r="S49">
        <f>IF($Q49="MATCHED",0,IF($Q49="MISSING IN EXCHANGE",$O49,IF($Q49="MISSING IN INTERNAL",$P49,ABS(N($O49)-N($P49)))))</f>
        <v/>
      </c>
    </row>
    <row r="50">
      <c r="A50" t="inlineStr">
        <is>
          <t>T100049</t>
        </is>
      </c>
      <c r="B50">
        <f>IFERROR(INDEX(InternalTrades!$D$2:$D$461,MATCH($A50,InternalTrades!$A$2:$A$461,0)),INDEX(ExchangeConfirms!$D$2:$D$460,MATCH($A50,ExchangeConfirms!$A$2:$A$460,0)))</f>
        <v/>
      </c>
      <c r="C50">
        <f>IFERROR(INDEX(InternalTrades!$E$2:$E$461,MATCH($A50,InternalTrades!$A$2:$A$461,0)),INDEX(ExchangeConfirms!$E$2:$E$460,MATCH($A50,ExchangeConfirms!$A$2:$A$460,0)))</f>
        <v/>
      </c>
      <c r="D50">
        <f>IFERROR(INDEX(InternalTrades!$K$2:$K$461,MATCH($A50,InternalTrades!$A$2:$A$461,0)),INDEX(ExchangeConfirms!$K$2:$K$460,MATCH($A50,ExchangeConfirms!$A$2:$A$460,0)))</f>
        <v/>
      </c>
      <c r="E50">
        <f>IF(COUNTIF(InternalTrades!$A$2:$A$461,$A50)&gt;0,1,0)</f>
        <v/>
      </c>
      <c r="F50">
        <f>IF(COUNTIF(ExchangeConfirms!$A$2:$A$460,$A50)&gt;0,1,0)</f>
        <v/>
      </c>
      <c r="G50">
        <f>IFERROR(INDEX(InternalTrades!$F$2:$F$461,MATCH($A50,InternalTrades!$A$2:$A$461,0)),"")</f>
        <v/>
      </c>
      <c r="H50">
        <f>IFERROR(INDEX(ExchangeConfirms!$F$2:$F$460,MATCH($A50,ExchangeConfirms!$A$2:$A$460,0)),"")</f>
        <v/>
      </c>
      <c r="I50">
        <f>IFERROR(INDEX(InternalTrades!$G$2:$G$461,MATCH($A50,InternalTrades!$A$2:$A$461,0)),"")</f>
        <v/>
      </c>
      <c r="J50">
        <f>IFERROR(INDEX(ExchangeConfirms!$G$2:$G$460,MATCH($A50,ExchangeConfirms!$A$2:$A$460,0)),"")</f>
        <v/>
      </c>
      <c r="K50">
        <f>IFERROR(INDEX(InternalTrades!$H$2:$H$461,MATCH($A50,InternalTrades!$A$2:$A$461,0)),"")</f>
        <v/>
      </c>
      <c r="L50">
        <f>IFERROR(INDEX(ExchangeConfirms!$H$2:$H$460,MATCH($A50,ExchangeConfirms!$A$2:$A$460,0)),"")</f>
        <v/>
      </c>
      <c r="M50">
        <f>IFERROR(INDEX(InternalTrades!$J$2:$J$461,MATCH($A50,InternalTrades!$A$2:$A$461,0)),"")</f>
        <v/>
      </c>
      <c r="N50">
        <f>IFERROR(INDEX(ExchangeConfirms!$J$2:$J$460,MATCH($A50,ExchangeConfirms!$A$2:$A$460,0)),"")</f>
        <v/>
      </c>
      <c r="O50">
        <f>IFERROR(INDEX(InternalTrades!$I$2:$I$461,MATCH($A50,InternalTrades!$A$2:$A$461,0)),"")</f>
        <v/>
      </c>
      <c r="P50">
        <f>IFERROR(INDEX(ExchangeConfirms!$I$2:$I$460,MATCH($A50,ExchangeConfirms!$A$2:$A$460,0)),"")</f>
        <v/>
      </c>
      <c r="Q50">
        <f>IF(AND($E50=1,$F50=0),"MISSING IN EXCHANGE",IF(AND($E50=0,$F50=1),"MISSING IN INTERNAL",IF($G50&lt;&gt;$H50,"SIDE BREAK",IF($I50&lt;&gt;$J50,"QTY BREAK",IF(ABS($K50-$L50)&gt;0.005,"PRICE BREAK",IF(ABS($M50-$N50)&gt;0.01,"FEE BREAK","MATCHED"))))))</f>
        <v/>
      </c>
      <c r="R50">
        <f>IF($Q50="MATCHED",0,1)</f>
        <v/>
      </c>
      <c r="S50">
        <f>IF($Q50="MATCHED",0,IF($Q50="MISSING IN EXCHANGE",$O50,IF($Q50="MISSING IN INTERNAL",$P50,ABS(N($O50)-N($P50)))))</f>
        <v/>
      </c>
    </row>
    <row r="51">
      <c r="A51" t="inlineStr">
        <is>
          <t>T100050</t>
        </is>
      </c>
      <c r="B51">
        <f>IFERROR(INDEX(InternalTrades!$D$2:$D$461,MATCH($A51,InternalTrades!$A$2:$A$461,0)),INDEX(ExchangeConfirms!$D$2:$D$460,MATCH($A51,ExchangeConfirms!$A$2:$A$460,0)))</f>
        <v/>
      </c>
      <c r="C51">
        <f>IFERROR(INDEX(InternalTrades!$E$2:$E$461,MATCH($A51,InternalTrades!$A$2:$A$461,0)),INDEX(ExchangeConfirms!$E$2:$E$460,MATCH($A51,ExchangeConfirms!$A$2:$A$460,0)))</f>
        <v/>
      </c>
      <c r="D51">
        <f>IFERROR(INDEX(InternalTrades!$K$2:$K$461,MATCH($A51,InternalTrades!$A$2:$A$461,0)),INDEX(ExchangeConfirms!$K$2:$K$460,MATCH($A51,ExchangeConfirms!$A$2:$A$460,0)))</f>
        <v/>
      </c>
      <c r="E51">
        <f>IF(COUNTIF(InternalTrades!$A$2:$A$461,$A51)&gt;0,1,0)</f>
        <v/>
      </c>
      <c r="F51">
        <f>IF(COUNTIF(ExchangeConfirms!$A$2:$A$460,$A51)&gt;0,1,0)</f>
        <v/>
      </c>
      <c r="G51">
        <f>IFERROR(INDEX(InternalTrades!$F$2:$F$461,MATCH($A51,InternalTrades!$A$2:$A$461,0)),"")</f>
        <v/>
      </c>
      <c r="H51">
        <f>IFERROR(INDEX(ExchangeConfirms!$F$2:$F$460,MATCH($A51,ExchangeConfirms!$A$2:$A$460,0)),"")</f>
        <v/>
      </c>
      <c r="I51">
        <f>IFERROR(INDEX(InternalTrades!$G$2:$G$461,MATCH($A51,InternalTrades!$A$2:$A$461,0)),"")</f>
        <v/>
      </c>
      <c r="J51">
        <f>IFERROR(INDEX(ExchangeConfirms!$G$2:$G$460,MATCH($A51,ExchangeConfirms!$A$2:$A$460,0)),"")</f>
        <v/>
      </c>
      <c r="K51">
        <f>IFERROR(INDEX(InternalTrades!$H$2:$H$461,MATCH($A51,InternalTrades!$A$2:$A$461,0)),"")</f>
        <v/>
      </c>
      <c r="L51">
        <f>IFERROR(INDEX(ExchangeConfirms!$H$2:$H$460,MATCH($A51,ExchangeConfirms!$A$2:$A$460,0)),"")</f>
        <v/>
      </c>
      <c r="M51">
        <f>IFERROR(INDEX(InternalTrades!$J$2:$J$461,MATCH($A51,InternalTrades!$A$2:$A$461,0)),"")</f>
        <v/>
      </c>
      <c r="N51">
        <f>IFERROR(INDEX(ExchangeConfirms!$J$2:$J$460,MATCH($A51,ExchangeConfirms!$A$2:$A$460,0)),"")</f>
        <v/>
      </c>
      <c r="O51">
        <f>IFERROR(INDEX(InternalTrades!$I$2:$I$461,MATCH($A51,InternalTrades!$A$2:$A$461,0)),"")</f>
        <v/>
      </c>
      <c r="P51">
        <f>IFERROR(INDEX(ExchangeConfirms!$I$2:$I$460,MATCH($A51,ExchangeConfirms!$A$2:$A$460,0)),"")</f>
        <v/>
      </c>
      <c r="Q51">
        <f>IF(AND($E51=1,$F51=0),"MISSING IN EXCHANGE",IF(AND($E51=0,$F51=1),"MISSING IN INTERNAL",IF($G51&lt;&gt;$H51,"SIDE BREAK",IF($I51&lt;&gt;$J51,"QTY BREAK",IF(ABS($K51-$L51)&gt;0.005,"PRICE BREAK",IF(ABS($M51-$N51)&gt;0.01,"FEE BREAK","MATCHED"))))))</f>
        <v/>
      </c>
      <c r="R51">
        <f>IF($Q51="MATCHED",0,1)</f>
        <v/>
      </c>
      <c r="S51">
        <f>IF($Q51="MATCHED",0,IF($Q51="MISSING IN EXCHANGE",$O51,IF($Q51="MISSING IN INTERNAL",$P51,ABS(N($O51)-N($P51)))))</f>
        <v/>
      </c>
    </row>
    <row r="52">
      <c r="A52" t="inlineStr">
        <is>
          <t>T100051</t>
        </is>
      </c>
      <c r="B52">
        <f>IFERROR(INDEX(InternalTrades!$D$2:$D$461,MATCH($A52,InternalTrades!$A$2:$A$461,0)),INDEX(ExchangeConfirms!$D$2:$D$460,MATCH($A52,ExchangeConfirms!$A$2:$A$460,0)))</f>
        <v/>
      </c>
      <c r="C52">
        <f>IFERROR(INDEX(InternalTrades!$E$2:$E$461,MATCH($A52,InternalTrades!$A$2:$A$461,0)),INDEX(ExchangeConfirms!$E$2:$E$460,MATCH($A52,ExchangeConfirms!$A$2:$A$460,0)))</f>
        <v/>
      </c>
      <c r="D52">
        <f>IFERROR(INDEX(InternalTrades!$K$2:$K$461,MATCH($A52,InternalTrades!$A$2:$A$461,0)),INDEX(ExchangeConfirms!$K$2:$K$460,MATCH($A52,ExchangeConfirms!$A$2:$A$460,0)))</f>
        <v/>
      </c>
      <c r="E52">
        <f>IF(COUNTIF(InternalTrades!$A$2:$A$461,$A52)&gt;0,1,0)</f>
        <v/>
      </c>
      <c r="F52">
        <f>IF(COUNTIF(ExchangeConfirms!$A$2:$A$460,$A52)&gt;0,1,0)</f>
        <v/>
      </c>
      <c r="G52">
        <f>IFERROR(INDEX(InternalTrades!$F$2:$F$461,MATCH($A52,InternalTrades!$A$2:$A$461,0)),"")</f>
        <v/>
      </c>
      <c r="H52">
        <f>IFERROR(INDEX(ExchangeConfirms!$F$2:$F$460,MATCH($A52,ExchangeConfirms!$A$2:$A$460,0)),"")</f>
        <v/>
      </c>
      <c r="I52">
        <f>IFERROR(INDEX(InternalTrades!$G$2:$G$461,MATCH($A52,InternalTrades!$A$2:$A$461,0)),"")</f>
        <v/>
      </c>
      <c r="J52">
        <f>IFERROR(INDEX(ExchangeConfirms!$G$2:$G$460,MATCH($A52,ExchangeConfirms!$A$2:$A$460,0)),"")</f>
        <v/>
      </c>
      <c r="K52">
        <f>IFERROR(INDEX(InternalTrades!$H$2:$H$461,MATCH($A52,InternalTrades!$A$2:$A$461,0)),"")</f>
        <v/>
      </c>
      <c r="L52">
        <f>IFERROR(INDEX(ExchangeConfirms!$H$2:$H$460,MATCH($A52,ExchangeConfirms!$A$2:$A$460,0)),"")</f>
        <v/>
      </c>
      <c r="M52">
        <f>IFERROR(INDEX(InternalTrades!$J$2:$J$461,MATCH($A52,InternalTrades!$A$2:$A$461,0)),"")</f>
        <v/>
      </c>
      <c r="N52">
        <f>IFERROR(INDEX(ExchangeConfirms!$J$2:$J$460,MATCH($A52,ExchangeConfirms!$A$2:$A$460,0)),"")</f>
        <v/>
      </c>
      <c r="O52">
        <f>IFERROR(INDEX(InternalTrades!$I$2:$I$461,MATCH($A52,InternalTrades!$A$2:$A$461,0)),"")</f>
        <v/>
      </c>
      <c r="P52">
        <f>IFERROR(INDEX(ExchangeConfirms!$I$2:$I$460,MATCH($A52,ExchangeConfirms!$A$2:$A$460,0)),"")</f>
        <v/>
      </c>
      <c r="Q52">
        <f>IF(AND($E52=1,$F52=0),"MISSING IN EXCHANGE",IF(AND($E52=0,$F52=1),"MISSING IN INTERNAL",IF($G52&lt;&gt;$H52,"SIDE BREAK",IF($I52&lt;&gt;$J52,"QTY BREAK",IF(ABS($K52-$L52)&gt;0.005,"PRICE BREAK",IF(ABS($M52-$N52)&gt;0.01,"FEE BREAK","MATCHED"))))))</f>
        <v/>
      </c>
      <c r="R52">
        <f>IF($Q52="MATCHED",0,1)</f>
        <v/>
      </c>
      <c r="S52">
        <f>IF($Q52="MATCHED",0,IF($Q52="MISSING IN EXCHANGE",$O52,IF($Q52="MISSING IN INTERNAL",$P52,ABS(N($O52)-N($P52)))))</f>
        <v/>
      </c>
    </row>
    <row r="53">
      <c r="A53" t="inlineStr">
        <is>
          <t>T100052</t>
        </is>
      </c>
      <c r="B53">
        <f>IFERROR(INDEX(InternalTrades!$D$2:$D$461,MATCH($A53,InternalTrades!$A$2:$A$461,0)),INDEX(ExchangeConfirms!$D$2:$D$460,MATCH($A53,ExchangeConfirms!$A$2:$A$460,0)))</f>
        <v/>
      </c>
      <c r="C53">
        <f>IFERROR(INDEX(InternalTrades!$E$2:$E$461,MATCH($A53,InternalTrades!$A$2:$A$461,0)),INDEX(ExchangeConfirms!$E$2:$E$460,MATCH($A53,ExchangeConfirms!$A$2:$A$460,0)))</f>
        <v/>
      </c>
      <c r="D53">
        <f>IFERROR(INDEX(InternalTrades!$K$2:$K$461,MATCH($A53,InternalTrades!$A$2:$A$461,0)),INDEX(ExchangeConfirms!$K$2:$K$460,MATCH($A53,ExchangeConfirms!$A$2:$A$460,0)))</f>
        <v/>
      </c>
      <c r="E53">
        <f>IF(COUNTIF(InternalTrades!$A$2:$A$461,$A53)&gt;0,1,0)</f>
        <v/>
      </c>
      <c r="F53">
        <f>IF(COUNTIF(ExchangeConfirms!$A$2:$A$460,$A53)&gt;0,1,0)</f>
        <v/>
      </c>
      <c r="G53">
        <f>IFERROR(INDEX(InternalTrades!$F$2:$F$461,MATCH($A53,InternalTrades!$A$2:$A$461,0)),"")</f>
        <v/>
      </c>
      <c r="H53">
        <f>IFERROR(INDEX(ExchangeConfirms!$F$2:$F$460,MATCH($A53,ExchangeConfirms!$A$2:$A$460,0)),"")</f>
        <v/>
      </c>
      <c r="I53">
        <f>IFERROR(INDEX(InternalTrades!$G$2:$G$461,MATCH($A53,InternalTrades!$A$2:$A$461,0)),"")</f>
        <v/>
      </c>
      <c r="J53">
        <f>IFERROR(INDEX(ExchangeConfirms!$G$2:$G$460,MATCH($A53,ExchangeConfirms!$A$2:$A$460,0)),"")</f>
        <v/>
      </c>
      <c r="K53">
        <f>IFERROR(INDEX(InternalTrades!$H$2:$H$461,MATCH($A53,InternalTrades!$A$2:$A$461,0)),"")</f>
        <v/>
      </c>
      <c r="L53">
        <f>IFERROR(INDEX(ExchangeConfirms!$H$2:$H$460,MATCH($A53,ExchangeConfirms!$A$2:$A$460,0)),"")</f>
        <v/>
      </c>
      <c r="M53">
        <f>IFERROR(INDEX(InternalTrades!$J$2:$J$461,MATCH($A53,InternalTrades!$A$2:$A$461,0)),"")</f>
        <v/>
      </c>
      <c r="N53">
        <f>IFERROR(INDEX(ExchangeConfirms!$J$2:$J$460,MATCH($A53,ExchangeConfirms!$A$2:$A$460,0)),"")</f>
        <v/>
      </c>
      <c r="O53">
        <f>IFERROR(INDEX(InternalTrades!$I$2:$I$461,MATCH($A53,InternalTrades!$A$2:$A$461,0)),"")</f>
        <v/>
      </c>
      <c r="P53">
        <f>IFERROR(INDEX(ExchangeConfirms!$I$2:$I$460,MATCH($A53,ExchangeConfirms!$A$2:$A$460,0)),"")</f>
        <v/>
      </c>
      <c r="Q53">
        <f>IF(AND($E53=1,$F53=0),"MISSING IN EXCHANGE",IF(AND($E53=0,$F53=1),"MISSING IN INTERNAL",IF($G53&lt;&gt;$H53,"SIDE BREAK",IF($I53&lt;&gt;$J53,"QTY BREAK",IF(ABS($K53-$L53)&gt;0.005,"PRICE BREAK",IF(ABS($M53-$N53)&gt;0.01,"FEE BREAK","MATCHED"))))))</f>
        <v/>
      </c>
      <c r="R53">
        <f>IF($Q53="MATCHED",0,1)</f>
        <v/>
      </c>
      <c r="S53">
        <f>IF($Q53="MATCHED",0,IF($Q53="MISSING IN EXCHANGE",$O53,IF($Q53="MISSING IN INTERNAL",$P53,ABS(N($O53)-N($P53)))))</f>
        <v/>
      </c>
    </row>
    <row r="54">
      <c r="A54" t="inlineStr">
        <is>
          <t>T100053</t>
        </is>
      </c>
      <c r="B54">
        <f>IFERROR(INDEX(InternalTrades!$D$2:$D$461,MATCH($A54,InternalTrades!$A$2:$A$461,0)),INDEX(ExchangeConfirms!$D$2:$D$460,MATCH($A54,ExchangeConfirms!$A$2:$A$460,0)))</f>
        <v/>
      </c>
      <c r="C54">
        <f>IFERROR(INDEX(InternalTrades!$E$2:$E$461,MATCH($A54,InternalTrades!$A$2:$A$461,0)),INDEX(ExchangeConfirms!$E$2:$E$460,MATCH($A54,ExchangeConfirms!$A$2:$A$460,0)))</f>
        <v/>
      </c>
      <c r="D54">
        <f>IFERROR(INDEX(InternalTrades!$K$2:$K$461,MATCH($A54,InternalTrades!$A$2:$A$461,0)),INDEX(ExchangeConfirms!$K$2:$K$460,MATCH($A54,ExchangeConfirms!$A$2:$A$460,0)))</f>
        <v/>
      </c>
      <c r="E54">
        <f>IF(COUNTIF(InternalTrades!$A$2:$A$461,$A54)&gt;0,1,0)</f>
        <v/>
      </c>
      <c r="F54">
        <f>IF(COUNTIF(ExchangeConfirms!$A$2:$A$460,$A54)&gt;0,1,0)</f>
        <v/>
      </c>
      <c r="G54">
        <f>IFERROR(INDEX(InternalTrades!$F$2:$F$461,MATCH($A54,InternalTrades!$A$2:$A$461,0)),"")</f>
        <v/>
      </c>
      <c r="H54">
        <f>IFERROR(INDEX(ExchangeConfirms!$F$2:$F$460,MATCH($A54,ExchangeConfirms!$A$2:$A$460,0)),"")</f>
        <v/>
      </c>
      <c r="I54">
        <f>IFERROR(INDEX(InternalTrades!$G$2:$G$461,MATCH($A54,InternalTrades!$A$2:$A$461,0)),"")</f>
        <v/>
      </c>
      <c r="J54">
        <f>IFERROR(INDEX(ExchangeConfirms!$G$2:$G$460,MATCH($A54,ExchangeConfirms!$A$2:$A$460,0)),"")</f>
        <v/>
      </c>
      <c r="K54">
        <f>IFERROR(INDEX(InternalTrades!$H$2:$H$461,MATCH($A54,InternalTrades!$A$2:$A$461,0)),"")</f>
        <v/>
      </c>
      <c r="L54">
        <f>IFERROR(INDEX(ExchangeConfirms!$H$2:$H$460,MATCH($A54,ExchangeConfirms!$A$2:$A$460,0)),"")</f>
        <v/>
      </c>
      <c r="M54">
        <f>IFERROR(INDEX(InternalTrades!$J$2:$J$461,MATCH($A54,InternalTrades!$A$2:$A$461,0)),"")</f>
        <v/>
      </c>
      <c r="N54">
        <f>IFERROR(INDEX(ExchangeConfirms!$J$2:$J$460,MATCH($A54,ExchangeConfirms!$A$2:$A$460,0)),"")</f>
        <v/>
      </c>
      <c r="O54">
        <f>IFERROR(INDEX(InternalTrades!$I$2:$I$461,MATCH($A54,InternalTrades!$A$2:$A$461,0)),"")</f>
        <v/>
      </c>
      <c r="P54">
        <f>IFERROR(INDEX(ExchangeConfirms!$I$2:$I$460,MATCH($A54,ExchangeConfirms!$A$2:$A$460,0)),"")</f>
        <v/>
      </c>
      <c r="Q54">
        <f>IF(AND($E54=1,$F54=0),"MISSING IN EXCHANGE",IF(AND($E54=0,$F54=1),"MISSING IN INTERNAL",IF($G54&lt;&gt;$H54,"SIDE BREAK",IF($I54&lt;&gt;$J54,"QTY BREAK",IF(ABS($K54-$L54)&gt;0.005,"PRICE BREAK",IF(ABS($M54-$N54)&gt;0.01,"FEE BREAK","MATCHED"))))))</f>
        <v/>
      </c>
      <c r="R54">
        <f>IF($Q54="MATCHED",0,1)</f>
        <v/>
      </c>
      <c r="S54">
        <f>IF($Q54="MATCHED",0,IF($Q54="MISSING IN EXCHANGE",$O54,IF($Q54="MISSING IN INTERNAL",$P54,ABS(N($O54)-N($P54)))))</f>
        <v/>
      </c>
    </row>
    <row r="55">
      <c r="A55" t="inlineStr">
        <is>
          <t>T100054</t>
        </is>
      </c>
      <c r="B55">
        <f>IFERROR(INDEX(InternalTrades!$D$2:$D$461,MATCH($A55,InternalTrades!$A$2:$A$461,0)),INDEX(ExchangeConfirms!$D$2:$D$460,MATCH($A55,ExchangeConfirms!$A$2:$A$460,0)))</f>
        <v/>
      </c>
      <c r="C55">
        <f>IFERROR(INDEX(InternalTrades!$E$2:$E$461,MATCH($A55,InternalTrades!$A$2:$A$461,0)),INDEX(ExchangeConfirms!$E$2:$E$460,MATCH($A55,ExchangeConfirms!$A$2:$A$460,0)))</f>
        <v/>
      </c>
      <c r="D55">
        <f>IFERROR(INDEX(InternalTrades!$K$2:$K$461,MATCH($A55,InternalTrades!$A$2:$A$461,0)),INDEX(ExchangeConfirms!$K$2:$K$460,MATCH($A55,ExchangeConfirms!$A$2:$A$460,0)))</f>
        <v/>
      </c>
      <c r="E55">
        <f>IF(COUNTIF(InternalTrades!$A$2:$A$461,$A55)&gt;0,1,0)</f>
        <v/>
      </c>
      <c r="F55">
        <f>IF(COUNTIF(ExchangeConfirms!$A$2:$A$460,$A55)&gt;0,1,0)</f>
        <v/>
      </c>
      <c r="G55">
        <f>IFERROR(INDEX(InternalTrades!$F$2:$F$461,MATCH($A55,InternalTrades!$A$2:$A$461,0)),"")</f>
        <v/>
      </c>
      <c r="H55">
        <f>IFERROR(INDEX(ExchangeConfirms!$F$2:$F$460,MATCH($A55,ExchangeConfirms!$A$2:$A$460,0)),"")</f>
        <v/>
      </c>
      <c r="I55">
        <f>IFERROR(INDEX(InternalTrades!$G$2:$G$461,MATCH($A55,InternalTrades!$A$2:$A$461,0)),"")</f>
        <v/>
      </c>
      <c r="J55">
        <f>IFERROR(INDEX(ExchangeConfirms!$G$2:$G$460,MATCH($A55,ExchangeConfirms!$A$2:$A$460,0)),"")</f>
        <v/>
      </c>
      <c r="K55">
        <f>IFERROR(INDEX(InternalTrades!$H$2:$H$461,MATCH($A55,InternalTrades!$A$2:$A$461,0)),"")</f>
        <v/>
      </c>
      <c r="L55">
        <f>IFERROR(INDEX(ExchangeConfirms!$H$2:$H$460,MATCH($A55,ExchangeConfirms!$A$2:$A$460,0)),"")</f>
        <v/>
      </c>
      <c r="M55">
        <f>IFERROR(INDEX(InternalTrades!$J$2:$J$461,MATCH($A55,InternalTrades!$A$2:$A$461,0)),"")</f>
        <v/>
      </c>
      <c r="N55">
        <f>IFERROR(INDEX(ExchangeConfirms!$J$2:$J$460,MATCH($A55,ExchangeConfirms!$A$2:$A$460,0)),"")</f>
        <v/>
      </c>
      <c r="O55">
        <f>IFERROR(INDEX(InternalTrades!$I$2:$I$461,MATCH($A55,InternalTrades!$A$2:$A$461,0)),"")</f>
        <v/>
      </c>
      <c r="P55">
        <f>IFERROR(INDEX(ExchangeConfirms!$I$2:$I$460,MATCH($A55,ExchangeConfirms!$A$2:$A$460,0)),"")</f>
        <v/>
      </c>
      <c r="Q55">
        <f>IF(AND($E55=1,$F55=0),"MISSING IN EXCHANGE",IF(AND($E55=0,$F55=1),"MISSING IN INTERNAL",IF($G55&lt;&gt;$H55,"SIDE BREAK",IF($I55&lt;&gt;$J55,"QTY BREAK",IF(ABS($K55-$L55)&gt;0.005,"PRICE BREAK",IF(ABS($M55-$N55)&gt;0.01,"FEE BREAK","MATCHED"))))))</f>
        <v/>
      </c>
      <c r="R55">
        <f>IF($Q55="MATCHED",0,1)</f>
        <v/>
      </c>
      <c r="S55">
        <f>IF($Q55="MATCHED",0,IF($Q55="MISSING IN EXCHANGE",$O55,IF($Q55="MISSING IN INTERNAL",$P55,ABS(N($O55)-N($P55)))))</f>
        <v/>
      </c>
    </row>
    <row r="56">
      <c r="A56" t="inlineStr">
        <is>
          <t>T100055</t>
        </is>
      </c>
      <c r="B56">
        <f>IFERROR(INDEX(InternalTrades!$D$2:$D$461,MATCH($A56,InternalTrades!$A$2:$A$461,0)),INDEX(ExchangeConfirms!$D$2:$D$460,MATCH($A56,ExchangeConfirms!$A$2:$A$460,0)))</f>
        <v/>
      </c>
      <c r="C56">
        <f>IFERROR(INDEX(InternalTrades!$E$2:$E$461,MATCH($A56,InternalTrades!$A$2:$A$461,0)),INDEX(ExchangeConfirms!$E$2:$E$460,MATCH($A56,ExchangeConfirms!$A$2:$A$460,0)))</f>
        <v/>
      </c>
      <c r="D56">
        <f>IFERROR(INDEX(InternalTrades!$K$2:$K$461,MATCH($A56,InternalTrades!$A$2:$A$461,0)),INDEX(ExchangeConfirms!$K$2:$K$460,MATCH($A56,ExchangeConfirms!$A$2:$A$460,0)))</f>
        <v/>
      </c>
      <c r="E56">
        <f>IF(COUNTIF(InternalTrades!$A$2:$A$461,$A56)&gt;0,1,0)</f>
        <v/>
      </c>
      <c r="F56">
        <f>IF(COUNTIF(ExchangeConfirms!$A$2:$A$460,$A56)&gt;0,1,0)</f>
        <v/>
      </c>
      <c r="G56">
        <f>IFERROR(INDEX(InternalTrades!$F$2:$F$461,MATCH($A56,InternalTrades!$A$2:$A$461,0)),"")</f>
        <v/>
      </c>
      <c r="H56">
        <f>IFERROR(INDEX(ExchangeConfirms!$F$2:$F$460,MATCH($A56,ExchangeConfirms!$A$2:$A$460,0)),"")</f>
        <v/>
      </c>
      <c r="I56">
        <f>IFERROR(INDEX(InternalTrades!$G$2:$G$461,MATCH($A56,InternalTrades!$A$2:$A$461,0)),"")</f>
        <v/>
      </c>
      <c r="J56">
        <f>IFERROR(INDEX(ExchangeConfirms!$G$2:$G$460,MATCH($A56,ExchangeConfirms!$A$2:$A$460,0)),"")</f>
        <v/>
      </c>
      <c r="K56">
        <f>IFERROR(INDEX(InternalTrades!$H$2:$H$461,MATCH($A56,InternalTrades!$A$2:$A$461,0)),"")</f>
        <v/>
      </c>
      <c r="L56">
        <f>IFERROR(INDEX(ExchangeConfirms!$H$2:$H$460,MATCH($A56,ExchangeConfirms!$A$2:$A$460,0)),"")</f>
        <v/>
      </c>
      <c r="M56">
        <f>IFERROR(INDEX(InternalTrades!$J$2:$J$461,MATCH($A56,InternalTrades!$A$2:$A$461,0)),"")</f>
        <v/>
      </c>
      <c r="N56">
        <f>IFERROR(INDEX(ExchangeConfirms!$J$2:$J$460,MATCH($A56,ExchangeConfirms!$A$2:$A$460,0)),"")</f>
        <v/>
      </c>
      <c r="O56">
        <f>IFERROR(INDEX(InternalTrades!$I$2:$I$461,MATCH($A56,InternalTrades!$A$2:$A$461,0)),"")</f>
        <v/>
      </c>
      <c r="P56">
        <f>IFERROR(INDEX(ExchangeConfirms!$I$2:$I$460,MATCH($A56,ExchangeConfirms!$A$2:$A$460,0)),"")</f>
        <v/>
      </c>
      <c r="Q56">
        <f>IF(AND($E56=1,$F56=0),"MISSING IN EXCHANGE",IF(AND($E56=0,$F56=1),"MISSING IN INTERNAL",IF($G56&lt;&gt;$H56,"SIDE BREAK",IF($I56&lt;&gt;$J56,"QTY BREAK",IF(ABS($K56-$L56)&gt;0.005,"PRICE BREAK",IF(ABS($M56-$N56)&gt;0.01,"FEE BREAK","MATCHED"))))))</f>
        <v/>
      </c>
      <c r="R56">
        <f>IF($Q56="MATCHED",0,1)</f>
        <v/>
      </c>
      <c r="S56">
        <f>IF($Q56="MATCHED",0,IF($Q56="MISSING IN EXCHANGE",$O56,IF($Q56="MISSING IN INTERNAL",$P56,ABS(N($O56)-N($P56)))))</f>
        <v/>
      </c>
    </row>
    <row r="57">
      <c r="A57" t="inlineStr">
        <is>
          <t>T100056</t>
        </is>
      </c>
      <c r="B57">
        <f>IFERROR(INDEX(InternalTrades!$D$2:$D$461,MATCH($A57,InternalTrades!$A$2:$A$461,0)),INDEX(ExchangeConfirms!$D$2:$D$460,MATCH($A57,ExchangeConfirms!$A$2:$A$460,0)))</f>
        <v/>
      </c>
      <c r="C57">
        <f>IFERROR(INDEX(InternalTrades!$E$2:$E$461,MATCH($A57,InternalTrades!$A$2:$A$461,0)),INDEX(ExchangeConfirms!$E$2:$E$460,MATCH($A57,ExchangeConfirms!$A$2:$A$460,0)))</f>
        <v/>
      </c>
      <c r="D57">
        <f>IFERROR(INDEX(InternalTrades!$K$2:$K$461,MATCH($A57,InternalTrades!$A$2:$A$461,0)),INDEX(ExchangeConfirms!$K$2:$K$460,MATCH($A57,ExchangeConfirms!$A$2:$A$460,0)))</f>
        <v/>
      </c>
      <c r="E57">
        <f>IF(COUNTIF(InternalTrades!$A$2:$A$461,$A57)&gt;0,1,0)</f>
        <v/>
      </c>
      <c r="F57">
        <f>IF(COUNTIF(ExchangeConfirms!$A$2:$A$460,$A57)&gt;0,1,0)</f>
        <v/>
      </c>
      <c r="G57">
        <f>IFERROR(INDEX(InternalTrades!$F$2:$F$461,MATCH($A57,InternalTrades!$A$2:$A$461,0)),"")</f>
        <v/>
      </c>
      <c r="H57">
        <f>IFERROR(INDEX(ExchangeConfirms!$F$2:$F$460,MATCH($A57,ExchangeConfirms!$A$2:$A$460,0)),"")</f>
        <v/>
      </c>
      <c r="I57">
        <f>IFERROR(INDEX(InternalTrades!$G$2:$G$461,MATCH($A57,InternalTrades!$A$2:$A$461,0)),"")</f>
        <v/>
      </c>
      <c r="J57">
        <f>IFERROR(INDEX(ExchangeConfirms!$G$2:$G$460,MATCH($A57,ExchangeConfirms!$A$2:$A$460,0)),"")</f>
        <v/>
      </c>
      <c r="K57">
        <f>IFERROR(INDEX(InternalTrades!$H$2:$H$461,MATCH($A57,InternalTrades!$A$2:$A$461,0)),"")</f>
        <v/>
      </c>
      <c r="L57">
        <f>IFERROR(INDEX(ExchangeConfirms!$H$2:$H$460,MATCH($A57,ExchangeConfirms!$A$2:$A$460,0)),"")</f>
        <v/>
      </c>
      <c r="M57">
        <f>IFERROR(INDEX(InternalTrades!$J$2:$J$461,MATCH($A57,InternalTrades!$A$2:$A$461,0)),"")</f>
        <v/>
      </c>
      <c r="N57">
        <f>IFERROR(INDEX(ExchangeConfirms!$J$2:$J$460,MATCH($A57,ExchangeConfirms!$A$2:$A$460,0)),"")</f>
        <v/>
      </c>
      <c r="O57">
        <f>IFERROR(INDEX(InternalTrades!$I$2:$I$461,MATCH($A57,InternalTrades!$A$2:$A$461,0)),"")</f>
        <v/>
      </c>
      <c r="P57">
        <f>IFERROR(INDEX(ExchangeConfirms!$I$2:$I$460,MATCH($A57,ExchangeConfirms!$A$2:$A$460,0)),"")</f>
        <v/>
      </c>
      <c r="Q57">
        <f>IF(AND($E57=1,$F57=0),"MISSING IN EXCHANGE",IF(AND($E57=0,$F57=1),"MISSING IN INTERNAL",IF($G57&lt;&gt;$H57,"SIDE BREAK",IF($I57&lt;&gt;$J57,"QTY BREAK",IF(ABS($K57-$L57)&gt;0.005,"PRICE BREAK",IF(ABS($M57-$N57)&gt;0.01,"FEE BREAK","MATCHED"))))))</f>
        <v/>
      </c>
      <c r="R57">
        <f>IF($Q57="MATCHED",0,1)</f>
        <v/>
      </c>
      <c r="S57">
        <f>IF($Q57="MATCHED",0,IF($Q57="MISSING IN EXCHANGE",$O57,IF($Q57="MISSING IN INTERNAL",$P57,ABS(N($O57)-N($P57)))))</f>
        <v/>
      </c>
    </row>
    <row r="58">
      <c r="A58" t="inlineStr">
        <is>
          <t>T100057</t>
        </is>
      </c>
      <c r="B58">
        <f>IFERROR(INDEX(InternalTrades!$D$2:$D$461,MATCH($A58,InternalTrades!$A$2:$A$461,0)),INDEX(ExchangeConfirms!$D$2:$D$460,MATCH($A58,ExchangeConfirms!$A$2:$A$460,0)))</f>
        <v/>
      </c>
      <c r="C58">
        <f>IFERROR(INDEX(InternalTrades!$E$2:$E$461,MATCH($A58,InternalTrades!$A$2:$A$461,0)),INDEX(ExchangeConfirms!$E$2:$E$460,MATCH($A58,ExchangeConfirms!$A$2:$A$460,0)))</f>
        <v/>
      </c>
      <c r="D58">
        <f>IFERROR(INDEX(InternalTrades!$K$2:$K$461,MATCH($A58,InternalTrades!$A$2:$A$461,0)),INDEX(ExchangeConfirms!$K$2:$K$460,MATCH($A58,ExchangeConfirms!$A$2:$A$460,0)))</f>
        <v/>
      </c>
      <c r="E58">
        <f>IF(COUNTIF(InternalTrades!$A$2:$A$461,$A58)&gt;0,1,0)</f>
        <v/>
      </c>
      <c r="F58">
        <f>IF(COUNTIF(ExchangeConfirms!$A$2:$A$460,$A58)&gt;0,1,0)</f>
        <v/>
      </c>
      <c r="G58">
        <f>IFERROR(INDEX(InternalTrades!$F$2:$F$461,MATCH($A58,InternalTrades!$A$2:$A$461,0)),"")</f>
        <v/>
      </c>
      <c r="H58">
        <f>IFERROR(INDEX(ExchangeConfirms!$F$2:$F$460,MATCH($A58,ExchangeConfirms!$A$2:$A$460,0)),"")</f>
        <v/>
      </c>
      <c r="I58">
        <f>IFERROR(INDEX(InternalTrades!$G$2:$G$461,MATCH($A58,InternalTrades!$A$2:$A$461,0)),"")</f>
        <v/>
      </c>
      <c r="J58">
        <f>IFERROR(INDEX(ExchangeConfirms!$G$2:$G$460,MATCH($A58,ExchangeConfirms!$A$2:$A$460,0)),"")</f>
        <v/>
      </c>
      <c r="K58">
        <f>IFERROR(INDEX(InternalTrades!$H$2:$H$461,MATCH($A58,InternalTrades!$A$2:$A$461,0)),"")</f>
        <v/>
      </c>
      <c r="L58">
        <f>IFERROR(INDEX(ExchangeConfirms!$H$2:$H$460,MATCH($A58,ExchangeConfirms!$A$2:$A$460,0)),"")</f>
        <v/>
      </c>
      <c r="M58">
        <f>IFERROR(INDEX(InternalTrades!$J$2:$J$461,MATCH($A58,InternalTrades!$A$2:$A$461,0)),"")</f>
        <v/>
      </c>
      <c r="N58">
        <f>IFERROR(INDEX(ExchangeConfirms!$J$2:$J$460,MATCH($A58,ExchangeConfirms!$A$2:$A$460,0)),"")</f>
        <v/>
      </c>
      <c r="O58">
        <f>IFERROR(INDEX(InternalTrades!$I$2:$I$461,MATCH($A58,InternalTrades!$A$2:$A$461,0)),"")</f>
        <v/>
      </c>
      <c r="P58">
        <f>IFERROR(INDEX(ExchangeConfirms!$I$2:$I$460,MATCH($A58,ExchangeConfirms!$A$2:$A$460,0)),"")</f>
        <v/>
      </c>
      <c r="Q58">
        <f>IF(AND($E58=1,$F58=0),"MISSING IN EXCHANGE",IF(AND($E58=0,$F58=1),"MISSING IN INTERNAL",IF($G58&lt;&gt;$H58,"SIDE BREAK",IF($I58&lt;&gt;$J58,"QTY BREAK",IF(ABS($K58-$L58)&gt;0.005,"PRICE BREAK",IF(ABS($M58-$N58)&gt;0.01,"FEE BREAK","MATCHED"))))))</f>
        <v/>
      </c>
      <c r="R58">
        <f>IF($Q58="MATCHED",0,1)</f>
        <v/>
      </c>
      <c r="S58">
        <f>IF($Q58="MATCHED",0,IF($Q58="MISSING IN EXCHANGE",$O58,IF($Q58="MISSING IN INTERNAL",$P58,ABS(N($O58)-N($P58)))))</f>
        <v/>
      </c>
    </row>
    <row r="59">
      <c r="A59" t="inlineStr">
        <is>
          <t>T100058</t>
        </is>
      </c>
      <c r="B59">
        <f>IFERROR(INDEX(InternalTrades!$D$2:$D$461,MATCH($A59,InternalTrades!$A$2:$A$461,0)),INDEX(ExchangeConfirms!$D$2:$D$460,MATCH($A59,ExchangeConfirms!$A$2:$A$460,0)))</f>
        <v/>
      </c>
      <c r="C59">
        <f>IFERROR(INDEX(InternalTrades!$E$2:$E$461,MATCH($A59,InternalTrades!$A$2:$A$461,0)),INDEX(ExchangeConfirms!$E$2:$E$460,MATCH($A59,ExchangeConfirms!$A$2:$A$460,0)))</f>
        <v/>
      </c>
      <c r="D59">
        <f>IFERROR(INDEX(InternalTrades!$K$2:$K$461,MATCH($A59,InternalTrades!$A$2:$A$461,0)),INDEX(ExchangeConfirms!$K$2:$K$460,MATCH($A59,ExchangeConfirms!$A$2:$A$460,0)))</f>
        <v/>
      </c>
      <c r="E59">
        <f>IF(COUNTIF(InternalTrades!$A$2:$A$461,$A59)&gt;0,1,0)</f>
        <v/>
      </c>
      <c r="F59">
        <f>IF(COUNTIF(ExchangeConfirms!$A$2:$A$460,$A59)&gt;0,1,0)</f>
        <v/>
      </c>
      <c r="G59">
        <f>IFERROR(INDEX(InternalTrades!$F$2:$F$461,MATCH($A59,InternalTrades!$A$2:$A$461,0)),"")</f>
        <v/>
      </c>
      <c r="H59">
        <f>IFERROR(INDEX(ExchangeConfirms!$F$2:$F$460,MATCH($A59,ExchangeConfirms!$A$2:$A$460,0)),"")</f>
        <v/>
      </c>
      <c r="I59">
        <f>IFERROR(INDEX(InternalTrades!$G$2:$G$461,MATCH($A59,InternalTrades!$A$2:$A$461,0)),"")</f>
        <v/>
      </c>
      <c r="J59">
        <f>IFERROR(INDEX(ExchangeConfirms!$G$2:$G$460,MATCH($A59,ExchangeConfirms!$A$2:$A$460,0)),"")</f>
        <v/>
      </c>
      <c r="K59">
        <f>IFERROR(INDEX(InternalTrades!$H$2:$H$461,MATCH($A59,InternalTrades!$A$2:$A$461,0)),"")</f>
        <v/>
      </c>
      <c r="L59">
        <f>IFERROR(INDEX(ExchangeConfirms!$H$2:$H$460,MATCH($A59,ExchangeConfirms!$A$2:$A$460,0)),"")</f>
        <v/>
      </c>
      <c r="M59">
        <f>IFERROR(INDEX(InternalTrades!$J$2:$J$461,MATCH($A59,InternalTrades!$A$2:$A$461,0)),"")</f>
        <v/>
      </c>
      <c r="N59">
        <f>IFERROR(INDEX(ExchangeConfirms!$J$2:$J$460,MATCH($A59,ExchangeConfirms!$A$2:$A$460,0)),"")</f>
        <v/>
      </c>
      <c r="O59">
        <f>IFERROR(INDEX(InternalTrades!$I$2:$I$461,MATCH($A59,InternalTrades!$A$2:$A$461,0)),"")</f>
        <v/>
      </c>
      <c r="P59">
        <f>IFERROR(INDEX(ExchangeConfirms!$I$2:$I$460,MATCH($A59,ExchangeConfirms!$A$2:$A$460,0)),"")</f>
        <v/>
      </c>
      <c r="Q59">
        <f>IF(AND($E59=1,$F59=0),"MISSING IN EXCHANGE",IF(AND($E59=0,$F59=1),"MISSING IN INTERNAL",IF($G59&lt;&gt;$H59,"SIDE BREAK",IF($I59&lt;&gt;$J59,"QTY BREAK",IF(ABS($K59-$L59)&gt;0.005,"PRICE BREAK",IF(ABS($M59-$N59)&gt;0.01,"FEE BREAK","MATCHED"))))))</f>
        <v/>
      </c>
      <c r="R59">
        <f>IF($Q59="MATCHED",0,1)</f>
        <v/>
      </c>
      <c r="S59">
        <f>IF($Q59="MATCHED",0,IF($Q59="MISSING IN EXCHANGE",$O59,IF($Q59="MISSING IN INTERNAL",$P59,ABS(N($O59)-N($P59)))))</f>
        <v/>
      </c>
    </row>
    <row r="60">
      <c r="A60" t="inlineStr">
        <is>
          <t>T100059</t>
        </is>
      </c>
      <c r="B60">
        <f>IFERROR(INDEX(InternalTrades!$D$2:$D$461,MATCH($A60,InternalTrades!$A$2:$A$461,0)),INDEX(ExchangeConfirms!$D$2:$D$460,MATCH($A60,ExchangeConfirms!$A$2:$A$460,0)))</f>
        <v/>
      </c>
      <c r="C60">
        <f>IFERROR(INDEX(InternalTrades!$E$2:$E$461,MATCH($A60,InternalTrades!$A$2:$A$461,0)),INDEX(ExchangeConfirms!$E$2:$E$460,MATCH($A60,ExchangeConfirms!$A$2:$A$460,0)))</f>
        <v/>
      </c>
      <c r="D60">
        <f>IFERROR(INDEX(InternalTrades!$K$2:$K$461,MATCH($A60,InternalTrades!$A$2:$A$461,0)),INDEX(ExchangeConfirms!$K$2:$K$460,MATCH($A60,ExchangeConfirms!$A$2:$A$460,0)))</f>
        <v/>
      </c>
      <c r="E60">
        <f>IF(COUNTIF(InternalTrades!$A$2:$A$461,$A60)&gt;0,1,0)</f>
        <v/>
      </c>
      <c r="F60">
        <f>IF(COUNTIF(ExchangeConfirms!$A$2:$A$460,$A60)&gt;0,1,0)</f>
        <v/>
      </c>
      <c r="G60">
        <f>IFERROR(INDEX(InternalTrades!$F$2:$F$461,MATCH($A60,InternalTrades!$A$2:$A$461,0)),"")</f>
        <v/>
      </c>
      <c r="H60">
        <f>IFERROR(INDEX(ExchangeConfirms!$F$2:$F$460,MATCH($A60,ExchangeConfirms!$A$2:$A$460,0)),"")</f>
        <v/>
      </c>
      <c r="I60">
        <f>IFERROR(INDEX(InternalTrades!$G$2:$G$461,MATCH($A60,InternalTrades!$A$2:$A$461,0)),"")</f>
        <v/>
      </c>
      <c r="J60">
        <f>IFERROR(INDEX(ExchangeConfirms!$G$2:$G$460,MATCH($A60,ExchangeConfirms!$A$2:$A$460,0)),"")</f>
        <v/>
      </c>
      <c r="K60">
        <f>IFERROR(INDEX(InternalTrades!$H$2:$H$461,MATCH($A60,InternalTrades!$A$2:$A$461,0)),"")</f>
        <v/>
      </c>
      <c r="L60">
        <f>IFERROR(INDEX(ExchangeConfirms!$H$2:$H$460,MATCH($A60,ExchangeConfirms!$A$2:$A$460,0)),"")</f>
        <v/>
      </c>
      <c r="M60">
        <f>IFERROR(INDEX(InternalTrades!$J$2:$J$461,MATCH($A60,InternalTrades!$A$2:$A$461,0)),"")</f>
        <v/>
      </c>
      <c r="N60">
        <f>IFERROR(INDEX(ExchangeConfirms!$J$2:$J$460,MATCH($A60,ExchangeConfirms!$A$2:$A$460,0)),"")</f>
        <v/>
      </c>
      <c r="O60">
        <f>IFERROR(INDEX(InternalTrades!$I$2:$I$461,MATCH($A60,InternalTrades!$A$2:$A$461,0)),"")</f>
        <v/>
      </c>
      <c r="P60">
        <f>IFERROR(INDEX(ExchangeConfirms!$I$2:$I$460,MATCH($A60,ExchangeConfirms!$A$2:$A$460,0)),"")</f>
        <v/>
      </c>
      <c r="Q60">
        <f>IF(AND($E60=1,$F60=0),"MISSING IN EXCHANGE",IF(AND($E60=0,$F60=1),"MISSING IN INTERNAL",IF($G60&lt;&gt;$H60,"SIDE BREAK",IF($I60&lt;&gt;$J60,"QTY BREAK",IF(ABS($K60-$L60)&gt;0.005,"PRICE BREAK",IF(ABS($M60-$N60)&gt;0.01,"FEE BREAK","MATCHED"))))))</f>
        <v/>
      </c>
      <c r="R60">
        <f>IF($Q60="MATCHED",0,1)</f>
        <v/>
      </c>
      <c r="S60">
        <f>IF($Q60="MATCHED",0,IF($Q60="MISSING IN EXCHANGE",$O60,IF($Q60="MISSING IN INTERNAL",$P60,ABS(N($O60)-N($P60)))))</f>
        <v/>
      </c>
    </row>
    <row r="61">
      <c r="A61" t="inlineStr">
        <is>
          <t>T100060</t>
        </is>
      </c>
      <c r="B61">
        <f>IFERROR(INDEX(InternalTrades!$D$2:$D$461,MATCH($A61,InternalTrades!$A$2:$A$461,0)),INDEX(ExchangeConfirms!$D$2:$D$460,MATCH($A61,ExchangeConfirms!$A$2:$A$460,0)))</f>
        <v/>
      </c>
      <c r="C61">
        <f>IFERROR(INDEX(InternalTrades!$E$2:$E$461,MATCH($A61,InternalTrades!$A$2:$A$461,0)),INDEX(ExchangeConfirms!$E$2:$E$460,MATCH($A61,ExchangeConfirms!$A$2:$A$460,0)))</f>
        <v/>
      </c>
      <c r="D61">
        <f>IFERROR(INDEX(InternalTrades!$K$2:$K$461,MATCH($A61,InternalTrades!$A$2:$A$461,0)),INDEX(ExchangeConfirms!$K$2:$K$460,MATCH($A61,ExchangeConfirms!$A$2:$A$460,0)))</f>
        <v/>
      </c>
      <c r="E61">
        <f>IF(COUNTIF(InternalTrades!$A$2:$A$461,$A61)&gt;0,1,0)</f>
        <v/>
      </c>
      <c r="F61">
        <f>IF(COUNTIF(ExchangeConfirms!$A$2:$A$460,$A61)&gt;0,1,0)</f>
        <v/>
      </c>
      <c r="G61">
        <f>IFERROR(INDEX(InternalTrades!$F$2:$F$461,MATCH($A61,InternalTrades!$A$2:$A$461,0)),"")</f>
        <v/>
      </c>
      <c r="H61">
        <f>IFERROR(INDEX(ExchangeConfirms!$F$2:$F$460,MATCH($A61,ExchangeConfirms!$A$2:$A$460,0)),"")</f>
        <v/>
      </c>
      <c r="I61">
        <f>IFERROR(INDEX(InternalTrades!$G$2:$G$461,MATCH($A61,InternalTrades!$A$2:$A$461,0)),"")</f>
        <v/>
      </c>
      <c r="J61">
        <f>IFERROR(INDEX(ExchangeConfirms!$G$2:$G$460,MATCH($A61,ExchangeConfirms!$A$2:$A$460,0)),"")</f>
        <v/>
      </c>
      <c r="K61">
        <f>IFERROR(INDEX(InternalTrades!$H$2:$H$461,MATCH($A61,InternalTrades!$A$2:$A$461,0)),"")</f>
        <v/>
      </c>
      <c r="L61">
        <f>IFERROR(INDEX(ExchangeConfirms!$H$2:$H$460,MATCH($A61,ExchangeConfirms!$A$2:$A$460,0)),"")</f>
        <v/>
      </c>
      <c r="M61">
        <f>IFERROR(INDEX(InternalTrades!$J$2:$J$461,MATCH($A61,InternalTrades!$A$2:$A$461,0)),"")</f>
        <v/>
      </c>
      <c r="N61">
        <f>IFERROR(INDEX(ExchangeConfirms!$J$2:$J$460,MATCH($A61,ExchangeConfirms!$A$2:$A$460,0)),"")</f>
        <v/>
      </c>
      <c r="O61">
        <f>IFERROR(INDEX(InternalTrades!$I$2:$I$461,MATCH($A61,InternalTrades!$A$2:$A$461,0)),"")</f>
        <v/>
      </c>
      <c r="P61">
        <f>IFERROR(INDEX(ExchangeConfirms!$I$2:$I$460,MATCH($A61,ExchangeConfirms!$A$2:$A$460,0)),"")</f>
        <v/>
      </c>
      <c r="Q61">
        <f>IF(AND($E61=1,$F61=0),"MISSING IN EXCHANGE",IF(AND($E61=0,$F61=1),"MISSING IN INTERNAL",IF($G61&lt;&gt;$H61,"SIDE BREAK",IF($I61&lt;&gt;$J61,"QTY BREAK",IF(ABS($K61-$L61)&gt;0.005,"PRICE BREAK",IF(ABS($M61-$N61)&gt;0.01,"FEE BREAK","MATCHED"))))))</f>
        <v/>
      </c>
      <c r="R61">
        <f>IF($Q61="MATCHED",0,1)</f>
        <v/>
      </c>
      <c r="S61">
        <f>IF($Q61="MATCHED",0,IF($Q61="MISSING IN EXCHANGE",$O61,IF($Q61="MISSING IN INTERNAL",$P61,ABS(N($O61)-N($P61)))))</f>
        <v/>
      </c>
    </row>
    <row r="62">
      <c r="A62" t="inlineStr">
        <is>
          <t>T100061</t>
        </is>
      </c>
      <c r="B62">
        <f>IFERROR(INDEX(InternalTrades!$D$2:$D$461,MATCH($A62,InternalTrades!$A$2:$A$461,0)),INDEX(ExchangeConfirms!$D$2:$D$460,MATCH($A62,ExchangeConfirms!$A$2:$A$460,0)))</f>
        <v/>
      </c>
      <c r="C62">
        <f>IFERROR(INDEX(InternalTrades!$E$2:$E$461,MATCH($A62,InternalTrades!$A$2:$A$461,0)),INDEX(ExchangeConfirms!$E$2:$E$460,MATCH($A62,ExchangeConfirms!$A$2:$A$460,0)))</f>
        <v/>
      </c>
      <c r="D62">
        <f>IFERROR(INDEX(InternalTrades!$K$2:$K$461,MATCH($A62,InternalTrades!$A$2:$A$461,0)),INDEX(ExchangeConfirms!$K$2:$K$460,MATCH($A62,ExchangeConfirms!$A$2:$A$460,0)))</f>
        <v/>
      </c>
      <c r="E62">
        <f>IF(COUNTIF(InternalTrades!$A$2:$A$461,$A62)&gt;0,1,0)</f>
        <v/>
      </c>
      <c r="F62">
        <f>IF(COUNTIF(ExchangeConfirms!$A$2:$A$460,$A62)&gt;0,1,0)</f>
        <v/>
      </c>
      <c r="G62">
        <f>IFERROR(INDEX(InternalTrades!$F$2:$F$461,MATCH($A62,InternalTrades!$A$2:$A$461,0)),"")</f>
        <v/>
      </c>
      <c r="H62">
        <f>IFERROR(INDEX(ExchangeConfirms!$F$2:$F$460,MATCH($A62,ExchangeConfirms!$A$2:$A$460,0)),"")</f>
        <v/>
      </c>
      <c r="I62">
        <f>IFERROR(INDEX(InternalTrades!$G$2:$G$461,MATCH($A62,InternalTrades!$A$2:$A$461,0)),"")</f>
        <v/>
      </c>
      <c r="J62">
        <f>IFERROR(INDEX(ExchangeConfirms!$G$2:$G$460,MATCH($A62,ExchangeConfirms!$A$2:$A$460,0)),"")</f>
        <v/>
      </c>
      <c r="K62">
        <f>IFERROR(INDEX(InternalTrades!$H$2:$H$461,MATCH($A62,InternalTrades!$A$2:$A$461,0)),"")</f>
        <v/>
      </c>
      <c r="L62">
        <f>IFERROR(INDEX(ExchangeConfirms!$H$2:$H$460,MATCH($A62,ExchangeConfirms!$A$2:$A$460,0)),"")</f>
        <v/>
      </c>
      <c r="M62">
        <f>IFERROR(INDEX(InternalTrades!$J$2:$J$461,MATCH($A62,InternalTrades!$A$2:$A$461,0)),"")</f>
        <v/>
      </c>
      <c r="N62">
        <f>IFERROR(INDEX(ExchangeConfirms!$J$2:$J$460,MATCH($A62,ExchangeConfirms!$A$2:$A$460,0)),"")</f>
        <v/>
      </c>
      <c r="O62">
        <f>IFERROR(INDEX(InternalTrades!$I$2:$I$461,MATCH($A62,InternalTrades!$A$2:$A$461,0)),"")</f>
        <v/>
      </c>
      <c r="P62">
        <f>IFERROR(INDEX(ExchangeConfirms!$I$2:$I$460,MATCH($A62,ExchangeConfirms!$A$2:$A$460,0)),"")</f>
        <v/>
      </c>
      <c r="Q62">
        <f>IF(AND($E62=1,$F62=0),"MISSING IN EXCHANGE",IF(AND($E62=0,$F62=1),"MISSING IN INTERNAL",IF($G62&lt;&gt;$H62,"SIDE BREAK",IF($I62&lt;&gt;$J62,"QTY BREAK",IF(ABS($K62-$L62)&gt;0.005,"PRICE BREAK",IF(ABS($M62-$N62)&gt;0.01,"FEE BREAK","MATCHED"))))))</f>
        <v/>
      </c>
      <c r="R62">
        <f>IF($Q62="MATCHED",0,1)</f>
        <v/>
      </c>
      <c r="S62">
        <f>IF($Q62="MATCHED",0,IF($Q62="MISSING IN EXCHANGE",$O62,IF($Q62="MISSING IN INTERNAL",$P62,ABS(N($O62)-N($P62)))))</f>
        <v/>
      </c>
    </row>
    <row r="63">
      <c r="A63" t="inlineStr">
        <is>
          <t>T100062</t>
        </is>
      </c>
      <c r="B63">
        <f>IFERROR(INDEX(InternalTrades!$D$2:$D$461,MATCH($A63,InternalTrades!$A$2:$A$461,0)),INDEX(ExchangeConfirms!$D$2:$D$460,MATCH($A63,ExchangeConfirms!$A$2:$A$460,0)))</f>
        <v/>
      </c>
      <c r="C63">
        <f>IFERROR(INDEX(InternalTrades!$E$2:$E$461,MATCH($A63,InternalTrades!$A$2:$A$461,0)),INDEX(ExchangeConfirms!$E$2:$E$460,MATCH($A63,ExchangeConfirms!$A$2:$A$460,0)))</f>
        <v/>
      </c>
      <c r="D63">
        <f>IFERROR(INDEX(InternalTrades!$K$2:$K$461,MATCH($A63,InternalTrades!$A$2:$A$461,0)),INDEX(ExchangeConfirms!$K$2:$K$460,MATCH($A63,ExchangeConfirms!$A$2:$A$460,0)))</f>
        <v/>
      </c>
      <c r="E63">
        <f>IF(COUNTIF(InternalTrades!$A$2:$A$461,$A63)&gt;0,1,0)</f>
        <v/>
      </c>
      <c r="F63">
        <f>IF(COUNTIF(ExchangeConfirms!$A$2:$A$460,$A63)&gt;0,1,0)</f>
        <v/>
      </c>
      <c r="G63">
        <f>IFERROR(INDEX(InternalTrades!$F$2:$F$461,MATCH($A63,InternalTrades!$A$2:$A$461,0)),"")</f>
        <v/>
      </c>
      <c r="H63">
        <f>IFERROR(INDEX(ExchangeConfirms!$F$2:$F$460,MATCH($A63,ExchangeConfirms!$A$2:$A$460,0)),"")</f>
        <v/>
      </c>
      <c r="I63">
        <f>IFERROR(INDEX(InternalTrades!$G$2:$G$461,MATCH($A63,InternalTrades!$A$2:$A$461,0)),"")</f>
        <v/>
      </c>
      <c r="J63">
        <f>IFERROR(INDEX(ExchangeConfirms!$G$2:$G$460,MATCH($A63,ExchangeConfirms!$A$2:$A$460,0)),"")</f>
        <v/>
      </c>
      <c r="K63">
        <f>IFERROR(INDEX(InternalTrades!$H$2:$H$461,MATCH($A63,InternalTrades!$A$2:$A$461,0)),"")</f>
        <v/>
      </c>
      <c r="L63">
        <f>IFERROR(INDEX(ExchangeConfirms!$H$2:$H$460,MATCH($A63,ExchangeConfirms!$A$2:$A$460,0)),"")</f>
        <v/>
      </c>
      <c r="M63">
        <f>IFERROR(INDEX(InternalTrades!$J$2:$J$461,MATCH($A63,InternalTrades!$A$2:$A$461,0)),"")</f>
        <v/>
      </c>
      <c r="N63">
        <f>IFERROR(INDEX(ExchangeConfirms!$J$2:$J$460,MATCH($A63,ExchangeConfirms!$A$2:$A$460,0)),"")</f>
        <v/>
      </c>
      <c r="O63">
        <f>IFERROR(INDEX(InternalTrades!$I$2:$I$461,MATCH($A63,InternalTrades!$A$2:$A$461,0)),"")</f>
        <v/>
      </c>
      <c r="P63">
        <f>IFERROR(INDEX(ExchangeConfirms!$I$2:$I$460,MATCH($A63,ExchangeConfirms!$A$2:$A$460,0)),"")</f>
        <v/>
      </c>
      <c r="Q63">
        <f>IF(AND($E63=1,$F63=0),"MISSING IN EXCHANGE",IF(AND($E63=0,$F63=1),"MISSING IN INTERNAL",IF($G63&lt;&gt;$H63,"SIDE BREAK",IF($I63&lt;&gt;$J63,"QTY BREAK",IF(ABS($K63-$L63)&gt;0.005,"PRICE BREAK",IF(ABS($M63-$N63)&gt;0.01,"FEE BREAK","MATCHED"))))))</f>
        <v/>
      </c>
      <c r="R63">
        <f>IF($Q63="MATCHED",0,1)</f>
        <v/>
      </c>
      <c r="S63">
        <f>IF($Q63="MATCHED",0,IF($Q63="MISSING IN EXCHANGE",$O63,IF($Q63="MISSING IN INTERNAL",$P63,ABS(N($O63)-N($P63)))))</f>
        <v/>
      </c>
    </row>
    <row r="64">
      <c r="A64" t="inlineStr">
        <is>
          <t>T100063</t>
        </is>
      </c>
      <c r="B64">
        <f>IFERROR(INDEX(InternalTrades!$D$2:$D$461,MATCH($A64,InternalTrades!$A$2:$A$461,0)),INDEX(ExchangeConfirms!$D$2:$D$460,MATCH($A64,ExchangeConfirms!$A$2:$A$460,0)))</f>
        <v/>
      </c>
      <c r="C64">
        <f>IFERROR(INDEX(InternalTrades!$E$2:$E$461,MATCH($A64,InternalTrades!$A$2:$A$461,0)),INDEX(ExchangeConfirms!$E$2:$E$460,MATCH($A64,ExchangeConfirms!$A$2:$A$460,0)))</f>
        <v/>
      </c>
      <c r="D64">
        <f>IFERROR(INDEX(InternalTrades!$K$2:$K$461,MATCH($A64,InternalTrades!$A$2:$A$461,0)),INDEX(ExchangeConfirms!$K$2:$K$460,MATCH($A64,ExchangeConfirms!$A$2:$A$460,0)))</f>
        <v/>
      </c>
      <c r="E64">
        <f>IF(COUNTIF(InternalTrades!$A$2:$A$461,$A64)&gt;0,1,0)</f>
        <v/>
      </c>
      <c r="F64">
        <f>IF(COUNTIF(ExchangeConfirms!$A$2:$A$460,$A64)&gt;0,1,0)</f>
        <v/>
      </c>
      <c r="G64">
        <f>IFERROR(INDEX(InternalTrades!$F$2:$F$461,MATCH($A64,InternalTrades!$A$2:$A$461,0)),"")</f>
        <v/>
      </c>
      <c r="H64">
        <f>IFERROR(INDEX(ExchangeConfirms!$F$2:$F$460,MATCH($A64,ExchangeConfirms!$A$2:$A$460,0)),"")</f>
        <v/>
      </c>
      <c r="I64">
        <f>IFERROR(INDEX(InternalTrades!$G$2:$G$461,MATCH($A64,InternalTrades!$A$2:$A$461,0)),"")</f>
        <v/>
      </c>
      <c r="J64">
        <f>IFERROR(INDEX(ExchangeConfirms!$G$2:$G$460,MATCH($A64,ExchangeConfirms!$A$2:$A$460,0)),"")</f>
        <v/>
      </c>
      <c r="K64">
        <f>IFERROR(INDEX(InternalTrades!$H$2:$H$461,MATCH($A64,InternalTrades!$A$2:$A$461,0)),"")</f>
        <v/>
      </c>
      <c r="L64">
        <f>IFERROR(INDEX(ExchangeConfirms!$H$2:$H$460,MATCH($A64,ExchangeConfirms!$A$2:$A$460,0)),"")</f>
        <v/>
      </c>
      <c r="M64">
        <f>IFERROR(INDEX(InternalTrades!$J$2:$J$461,MATCH($A64,InternalTrades!$A$2:$A$461,0)),"")</f>
        <v/>
      </c>
      <c r="N64">
        <f>IFERROR(INDEX(ExchangeConfirms!$J$2:$J$460,MATCH($A64,ExchangeConfirms!$A$2:$A$460,0)),"")</f>
        <v/>
      </c>
      <c r="O64">
        <f>IFERROR(INDEX(InternalTrades!$I$2:$I$461,MATCH($A64,InternalTrades!$A$2:$A$461,0)),"")</f>
        <v/>
      </c>
      <c r="P64">
        <f>IFERROR(INDEX(ExchangeConfirms!$I$2:$I$460,MATCH($A64,ExchangeConfirms!$A$2:$A$460,0)),"")</f>
        <v/>
      </c>
      <c r="Q64">
        <f>IF(AND($E64=1,$F64=0),"MISSING IN EXCHANGE",IF(AND($E64=0,$F64=1),"MISSING IN INTERNAL",IF($G64&lt;&gt;$H64,"SIDE BREAK",IF($I64&lt;&gt;$J64,"QTY BREAK",IF(ABS($K64-$L64)&gt;0.005,"PRICE BREAK",IF(ABS($M64-$N64)&gt;0.01,"FEE BREAK","MATCHED"))))))</f>
        <v/>
      </c>
      <c r="R64">
        <f>IF($Q64="MATCHED",0,1)</f>
        <v/>
      </c>
      <c r="S64">
        <f>IF($Q64="MATCHED",0,IF($Q64="MISSING IN EXCHANGE",$O64,IF($Q64="MISSING IN INTERNAL",$P64,ABS(N($O64)-N($P64)))))</f>
        <v/>
      </c>
    </row>
    <row r="65">
      <c r="A65" t="inlineStr">
        <is>
          <t>T100064</t>
        </is>
      </c>
      <c r="B65">
        <f>IFERROR(INDEX(InternalTrades!$D$2:$D$461,MATCH($A65,InternalTrades!$A$2:$A$461,0)),INDEX(ExchangeConfirms!$D$2:$D$460,MATCH($A65,ExchangeConfirms!$A$2:$A$460,0)))</f>
        <v/>
      </c>
      <c r="C65">
        <f>IFERROR(INDEX(InternalTrades!$E$2:$E$461,MATCH($A65,InternalTrades!$A$2:$A$461,0)),INDEX(ExchangeConfirms!$E$2:$E$460,MATCH($A65,ExchangeConfirms!$A$2:$A$460,0)))</f>
        <v/>
      </c>
      <c r="D65">
        <f>IFERROR(INDEX(InternalTrades!$K$2:$K$461,MATCH($A65,InternalTrades!$A$2:$A$461,0)),INDEX(ExchangeConfirms!$K$2:$K$460,MATCH($A65,ExchangeConfirms!$A$2:$A$460,0)))</f>
        <v/>
      </c>
      <c r="E65">
        <f>IF(COUNTIF(InternalTrades!$A$2:$A$461,$A65)&gt;0,1,0)</f>
        <v/>
      </c>
      <c r="F65">
        <f>IF(COUNTIF(ExchangeConfirms!$A$2:$A$460,$A65)&gt;0,1,0)</f>
        <v/>
      </c>
      <c r="G65">
        <f>IFERROR(INDEX(InternalTrades!$F$2:$F$461,MATCH($A65,InternalTrades!$A$2:$A$461,0)),"")</f>
        <v/>
      </c>
      <c r="H65">
        <f>IFERROR(INDEX(ExchangeConfirms!$F$2:$F$460,MATCH($A65,ExchangeConfirms!$A$2:$A$460,0)),"")</f>
        <v/>
      </c>
      <c r="I65">
        <f>IFERROR(INDEX(InternalTrades!$G$2:$G$461,MATCH($A65,InternalTrades!$A$2:$A$461,0)),"")</f>
        <v/>
      </c>
      <c r="J65">
        <f>IFERROR(INDEX(ExchangeConfirms!$G$2:$G$460,MATCH($A65,ExchangeConfirms!$A$2:$A$460,0)),"")</f>
        <v/>
      </c>
      <c r="K65">
        <f>IFERROR(INDEX(InternalTrades!$H$2:$H$461,MATCH($A65,InternalTrades!$A$2:$A$461,0)),"")</f>
        <v/>
      </c>
      <c r="L65">
        <f>IFERROR(INDEX(ExchangeConfirms!$H$2:$H$460,MATCH($A65,ExchangeConfirms!$A$2:$A$460,0)),"")</f>
        <v/>
      </c>
      <c r="M65">
        <f>IFERROR(INDEX(InternalTrades!$J$2:$J$461,MATCH($A65,InternalTrades!$A$2:$A$461,0)),"")</f>
        <v/>
      </c>
      <c r="N65">
        <f>IFERROR(INDEX(ExchangeConfirms!$J$2:$J$460,MATCH($A65,ExchangeConfirms!$A$2:$A$460,0)),"")</f>
        <v/>
      </c>
      <c r="O65">
        <f>IFERROR(INDEX(InternalTrades!$I$2:$I$461,MATCH($A65,InternalTrades!$A$2:$A$461,0)),"")</f>
        <v/>
      </c>
      <c r="P65">
        <f>IFERROR(INDEX(ExchangeConfirms!$I$2:$I$460,MATCH($A65,ExchangeConfirms!$A$2:$A$460,0)),"")</f>
        <v/>
      </c>
      <c r="Q65">
        <f>IF(AND($E65=1,$F65=0),"MISSING IN EXCHANGE",IF(AND($E65=0,$F65=1),"MISSING IN INTERNAL",IF($G65&lt;&gt;$H65,"SIDE BREAK",IF($I65&lt;&gt;$J65,"QTY BREAK",IF(ABS($K65-$L65)&gt;0.005,"PRICE BREAK",IF(ABS($M65-$N65)&gt;0.01,"FEE BREAK","MATCHED"))))))</f>
        <v/>
      </c>
      <c r="R65">
        <f>IF($Q65="MATCHED",0,1)</f>
        <v/>
      </c>
      <c r="S65">
        <f>IF($Q65="MATCHED",0,IF($Q65="MISSING IN EXCHANGE",$O65,IF($Q65="MISSING IN INTERNAL",$P65,ABS(N($O65)-N($P65)))))</f>
        <v/>
      </c>
    </row>
    <row r="66">
      <c r="A66" t="inlineStr">
        <is>
          <t>T100065</t>
        </is>
      </c>
      <c r="B66">
        <f>IFERROR(INDEX(InternalTrades!$D$2:$D$461,MATCH($A66,InternalTrades!$A$2:$A$461,0)),INDEX(ExchangeConfirms!$D$2:$D$460,MATCH($A66,ExchangeConfirms!$A$2:$A$460,0)))</f>
        <v/>
      </c>
      <c r="C66">
        <f>IFERROR(INDEX(InternalTrades!$E$2:$E$461,MATCH($A66,InternalTrades!$A$2:$A$461,0)),INDEX(ExchangeConfirms!$E$2:$E$460,MATCH($A66,ExchangeConfirms!$A$2:$A$460,0)))</f>
        <v/>
      </c>
      <c r="D66">
        <f>IFERROR(INDEX(InternalTrades!$K$2:$K$461,MATCH($A66,InternalTrades!$A$2:$A$461,0)),INDEX(ExchangeConfirms!$K$2:$K$460,MATCH($A66,ExchangeConfirms!$A$2:$A$460,0)))</f>
        <v/>
      </c>
      <c r="E66">
        <f>IF(COUNTIF(InternalTrades!$A$2:$A$461,$A66)&gt;0,1,0)</f>
        <v/>
      </c>
      <c r="F66">
        <f>IF(COUNTIF(ExchangeConfirms!$A$2:$A$460,$A66)&gt;0,1,0)</f>
        <v/>
      </c>
      <c r="G66">
        <f>IFERROR(INDEX(InternalTrades!$F$2:$F$461,MATCH($A66,InternalTrades!$A$2:$A$461,0)),"")</f>
        <v/>
      </c>
      <c r="H66">
        <f>IFERROR(INDEX(ExchangeConfirms!$F$2:$F$460,MATCH($A66,ExchangeConfirms!$A$2:$A$460,0)),"")</f>
        <v/>
      </c>
      <c r="I66">
        <f>IFERROR(INDEX(InternalTrades!$G$2:$G$461,MATCH($A66,InternalTrades!$A$2:$A$461,0)),"")</f>
        <v/>
      </c>
      <c r="J66">
        <f>IFERROR(INDEX(ExchangeConfirms!$G$2:$G$460,MATCH($A66,ExchangeConfirms!$A$2:$A$460,0)),"")</f>
        <v/>
      </c>
      <c r="K66">
        <f>IFERROR(INDEX(InternalTrades!$H$2:$H$461,MATCH($A66,InternalTrades!$A$2:$A$461,0)),"")</f>
        <v/>
      </c>
      <c r="L66">
        <f>IFERROR(INDEX(ExchangeConfirms!$H$2:$H$460,MATCH($A66,ExchangeConfirms!$A$2:$A$460,0)),"")</f>
        <v/>
      </c>
      <c r="M66">
        <f>IFERROR(INDEX(InternalTrades!$J$2:$J$461,MATCH($A66,InternalTrades!$A$2:$A$461,0)),"")</f>
        <v/>
      </c>
      <c r="N66">
        <f>IFERROR(INDEX(ExchangeConfirms!$J$2:$J$460,MATCH($A66,ExchangeConfirms!$A$2:$A$460,0)),"")</f>
        <v/>
      </c>
      <c r="O66">
        <f>IFERROR(INDEX(InternalTrades!$I$2:$I$461,MATCH($A66,InternalTrades!$A$2:$A$461,0)),"")</f>
        <v/>
      </c>
      <c r="P66">
        <f>IFERROR(INDEX(ExchangeConfirms!$I$2:$I$460,MATCH($A66,ExchangeConfirms!$A$2:$A$460,0)),"")</f>
        <v/>
      </c>
      <c r="Q66">
        <f>IF(AND($E66=1,$F66=0),"MISSING IN EXCHANGE",IF(AND($E66=0,$F66=1),"MISSING IN INTERNAL",IF($G66&lt;&gt;$H66,"SIDE BREAK",IF($I66&lt;&gt;$J66,"QTY BREAK",IF(ABS($K66-$L66)&gt;0.005,"PRICE BREAK",IF(ABS($M66-$N66)&gt;0.01,"FEE BREAK","MATCHED"))))))</f>
        <v/>
      </c>
      <c r="R66">
        <f>IF($Q66="MATCHED",0,1)</f>
        <v/>
      </c>
      <c r="S66">
        <f>IF($Q66="MATCHED",0,IF($Q66="MISSING IN EXCHANGE",$O66,IF($Q66="MISSING IN INTERNAL",$P66,ABS(N($O66)-N($P66)))))</f>
        <v/>
      </c>
    </row>
    <row r="67">
      <c r="A67" t="inlineStr">
        <is>
          <t>T100066</t>
        </is>
      </c>
      <c r="B67">
        <f>IFERROR(INDEX(InternalTrades!$D$2:$D$461,MATCH($A67,InternalTrades!$A$2:$A$461,0)),INDEX(ExchangeConfirms!$D$2:$D$460,MATCH($A67,ExchangeConfirms!$A$2:$A$460,0)))</f>
        <v/>
      </c>
      <c r="C67">
        <f>IFERROR(INDEX(InternalTrades!$E$2:$E$461,MATCH($A67,InternalTrades!$A$2:$A$461,0)),INDEX(ExchangeConfirms!$E$2:$E$460,MATCH($A67,ExchangeConfirms!$A$2:$A$460,0)))</f>
        <v/>
      </c>
      <c r="D67">
        <f>IFERROR(INDEX(InternalTrades!$K$2:$K$461,MATCH($A67,InternalTrades!$A$2:$A$461,0)),INDEX(ExchangeConfirms!$K$2:$K$460,MATCH($A67,ExchangeConfirms!$A$2:$A$460,0)))</f>
        <v/>
      </c>
      <c r="E67">
        <f>IF(COUNTIF(InternalTrades!$A$2:$A$461,$A67)&gt;0,1,0)</f>
        <v/>
      </c>
      <c r="F67">
        <f>IF(COUNTIF(ExchangeConfirms!$A$2:$A$460,$A67)&gt;0,1,0)</f>
        <v/>
      </c>
      <c r="G67">
        <f>IFERROR(INDEX(InternalTrades!$F$2:$F$461,MATCH($A67,InternalTrades!$A$2:$A$461,0)),"")</f>
        <v/>
      </c>
      <c r="H67">
        <f>IFERROR(INDEX(ExchangeConfirms!$F$2:$F$460,MATCH($A67,ExchangeConfirms!$A$2:$A$460,0)),"")</f>
        <v/>
      </c>
      <c r="I67">
        <f>IFERROR(INDEX(InternalTrades!$G$2:$G$461,MATCH($A67,InternalTrades!$A$2:$A$461,0)),"")</f>
        <v/>
      </c>
      <c r="J67">
        <f>IFERROR(INDEX(ExchangeConfirms!$G$2:$G$460,MATCH($A67,ExchangeConfirms!$A$2:$A$460,0)),"")</f>
        <v/>
      </c>
      <c r="K67">
        <f>IFERROR(INDEX(InternalTrades!$H$2:$H$461,MATCH($A67,InternalTrades!$A$2:$A$461,0)),"")</f>
        <v/>
      </c>
      <c r="L67">
        <f>IFERROR(INDEX(ExchangeConfirms!$H$2:$H$460,MATCH($A67,ExchangeConfirms!$A$2:$A$460,0)),"")</f>
        <v/>
      </c>
      <c r="M67">
        <f>IFERROR(INDEX(InternalTrades!$J$2:$J$461,MATCH($A67,InternalTrades!$A$2:$A$461,0)),"")</f>
        <v/>
      </c>
      <c r="N67">
        <f>IFERROR(INDEX(ExchangeConfirms!$J$2:$J$460,MATCH($A67,ExchangeConfirms!$A$2:$A$460,0)),"")</f>
        <v/>
      </c>
      <c r="O67">
        <f>IFERROR(INDEX(InternalTrades!$I$2:$I$461,MATCH($A67,InternalTrades!$A$2:$A$461,0)),"")</f>
        <v/>
      </c>
      <c r="P67">
        <f>IFERROR(INDEX(ExchangeConfirms!$I$2:$I$460,MATCH($A67,ExchangeConfirms!$A$2:$A$460,0)),"")</f>
        <v/>
      </c>
      <c r="Q67">
        <f>IF(AND($E67=1,$F67=0),"MISSING IN EXCHANGE",IF(AND($E67=0,$F67=1),"MISSING IN INTERNAL",IF($G67&lt;&gt;$H67,"SIDE BREAK",IF($I67&lt;&gt;$J67,"QTY BREAK",IF(ABS($K67-$L67)&gt;0.005,"PRICE BREAK",IF(ABS($M67-$N67)&gt;0.01,"FEE BREAK","MATCHED"))))))</f>
        <v/>
      </c>
      <c r="R67">
        <f>IF($Q67="MATCHED",0,1)</f>
        <v/>
      </c>
      <c r="S67">
        <f>IF($Q67="MATCHED",0,IF($Q67="MISSING IN EXCHANGE",$O67,IF($Q67="MISSING IN INTERNAL",$P67,ABS(N($O67)-N($P67)))))</f>
        <v/>
      </c>
    </row>
    <row r="68">
      <c r="A68" t="inlineStr">
        <is>
          <t>T100067</t>
        </is>
      </c>
      <c r="B68">
        <f>IFERROR(INDEX(InternalTrades!$D$2:$D$461,MATCH($A68,InternalTrades!$A$2:$A$461,0)),INDEX(ExchangeConfirms!$D$2:$D$460,MATCH($A68,ExchangeConfirms!$A$2:$A$460,0)))</f>
        <v/>
      </c>
      <c r="C68">
        <f>IFERROR(INDEX(InternalTrades!$E$2:$E$461,MATCH($A68,InternalTrades!$A$2:$A$461,0)),INDEX(ExchangeConfirms!$E$2:$E$460,MATCH($A68,ExchangeConfirms!$A$2:$A$460,0)))</f>
        <v/>
      </c>
      <c r="D68">
        <f>IFERROR(INDEX(InternalTrades!$K$2:$K$461,MATCH($A68,InternalTrades!$A$2:$A$461,0)),INDEX(ExchangeConfirms!$K$2:$K$460,MATCH($A68,ExchangeConfirms!$A$2:$A$460,0)))</f>
        <v/>
      </c>
      <c r="E68">
        <f>IF(COUNTIF(InternalTrades!$A$2:$A$461,$A68)&gt;0,1,0)</f>
        <v/>
      </c>
      <c r="F68">
        <f>IF(COUNTIF(ExchangeConfirms!$A$2:$A$460,$A68)&gt;0,1,0)</f>
        <v/>
      </c>
      <c r="G68">
        <f>IFERROR(INDEX(InternalTrades!$F$2:$F$461,MATCH($A68,InternalTrades!$A$2:$A$461,0)),"")</f>
        <v/>
      </c>
      <c r="H68">
        <f>IFERROR(INDEX(ExchangeConfirms!$F$2:$F$460,MATCH($A68,ExchangeConfirms!$A$2:$A$460,0)),"")</f>
        <v/>
      </c>
      <c r="I68">
        <f>IFERROR(INDEX(InternalTrades!$G$2:$G$461,MATCH($A68,InternalTrades!$A$2:$A$461,0)),"")</f>
        <v/>
      </c>
      <c r="J68">
        <f>IFERROR(INDEX(ExchangeConfirms!$G$2:$G$460,MATCH($A68,ExchangeConfirms!$A$2:$A$460,0)),"")</f>
        <v/>
      </c>
      <c r="K68">
        <f>IFERROR(INDEX(InternalTrades!$H$2:$H$461,MATCH($A68,InternalTrades!$A$2:$A$461,0)),"")</f>
        <v/>
      </c>
      <c r="L68">
        <f>IFERROR(INDEX(ExchangeConfirms!$H$2:$H$460,MATCH($A68,ExchangeConfirms!$A$2:$A$460,0)),"")</f>
        <v/>
      </c>
      <c r="M68">
        <f>IFERROR(INDEX(InternalTrades!$J$2:$J$461,MATCH($A68,InternalTrades!$A$2:$A$461,0)),"")</f>
        <v/>
      </c>
      <c r="N68">
        <f>IFERROR(INDEX(ExchangeConfirms!$J$2:$J$460,MATCH($A68,ExchangeConfirms!$A$2:$A$460,0)),"")</f>
        <v/>
      </c>
      <c r="O68">
        <f>IFERROR(INDEX(InternalTrades!$I$2:$I$461,MATCH($A68,InternalTrades!$A$2:$A$461,0)),"")</f>
        <v/>
      </c>
      <c r="P68">
        <f>IFERROR(INDEX(ExchangeConfirms!$I$2:$I$460,MATCH($A68,ExchangeConfirms!$A$2:$A$460,0)),"")</f>
        <v/>
      </c>
      <c r="Q68">
        <f>IF(AND($E68=1,$F68=0),"MISSING IN EXCHANGE",IF(AND($E68=0,$F68=1),"MISSING IN INTERNAL",IF($G68&lt;&gt;$H68,"SIDE BREAK",IF($I68&lt;&gt;$J68,"QTY BREAK",IF(ABS($K68-$L68)&gt;0.005,"PRICE BREAK",IF(ABS($M68-$N68)&gt;0.01,"FEE BREAK","MATCHED"))))))</f>
        <v/>
      </c>
      <c r="R68">
        <f>IF($Q68="MATCHED",0,1)</f>
        <v/>
      </c>
      <c r="S68">
        <f>IF($Q68="MATCHED",0,IF($Q68="MISSING IN EXCHANGE",$O68,IF($Q68="MISSING IN INTERNAL",$P68,ABS(N($O68)-N($P68)))))</f>
        <v/>
      </c>
    </row>
    <row r="69">
      <c r="A69" t="inlineStr">
        <is>
          <t>T100068</t>
        </is>
      </c>
      <c r="B69">
        <f>IFERROR(INDEX(InternalTrades!$D$2:$D$461,MATCH($A69,InternalTrades!$A$2:$A$461,0)),INDEX(ExchangeConfirms!$D$2:$D$460,MATCH($A69,ExchangeConfirms!$A$2:$A$460,0)))</f>
        <v/>
      </c>
      <c r="C69">
        <f>IFERROR(INDEX(InternalTrades!$E$2:$E$461,MATCH($A69,InternalTrades!$A$2:$A$461,0)),INDEX(ExchangeConfirms!$E$2:$E$460,MATCH($A69,ExchangeConfirms!$A$2:$A$460,0)))</f>
        <v/>
      </c>
      <c r="D69">
        <f>IFERROR(INDEX(InternalTrades!$K$2:$K$461,MATCH($A69,InternalTrades!$A$2:$A$461,0)),INDEX(ExchangeConfirms!$K$2:$K$460,MATCH($A69,ExchangeConfirms!$A$2:$A$460,0)))</f>
        <v/>
      </c>
      <c r="E69">
        <f>IF(COUNTIF(InternalTrades!$A$2:$A$461,$A69)&gt;0,1,0)</f>
        <v/>
      </c>
      <c r="F69">
        <f>IF(COUNTIF(ExchangeConfirms!$A$2:$A$460,$A69)&gt;0,1,0)</f>
        <v/>
      </c>
      <c r="G69">
        <f>IFERROR(INDEX(InternalTrades!$F$2:$F$461,MATCH($A69,InternalTrades!$A$2:$A$461,0)),"")</f>
        <v/>
      </c>
      <c r="H69">
        <f>IFERROR(INDEX(ExchangeConfirms!$F$2:$F$460,MATCH($A69,ExchangeConfirms!$A$2:$A$460,0)),"")</f>
        <v/>
      </c>
      <c r="I69">
        <f>IFERROR(INDEX(InternalTrades!$G$2:$G$461,MATCH($A69,InternalTrades!$A$2:$A$461,0)),"")</f>
        <v/>
      </c>
      <c r="J69">
        <f>IFERROR(INDEX(ExchangeConfirms!$G$2:$G$460,MATCH($A69,ExchangeConfirms!$A$2:$A$460,0)),"")</f>
        <v/>
      </c>
      <c r="K69">
        <f>IFERROR(INDEX(InternalTrades!$H$2:$H$461,MATCH($A69,InternalTrades!$A$2:$A$461,0)),"")</f>
        <v/>
      </c>
      <c r="L69">
        <f>IFERROR(INDEX(ExchangeConfirms!$H$2:$H$460,MATCH($A69,ExchangeConfirms!$A$2:$A$460,0)),"")</f>
        <v/>
      </c>
      <c r="M69">
        <f>IFERROR(INDEX(InternalTrades!$J$2:$J$461,MATCH($A69,InternalTrades!$A$2:$A$461,0)),"")</f>
        <v/>
      </c>
      <c r="N69">
        <f>IFERROR(INDEX(ExchangeConfirms!$J$2:$J$460,MATCH($A69,ExchangeConfirms!$A$2:$A$460,0)),"")</f>
        <v/>
      </c>
      <c r="O69">
        <f>IFERROR(INDEX(InternalTrades!$I$2:$I$461,MATCH($A69,InternalTrades!$A$2:$A$461,0)),"")</f>
        <v/>
      </c>
      <c r="P69">
        <f>IFERROR(INDEX(ExchangeConfirms!$I$2:$I$460,MATCH($A69,ExchangeConfirms!$A$2:$A$460,0)),"")</f>
        <v/>
      </c>
      <c r="Q69">
        <f>IF(AND($E69=1,$F69=0),"MISSING IN EXCHANGE",IF(AND($E69=0,$F69=1),"MISSING IN INTERNAL",IF($G69&lt;&gt;$H69,"SIDE BREAK",IF($I69&lt;&gt;$J69,"QTY BREAK",IF(ABS($K69-$L69)&gt;0.005,"PRICE BREAK",IF(ABS($M69-$N69)&gt;0.01,"FEE BREAK","MATCHED"))))))</f>
        <v/>
      </c>
      <c r="R69">
        <f>IF($Q69="MATCHED",0,1)</f>
        <v/>
      </c>
      <c r="S69">
        <f>IF($Q69="MATCHED",0,IF($Q69="MISSING IN EXCHANGE",$O69,IF($Q69="MISSING IN INTERNAL",$P69,ABS(N($O69)-N($P69)))))</f>
        <v/>
      </c>
    </row>
    <row r="70">
      <c r="A70" t="inlineStr">
        <is>
          <t>T100069</t>
        </is>
      </c>
      <c r="B70">
        <f>IFERROR(INDEX(InternalTrades!$D$2:$D$461,MATCH($A70,InternalTrades!$A$2:$A$461,0)),INDEX(ExchangeConfirms!$D$2:$D$460,MATCH($A70,ExchangeConfirms!$A$2:$A$460,0)))</f>
        <v/>
      </c>
      <c r="C70">
        <f>IFERROR(INDEX(InternalTrades!$E$2:$E$461,MATCH($A70,InternalTrades!$A$2:$A$461,0)),INDEX(ExchangeConfirms!$E$2:$E$460,MATCH($A70,ExchangeConfirms!$A$2:$A$460,0)))</f>
        <v/>
      </c>
      <c r="D70">
        <f>IFERROR(INDEX(InternalTrades!$K$2:$K$461,MATCH($A70,InternalTrades!$A$2:$A$461,0)),INDEX(ExchangeConfirms!$K$2:$K$460,MATCH($A70,ExchangeConfirms!$A$2:$A$460,0)))</f>
        <v/>
      </c>
      <c r="E70">
        <f>IF(COUNTIF(InternalTrades!$A$2:$A$461,$A70)&gt;0,1,0)</f>
        <v/>
      </c>
      <c r="F70">
        <f>IF(COUNTIF(ExchangeConfirms!$A$2:$A$460,$A70)&gt;0,1,0)</f>
        <v/>
      </c>
      <c r="G70">
        <f>IFERROR(INDEX(InternalTrades!$F$2:$F$461,MATCH($A70,InternalTrades!$A$2:$A$461,0)),"")</f>
        <v/>
      </c>
      <c r="H70">
        <f>IFERROR(INDEX(ExchangeConfirms!$F$2:$F$460,MATCH($A70,ExchangeConfirms!$A$2:$A$460,0)),"")</f>
        <v/>
      </c>
      <c r="I70">
        <f>IFERROR(INDEX(InternalTrades!$G$2:$G$461,MATCH($A70,InternalTrades!$A$2:$A$461,0)),"")</f>
        <v/>
      </c>
      <c r="J70">
        <f>IFERROR(INDEX(ExchangeConfirms!$G$2:$G$460,MATCH($A70,ExchangeConfirms!$A$2:$A$460,0)),"")</f>
        <v/>
      </c>
      <c r="K70">
        <f>IFERROR(INDEX(InternalTrades!$H$2:$H$461,MATCH($A70,InternalTrades!$A$2:$A$461,0)),"")</f>
        <v/>
      </c>
      <c r="L70">
        <f>IFERROR(INDEX(ExchangeConfirms!$H$2:$H$460,MATCH($A70,ExchangeConfirms!$A$2:$A$460,0)),"")</f>
        <v/>
      </c>
      <c r="M70">
        <f>IFERROR(INDEX(InternalTrades!$J$2:$J$461,MATCH($A70,InternalTrades!$A$2:$A$461,0)),"")</f>
        <v/>
      </c>
      <c r="N70">
        <f>IFERROR(INDEX(ExchangeConfirms!$J$2:$J$460,MATCH($A70,ExchangeConfirms!$A$2:$A$460,0)),"")</f>
        <v/>
      </c>
      <c r="O70">
        <f>IFERROR(INDEX(InternalTrades!$I$2:$I$461,MATCH($A70,InternalTrades!$A$2:$A$461,0)),"")</f>
        <v/>
      </c>
      <c r="P70">
        <f>IFERROR(INDEX(ExchangeConfirms!$I$2:$I$460,MATCH($A70,ExchangeConfirms!$A$2:$A$460,0)),"")</f>
        <v/>
      </c>
      <c r="Q70">
        <f>IF(AND($E70=1,$F70=0),"MISSING IN EXCHANGE",IF(AND($E70=0,$F70=1),"MISSING IN INTERNAL",IF($G70&lt;&gt;$H70,"SIDE BREAK",IF($I70&lt;&gt;$J70,"QTY BREAK",IF(ABS($K70-$L70)&gt;0.005,"PRICE BREAK",IF(ABS($M70-$N70)&gt;0.01,"FEE BREAK","MATCHED"))))))</f>
        <v/>
      </c>
      <c r="R70">
        <f>IF($Q70="MATCHED",0,1)</f>
        <v/>
      </c>
      <c r="S70">
        <f>IF($Q70="MATCHED",0,IF($Q70="MISSING IN EXCHANGE",$O70,IF($Q70="MISSING IN INTERNAL",$P70,ABS(N($O70)-N($P70)))))</f>
        <v/>
      </c>
    </row>
    <row r="71">
      <c r="A71" t="inlineStr">
        <is>
          <t>T100070</t>
        </is>
      </c>
      <c r="B71">
        <f>IFERROR(INDEX(InternalTrades!$D$2:$D$461,MATCH($A71,InternalTrades!$A$2:$A$461,0)),INDEX(ExchangeConfirms!$D$2:$D$460,MATCH($A71,ExchangeConfirms!$A$2:$A$460,0)))</f>
        <v/>
      </c>
      <c r="C71">
        <f>IFERROR(INDEX(InternalTrades!$E$2:$E$461,MATCH($A71,InternalTrades!$A$2:$A$461,0)),INDEX(ExchangeConfirms!$E$2:$E$460,MATCH($A71,ExchangeConfirms!$A$2:$A$460,0)))</f>
        <v/>
      </c>
      <c r="D71">
        <f>IFERROR(INDEX(InternalTrades!$K$2:$K$461,MATCH($A71,InternalTrades!$A$2:$A$461,0)),INDEX(ExchangeConfirms!$K$2:$K$460,MATCH($A71,ExchangeConfirms!$A$2:$A$460,0)))</f>
        <v/>
      </c>
      <c r="E71">
        <f>IF(COUNTIF(InternalTrades!$A$2:$A$461,$A71)&gt;0,1,0)</f>
        <v/>
      </c>
      <c r="F71">
        <f>IF(COUNTIF(ExchangeConfirms!$A$2:$A$460,$A71)&gt;0,1,0)</f>
        <v/>
      </c>
      <c r="G71">
        <f>IFERROR(INDEX(InternalTrades!$F$2:$F$461,MATCH($A71,InternalTrades!$A$2:$A$461,0)),"")</f>
        <v/>
      </c>
      <c r="H71">
        <f>IFERROR(INDEX(ExchangeConfirms!$F$2:$F$460,MATCH($A71,ExchangeConfirms!$A$2:$A$460,0)),"")</f>
        <v/>
      </c>
      <c r="I71">
        <f>IFERROR(INDEX(InternalTrades!$G$2:$G$461,MATCH($A71,InternalTrades!$A$2:$A$461,0)),"")</f>
        <v/>
      </c>
      <c r="J71">
        <f>IFERROR(INDEX(ExchangeConfirms!$G$2:$G$460,MATCH($A71,ExchangeConfirms!$A$2:$A$460,0)),"")</f>
        <v/>
      </c>
      <c r="K71">
        <f>IFERROR(INDEX(InternalTrades!$H$2:$H$461,MATCH($A71,InternalTrades!$A$2:$A$461,0)),"")</f>
        <v/>
      </c>
      <c r="L71">
        <f>IFERROR(INDEX(ExchangeConfirms!$H$2:$H$460,MATCH($A71,ExchangeConfirms!$A$2:$A$460,0)),"")</f>
        <v/>
      </c>
      <c r="M71">
        <f>IFERROR(INDEX(InternalTrades!$J$2:$J$461,MATCH($A71,InternalTrades!$A$2:$A$461,0)),"")</f>
        <v/>
      </c>
      <c r="N71">
        <f>IFERROR(INDEX(ExchangeConfirms!$J$2:$J$460,MATCH($A71,ExchangeConfirms!$A$2:$A$460,0)),"")</f>
        <v/>
      </c>
      <c r="O71">
        <f>IFERROR(INDEX(InternalTrades!$I$2:$I$461,MATCH($A71,InternalTrades!$A$2:$A$461,0)),"")</f>
        <v/>
      </c>
      <c r="P71">
        <f>IFERROR(INDEX(ExchangeConfirms!$I$2:$I$460,MATCH($A71,ExchangeConfirms!$A$2:$A$460,0)),"")</f>
        <v/>
      </c>
      <c r="Q71">
        <f>IF(AND($E71=1,$F71=0),"MISSING IN EXCHANGE",IF(AND($E71=0,$F71=1),"MISSING IN INTERNAL",IF($G71&lt;&gt;$H71,"SIDE BREAK",IF($I71&lt;&gt;$J71,"QTY BREAK",IF(ABS($K71-$L71)&gt;0.005,"PRICE BREAK",IF(ABS($M71-$N71)&gt;0.01,"FEE BREAK","MATCHED"))))))</f>
        <v/>
      </c>
      <c r="R71">
        <f>IF($Q71="MATCHED",0,1)</f>
        <v/>
      </c>
      <c r="S71">
        <f>IF($Q71="MATCHED",0,IF($Q71="MISSING IN EXCHANGE",$O71,IF($Q71="MISSING IN INTERNAL",$P71,ABS(N($O71)-N($P71)))))</f>
        <v/>
      </c>
    </row>
    <row r="72">
      <c r="A72" t="inlineStr">
        <is>
          <t>T100071</t>
        </is>
      </c>
      <c r="B72">
        <f>IFERROR(INDEX(InternalTrades!$D$2:$D$461,MATCH($A72,InternalTrades!$A$2:$A$461,0)),INDEX(ExchangeConfirms!$D$2:$D$460,MATCH($A72,ExchangeConfirms!$A$2:$A$460,0)))</f>
        <v/>
      </c>
      <c r="C72">
        <f>IFERROR(INDEX(InternalTrades!$E$2:$E$461,MATCH($A72,InternalTrades!$A$2:$A$461,0)),INDEX(ExchangeConfirms!$E$2:$E$460,MATCH($A72,ExchangeConfirms!$A$2:$A$460,0)))</f>
        <v/>
      </c>
      <c r="D72">
        <f>IFERROR(INDEX(InternalTrades!$K$2:$K$461,MATCH($A72,InternalTrades!$A$2:$A$461,0)),INDEX(ExchangeConfirms!$K$2:$K$460,MATCH($A72,ExchangeConfirms!$A$2:$A$460,0)))</f>
        <v/>
      </c>
      <c r="E72">
        <f>IF(COUNTIF(InternalTrades!$A$2:$A$461,$A72)&gt;0,1,0)</f>
        <v/>
      </c>
      <c r="F72">
        <f>IF(COUNTIF(ExchangeConfirms!$A$2:$A$460,$A72)&gt;0,1,0)</f>
        <v/>
      </c>
      <c r="G72">
        <f>IFERROR(INDEX(InternalTrades!$F$2:$F$461,MATCH($A72,InternalTrades!$A$2:$A$461,0)),"")</f>
        <v/>
      </c>
      <c r="H72">
        <f>IFERROR(INDEX(ExchangeConfirms!$F$2:$F$460,MATCH($A72,ExchangeConfirms!$A$2:$A$460,0)),"")</f>
        <v/>
      </c>
      <c r="I72">
        <f>IFERROR(INDEX(InternalTrades!$G$2:$G$461,MATCH($A72,InternalTrades!$A$2:$A$461,0)),"")</f>
        <v/>
      </c>
      <c r="J72">
        <f>IFERROR(INDEX(ExchangeConfirms!$G$2:$G$460,MATCH($A72,ExchangeConfirms!$A$2:$A$460,0)),"")</f>
        <v/>
      </c>
      <c r="K72">
        <f>IFERROR(INDEX(InternalTrades!$H$2:$H$461,MATCH($A72,InternalTrades!$A$2:$A$461,0)),"")</f>
        <v/>
      </c>
      <c r="L72">
        <f>IFERROR(INDEX(ExchangeConfirms!$H$2:$H$460,MATCH($A72,ExchangeConfirms!$A$2:$A$460,0)),"")</f>
        <v/>
      </c>
      <c r="M72">
        <f>IFERROR(INDEX(InternalTrades!$J$2:$J$461,MATCH($A72,InternalTrades!$A$2:$A$461,0)),"")</f>
        <v/>
      </c>
      <c r="N72">
        <f>IFERROR(INDEX(ExchangeConfirms!$J$2:$J$460,MATCH($A72,ExchangeConfirms!$A$2:$A$460,0)),"")</f>
        <v/>
      </c>
      <c r="O72">
        <f>IFERROR(INDEX(InternalTrades!$I$2:$I$461,MATCH($A72,InternalTrades!$A$2:$A$461,0)),"")</f>
        <v/>
      </c>
      <c r="P72">
        <f>IFERROR(INDEX(ExchangeConfirms!$I$2:$I$460,MATCH($A72,ExchangeConfirms!$A$2:$A$460,0)),"")</f>
        <v/>
      </c>
      <c r="Q72">
        <f>IF(AND($E72=1,$F72=0),"MISSING IN EXCHANGE",IF(AND($E72=0,$F72=1),"MISSING IN INTERNAL",IF($G72&lt;&gt;$H72,"SIDE BREAK",IF($I72&lt;&gt;$J72,"QTY BREAK",IF(ABS($K72-$L72)&gt;0.005,"PRICE BREAK",IF(ABS($M72-$N72)&gt;0.01,"FEE BREAK","MATCHED"))))))</f>
        <v/>
      </c>
      <c r="R72">
        <f>IF($Q72="MATCHED",0,1)</f>
        <v/>
      </c>
      <c r="S72">
        <f>IF($Q72="MATCHED",0,IF($Q72="MISSING IN EXCHANGE",$O72,IF($Q72="MISSING IN INTERNAL",$P72,ABS(N($O72)-N($P72)))))</f>
        <v/>
      </c>
    </row>
    <row r="73">
      <c r="A73" t="inlineStr">
        <is>
          <t>T100072</t>
        </is>
      </c>
      <c r="B73">
        <f>IFERROR(INDEX(InternalTrades!$D$2:$D$461,MATCH($A73,InternalTrades!$A$2:$A$461,0)),INDEX(ExchangeConfirms!$D$2:$D$460,MATCH($A73,ExchangeConfirms!$A$2:$A$460,0)))</f>
        <v/>
      </c>
      <c r="C73">
        <f>IFERROR(INDEX(InternalTrades!$E$2:$E$461,MATCH($A73,InternalTrades!$A$2:$A$461,0)),INDEX(ExchangeConfirms!$E$2:$E$460,MATCH($A73,ExchangeConfirms!$A$2:$A$460,0)))</f>
        <v/>
      </c>
      <c r="D73">
        <f>IFERROR(INDEX(InternalTrades!$K$2:$K$461,MATCH($A73,InternalTrades!$A$2:$A$461,0)),INDEX(ExchangeConfirms!$K$2:$K$460,MATCH($A73,ExchangeConfirms!$A$2:$A$460,0)))</f>
        <v/>
      </c>
      <c r="E73">
        <f>IF(COUNTIF(InternalTrades!$A$2:$A$461,$A73)&gt;0,1,0)</f>
        <v/>
      </c>
      <c r="F73">
        <f>IF(COUNTIF(ExchangeConfirms!$A$2:$A$460,$A73)&gt;0,1,0)</f>
        <v/>
      </c>
      <c r="G73">
        <f>IFERROR(INDEX(InternalTrades!$F$2:$F$461,MATCH($A73,InternalTrades!$A$2:$A$461,0)),"")</f>
        <v/>
      </c>
      <c r="H73">
        <f>IFERROR(INDEX(ExchangeConfirms!$F$2:$F$460,MATCH($A73,ExchangeConfirms!$A$2:$A$460,0)),"")</f>
        <v/>
      </c>
      <c r="I73">
        <f>IFERROR(INDEX(InternalTrades!$G$2:$G$461,MATCH($A73,InternalTrades!$A$2:$A$461,0)),"")</f>
        <v/>
      </c>
      <c r="J73">
        <f>IFERROR(INDEX(ExchangeConfirms!$G$2:$G$460,MATCH($A73,ExchangeConfirms!$A$2:$A$460,0)),"")</f>
        <v/>
      </c>
      <c r="K73">
        <f>IFERROR(INDEX(InternalTrades!$H$2:$H$461,MATCH($A73,InternalTrades!$A$2:$A$461,0)),"")</f>
        <v/>
      </c>
      <c r="L73">
        <f>IFERROR(INDEX(ExchangeConfirms!$H$2:$H$460,MATCH($A73,ExchangeConfirms!$A$2:$A$460,0)),"")</f>
        <v/>
      </c>
      <c r="M73">
        <f>IFERROR(INDEX(InternalTrades!$J$2:$J$461,MATCH($A73,InternalTrades!$A$2:$A$461,0)),"")</f>
        <v/>
      </c>
      <c r="N73">
        <f>IFERROR(INDEX(ExchangeConfirms!$J$2:$J$460,MATCH($A73,ExchangeConfirms!$A$2:$A$460,0)),"")</f>
        <v/>
      </c>
      <c r="O73">
        <f>IFERROR(INDEX(InternalTrades!$I$2:$I$461,MATCH($A73,InternalTrades!$A$2:$A$461,0)),"")</f>
        <v/>
      </c>
      <c r="P73">
        <f>IFERROR(INDEX(ExchangeConfirms!$I$2:$I$460,MATCH($A73,ExchangeConfirms!$A$2:$A$460,0)),"")</f>
        <v/>
      </c>
      <c r="Q73">
        <f>IF(AND($E73=1,$F73=0),"MISSING IN EXCHANGE",IF(AND($E73=0,$F73=1),"MISSING IN INTERNAL",IF($G73&lt;&gt;$H73,"SIDE BREAK",IF($I73&lt;&gt;$J73,"QTY BREAK",IF(ABS($K73-$L73)&gt;0.005,"PRICE BREAK",IF(ABS($M73-$N73)&gt;0.01,"FEE BREAK","MATCHED"))))))</f>
        <v/>
      </c>
      <c r="R73">
        <f>IF($Q73="MATCHED",0,1)</f>
        <v/>
      </c>
      <c r="S73">
        <f>IF($Q73="MATCHED",0,IF($Q73="MISSING IN EXCHANGE",$O73,IF($Q73="MISSING IN INTERNAL",$P73,ABS(N($O73)-N($P73)))))</f>
        <v/>
      </c>
    </row>
    <row r="74">
      <c r="A74" t="inlineStr">
        <is>
          <t>T100073</t>
        </is>
      </c>
      <c r="B74">
        <f>IFERROR(INDEX(InternalTrades!$D$2:$D$461,MATCH($A74,InternalTrades!$A$2:$A$461,0)),INDEX(ExchangeConfirms!$D$2:$D$460,MATCH($A74,ExchangeConfirms!$A$2:$A$460,0)))</f>
        <v/>
      </c>
      <c r="C74">
        <f>IFERROR(INDEX(InternalTrades!$E$2:$E$461,MATCH($A74,InternalTrades!$A$2:$A$461,0)),INDEX(ExchangeConfirms!$E$2:$E$460,MATCH($A74,ExchangeConfirms!$A$2:$A$460,0)))</f>
        <v/>
      </c>
      <c r="D74">
        <f>IFERROR(INDEX(InternalTrades!$K$2:$K$461,MATCH($A74,InternalTrades!$A$2:$A$461,0)),INDEX(ExchangeConfirms!$K$2:$K$460,MATCH($A74,ExchangeConfirms!$A$2:$A$460,0)))</f>
        <v/>
      </c>
      <c r="E74">
        <f>IF(COUNTIF(InternalTrades!$A$2:$A$461,$A74)&gt;0,1,0)</f>
        <v/>
      </c>
      <c r="F74">
        <f>IF(COUNTIF(ExchangeConfirms!$A$2:$A$460,$A74)&gt;0,1,0)</f>
        <v/>
      </c>
      <c r="G74">
        <f>IFERROR(INDEX(InternalTrades!$F$2:$F$461,MATCH($A74,InternalTrades!$A$2:$A$461,0)),"")</f>
        <v/>
      </c>
      <c r="H74">
        <f>IFERROR(INDEX(ExchangeConfirms!$F$2:$F$460,MATCH($A74,ExchangeConfirms!$A$2:$A$460,0)),"")</f>
        <v/>
      </c>
      <c r="I74">
        <f>IFERROR(INDEX(InternalTrades!$G$2:$G$461,MATCH($A74,InternalTrades!$A$2:$A$461,0)),"")</f>
        <v/>
      </c>
      <c r="J74">
        <f>IFERROR(INDEX(ExchangeConfirms!$G$2:$G$460,MATCH($A74,ExchangeConfirms!$A$2:$A$460,0)),"")</f>
        <v/>
      </c>
      <c r="K74">
        <f>IFERROR(INDEX(InternalTrades!$H$2:$H$461,MATCH($A74,InternalTrades!$A$2:$A$461,0)),"")</f>
        <v/>
      </c>
      <c r="L74">
        <f>IFERROR(INDEX(ExchangeConfirms!$H$2:$H$460,MATCH($A74,ExchangeConfirms!$A$2:$A$460,0)),"")</f>
        <v/>
      </c>
      <c r="M74">
        <f>IFERROR(INDEX(InternalTrades!$J$2:$J$461,MATCH($A74,InternalTrades!$A$2:$A$461,0)),"")</f>
        <v/>
      </c>
      <c r="N74">
        <f>IFERROR(INDEX(ExchangeConfirms!$J$2:$J$460,MATCH($A74,ExchangeConfirms!$A$2:$A$460,0)),"")</f>
        <v/>
      </c>
      <c r="O74">
        <f>IFERROR(INDEX(InternalTrades!$I$2:$I$461,MATCH($A74,InternalTrades!$A$2:$A$461,0)),"")</f>
        <v/>
      </c>
      <c r="P74">
        <f>IFERROR(INDEX(ExchangeConfirms!$I$2:$I$460,MATCH($A74,ExchangeConfirms!$A$2:$A$460,0)),"")</f>
        <v/>
      </c>
      <c r="Q74">
        <f>IF(AND($E74=1,$F74=0),"MISSING IN EXCHANGE",IF(AND($E74=0,$F74=1),"MISSING IN INTERNAL",IF($G74&lt;&gt;$H74,"SIDE BREAK",IF($I74&lt;&gt;$J74,"QTY BREAK",IF(ABS($K74-$L74)&gt;0.005,"PRICE BREAK",IF(ABS($M74-$N74)&gt;0.01,"FEE BREAK","MATCHED"))))))</f>
        <v/>
      </c>
      <c r="R74">
        <f>IF($Q74="MATCHED",0,1)</f>
        <v/>
      </c>
      <c r="S74">
        <f>IF($Q74="MATCHED",0,IF($Q74="MISSING IN EXCHANGE",$O74,IF($Q74="MISSING IN INTERNAL",$P74,ABS(N($O74)-N($P74)))))</f>
        <v/>
      </c>
    </row>
    <row r="75">
      <c r="A75" t="inlineStr">
        <is>
          <t>T100074</t>
        </is>
      </c>
      <c r="B75">
        <f>IFERROR(INDEX(InternalTrades!$D$2:$D$461,MATCH($A75,InternalTrades!$A$2:$A$461,0)),INDEX(ExchangeConfirms!$D$2:$D$460,MATCH($A75,ExchangeConfirms!$A$2:$A$460,0)))</f>
        <v/>
      </c>
      <c r="C75">
        <f>IFERROR(INDEX(InternalTrades!$E$2:$E$461,MATCH($A75,InternalTrades!$A$2:$A$461,0)),INDEX(ExchangeConfirms!$E$2:$E$460,MATCH($A75,ExchangeConfirms!$A$2:$A$460,0)))</f>
        <v/>
      </c>
      <c r="D75">
        <f>IFERROR(INDEX(InternalTrades!$K$2:$K$461,MATCH($A75,InternalTrades!$A$2:$A$461,0)),INDEX(ExchangeConfirms!$K$2:$K$460,MATCH($A75,ExchangeConfirms!$A$2:$A$460,0)))</f>
        <v/>
      </c>
      <c r="E75">
        <f>IF(COUNTIF(InternalTrades!$A$2:$A$461,$A75)&gt;0,1,0)</f>
        <v/>
      </c>
      <c r="F75">
        <f>IF(COUNTIF(ExchangeConfirms!$A$2:$A$460,$A75)&gt;0,1,0)</f>
        <v/>
      </c>
      <c r="G75">
        <f>IFERROR(INDEX(InternalTrades!$F$2:$F$461,MATCH($A75,InternalTrades!$A$2:$A$461,0)),"")</f>
        <v/>
      </c>
      <c r="H75">
        <f>IFERROR(INDEX(ExchangeConfirms!$F$2:$F$460,MATCH($A75,ExchangeConfirms!$A$2:$A$460,0)),"")</f>
        <v/>
      </c>
      <c r="I75">
        <f>IFERROR(INDEX(InternalTrades!$G$2:$G$461,MATCH($A75,InternalTrades!$A$2:$A$461,0)),"")</f>
        <v/>
      </c>
      <c r="J75">
        <f>IFERROR(INDEX(ExchangeConfirms!$G$2:$G$460,MATCH($A75,ExchangeConfirms!$A$2:$A$460,0)),"")</f>
        <v/>
      </c>
      <c r="K75">
        <f>IFERROR(INDEX(InternalTrades!$H$2:$H$461,MATCH($A75,InternalTrades!$A$2:$A$461,0)),"")</f>
        <v/>
      </c>
      <c r="L75">
        <f>IFERROR(INDEX(ExchangeConfirms!$H$2:$H$460,MATCH($A75,ExchangeConfirms!$A$2:$A$460,0)),"")</f>
        <v/>
      </c>
      <c r="M75">
        <f>IFERROR(INDEX(InternalTrades!$J$2:$J$461,MATCH($A75,InternalTrades!$A$2:$A$461,0)),"")</f>
        <v/>
      </c>
      <c r="N75">
        <f>IFERROR(INDEX(ExchangeConfirms!$J$2:$J$460,MATCH($A75,ExchangeConfirms!$A$2:$A$460,0)),"")</f>
        <v/>
      </c>
      <c r="O75">
        <f>IFERROR(INDEX(InternalTrades!$I$2:$I$461,MATCH($A75,InternalTrades!$A$2:$A$461,0)),"")</f>
        <v/>
      </c>
      <c r="P75">
        <f>IFERROR(INDEX(ExchangeConfirms!$I$2:$I$460,MATCH($A75,ExchangeConfirms!$A$2:$A$460,0)),"")</f>
        <v/>
      </c>
      <c r="Q75">
        <f>IF(AND($E75=1,$F75=0),"MISSING IN EXCHANGE",IF(AND($E75=0,$F75=1),"MISSING IN INTERNAL",IF($G75&lt;&gt;$H75,"SIDE BREAK",IF($I75&lt;&gt;$J75,"QTY BREAK",IF(ABS($K75-$L75)&gt;0.005,"PRICE BREAK",IF(ABS($M75-$N75)&gt;0.01,"FEE BREAK","MATCHED"))))))</f>
        <v/>
      </c>
      <c r="R75">
        <f>IF($Q75="MATCHED",0,1)</f>
        <v/>
      </c>
      <c r="S75">
        <f>IF($Q75="MATCHED",0,IF($Q75="MISSING IN EXCHANGE",$O75,IF($Q75="MISSING IN INTERNAL",$P75,ABS(N($O75)-N($P75)))))</f>
        <v/>
      </c>
    </row>
    <row r="76">
      <c r="A76" t="inlineStr">
        <is>
          <t>T100075</t>
        </is>
      </c>
      <c r="B76">
        <f>IFERROR(INDEX(InternalTrades!$D$2:$D$461,MATCH($A76,InternalTrades!$A$2:$A$461,0)),INDEX(ExchangeConfirms!$D$2:$D$460,MATCH($A76,ExchangeConfirms!$A$2:$A$460,0)))</f>
        <v/>
      </c>
      <c r="C76">
        <f>IFERROR(INDEX(InternalTrades!$E$2:$E$461,MATCH($A76,InternalTrades!$A$2:$A$461,0)),INDEX(ExchangeConfirms!$E$2:$E$460,MATCH($A76,ExchangeConfirms!$A$2:$A$460,0)))</f>
        <v/>
      </c>
      <c r="D76">
        <f>IFERROR(INDEX(InternalTrades!$K$2:$K$461,MATCH($A76,InternalTrades!$A$2:$A$461,0)),INDEX(ExchangeConfirms!$K$2:$K$460,MATCH($A76,ExchangeConfirms!$A$2:$A$460,0)))</f>
        <v/>
      </c>
      <c r="E76">
        <f>IF(COUNTIF(InternalTrades!$A$2:$A$461,$A76)&gt;0,1,0)</f>
        <v/>
      </c>
      <c r="F76">
        <f>IF(COUNTIF(ExchangeConfirms!$A$2:$A$460,$A76)&gt;0,1,0)</f>
        <v/>
      </c>
      <c r="G76">
        <f>IFERROR(INDEX(InternalTrades!$F$2:$F$461,MATCH($A76,InternalTrades!$A$2:$A$461,0)),"")</f>
        <v/>
      </c>
      <c r="H76">
        <f>IFERROR(INDEX(ExchangeConfirms!$F$2:$F$460,MATCH($A76,ExchangeConfirms!$A$2:$A$460,0)),"")</f>
        <v/>
      </c>
      <c r="I76">
        <f>IFERROR(INDEX(InternalTrades!$G$2:$G$461,MATCH($A76,InternalTrades!$A$2:$A$461,0)),"")</f>
        <v/>
      </c>
      <c r="J76">
        <f>IFERROR(INDEX(ExchangeConfirms!$G$2:$G$460,MATCH($A76,ExchangeConfirms!$A$2:$A$460,0)),"")</f>
        <v/>
      </c>
      <c r="K76">
        <f>IFERROR(INDEX(InternalTrades!$H$2:$H$461,MATCH($A76,InternalTrades!$A$2:$A$461,0)),"")</f>
        <v/>
      </c>
      <c r="L76">
        <f>IFERROR(INDEX(ExchangeConfirms!$H$2:$H$460,MATCH($A76,ExchangeConfirms!$A$2:$A$460,0)),"")</f>
        <v/>
      </c>
      <c r="M76">
        <f>IFERROR(INDEX(InternalTrades!$J$2:$J$461,MATCH($A76,InternalTrades!$A$2:$A$461,0)),"")</f>
        <v/>
      </c>
      <c r="N76">
        <f>IFERROR(INDEX(ExchangeConfirms!$J$2:$J$460,MATCH($A76,ExchangeConfirms!$A$2:$A$460,0)),"")</f>
        <v/>
      </c>
      <c r="O76">
        <f>IFERROR(INDEX(InternalTrades!$I$2:$I$461,MATCH($A76,InternalTrades!$A$2:$A$461,0)),"")</f>
        <v/>
      </c>
      <c r="P76">
        <f>IFERROR(INDEX(ExchangeConfirms!$I$2:$I$460,MATCH($A76,ExchangeConfirms!$A$2:$A$460,0)),"")</f>
        <v/>
      </c>
      <c r="Q76">
        <f>IF(AND($E76=1,$F76=0),"MISSING IN EXCHANGE",IF(AND($E76=0,$F76=1),"MISSING IN INTERNAL",IF($G76&lt;&gt;$H76,"SIDE BREAK",IF($I76&lt;&gt;$J76,"QTY BREAK",IF(ABS($K76-$L76)&gt;0.005,"PRICE BREAK",IF(ABS($M76-$N76)&gt;0.01,"FEE BREAK","MATCHED"))))))</f>
        <v/>
      </c>
      <c r="R76">
        <f>IF($Q76="MATCHED",0,1)</f>
        <v/>
      </c>
      <c r="S76">
        <f>IF($Q76="MATCHED",0,IF($Q76="MISSING IN EXCHANGE",$O76,IF($Q76="MISSING IN INTERNAL",$P76,ABS(N($O76)-N($P76)))))</f>
        <v/>
      </c>
    </row>
    <row r="77">
      <c r="A77" t="inlineStr">
        <is>
          <t>T100076</t>
        </is>
      </c>
      <c r="B77">
        <f>IFERROR(INDEX(InternalTrades!$D$2:$D$461,MATCH($A77,InternalTrades!$A$2:$A$461,0)),INDEX(ExchangeConfirms!$D$2:$D$460,MATCH($A77,ExchangeConfirms!$A$2:$A$460,0)))</f>
        <v/>
      </c>
      <c r="C77">
        <f>IFERROR(INDEX(InternalTrades!$E$2:$E$461,MATCH($A77,InternalTrades!$A$2:$A$461,0)),INDEX(ExchangeConfirms!$E$2:$E$460,MATCH($A77,ExchangeConfirms!$A$2:$A$460,0)))</f>
        <v/>
      </c>
      <c r="D77">
        <f>IFERROR(INDEX(InternalTrades!$K$2:$K$461,MATCH($A77,InternalTrades!$A$2:$A$461,0)),INDEX(ExchangeConfirms!$K$2:$K$460,MATCH($A77,ExchangeConfirms!$A$2:$A$460,0)))</f>
        <v/>
      </c>
      <c r="E77">
        <f>IF(COUNTIF(InternalTrades!$A$2:$A$461,$A77)&gt;0,1,0)</f>
        <v/>
      </c>
      <c r="F77">
        <f>IF(COUNTIF(ExchangeConfirms!$A$2:$A$460,$A77)&gt;0,1,0)</f>
        <v/>
      </c>
      <c r="G77">
        <f>IFERROR(INDEX(InternalTrades!$F$2:$F$461,MATCH($A77,InternalTrades!$A$2:$A$461,0)),"")</f>
        <v/>
      </c>
      <c r="H77">
        <f>IFERROR(INDEX(ExchangeConfirms!$F$2:$F$460,MATCH($A77,ExchangeConfirms!$A$2:$A$460,0)),"")</f>
        <v/>
      </c>
      <c r="I77">
        <f>IFERROR(INDEX(InternalTrades!$G$2:$G$461,MATCH($A77,InternalTrades!$A$2:$A$461,0)),"")</f>
        <v/>
      </c>
      <c r="J77">
        <f>IFERROR(INDEX(ExchangeConfirms!$G$2:$G$460,MATCH($A77,ExchangeConfirms!$A$2:$A$460,0)),"")</f>
        <v/>
      </c>
      <c r="K77">
        <f>IFERROR(INDEX(InternalTrades!$H$2:$H$461,MATCH($A77,InternalTrades!$A$2:$A$461,0)),"")</f>
        <v/>
      </c>
      <c r="L77">
        <f>IFERROR(INDEX(ExchangeConfirms!$H$2:$H$460,MATCH($A77,ExchangeConfirms!$A$2:$A$460,0)),"")</f>
        <v/>
      </c>
      <c r="M77">
        <f>IFERROR(INDEX(InternalTrades!$J$2:$J$461,MATCH($A77,InternalTrades!$A$2:$A$461,0)),"")</f>
        <v/>
      </c>
      <c r="N77">
        <f>IFERROR(INDEX(ExchangeConfirms!$J$2:$J$460,MATCH($A77,ExchangeConfirms!$A$2:$A$460,0)),"")</f>
        <v/>
      </c>
      <c r="O77">
        <f>IFERROR(INDEX(InternalTrades!$I$2:$I$461,MATCH($A77,InternalTrades!$A$2:$A$461,0)),"")</f>
        <v/>
      </c>
      <c r="P77">
        <f>IFERROR(INDEX(ExchangeConfirms!$I$2:$I$460,MATCH($A77,ExchangeConfirms!$A$2:$A$460,0)),"")</f>
        <v/>
      </c>
      <c r="Q77">
        <f>IF(AND($E77=1,$F77=0),"MISSING IN EXCHANGE",IF(AND($E77=0,$F77=1),"MISSING IN INTERNAL",IF($G77&lt;&gt;$H77,"SIDE BREAK",IF($I77&lt;&gt;$J77,"QTY BREAK",IF(ABS($K77-$L77)&gt;0.005,"PRICE BREAK",IF(ABS($M77-$N77)&gt;0.01,"FEE BREAK","MATCHED"))))))</f>
        <v/>
      </c>
      <c r="R77">
        <f>IF($Q77="MATCHED",0,1)</f>
        <v/>
      </c>
      <c r="S77">
        <f>IF($Q77="MATCHED",0,IF($Q77="MISSING IN EXCHANGE",$O77,IF($Q77="MISSING IN INTERNAL",$P77,ABS(N($O77)-N($P77)))))</f>
        <v/>
      </c>
    </row>
    <row r="78">
      <c r="A78" t="inlineStr">
        <is>
          <t>T100077</t>
        </is>
      </c>
      <c r="B78">
        <f>IFERROR(INDEX(InternalTrades!$D$2:$D$461,MATCH($A78,InternalTrades!$A$2:$A$461,0)),INDEX(ExchangeConfirms!$D$2:$D$460,MATCH($A78,ExchangeConfirms!$A$2:$A$460,0)))</f>
        <v/>
      </c>
      <c r="C78">
        <f>IFERROR(INDEX(InternalTrades!$E$2:$E$461,MATCH($A78,InternalTrades!$A$2:$A$461,0)),INDEX(ExchangeConfirms!$E$2:$E$460,MATCH($A78,ExchangeConfirms!$A$2:$A$460,0)))</f>
        <v/>
      </c>
      <c r="D78">
        <f>IFERROR(INDEX(InternalTrades!$K$2:$K$461,MATCH($A78,InternalTrades!$A$2:$A$461,0)),INDEX(ExchangeConfirms!$K$2:$K$460,MATCH($A78,ExchangeConfirms!$A$2:$A$460,0)))</f>
        <v/>
      </c>
      <c r="E78">
        <f>IF(COUNTIF(InternalTrades!$A$2:$A$461,$A78)&gt;0,1,0)</f>
        <v/>
      </c>
      <c r="F78">
        <f>IF(COUNTIF(ExchangeConfirms!$A$2:$A$460,$A78)&gt;0,1,0)</f>
        <v/>
      </c>
      <c r="G78">
        <f>IFERROR(INDEX(InternalTrades!$F$2:$F$461,MATCH($A78,InternalTrades!$A$2:$A$461,0)),"")</f>
        <v/>
      </c>
      <c r="H78">
        <f>IFERROR(INDEX(ExchangeConfirms!$F$2:$F$460,MATCH($A78,ExchangeConfirms!$A$2:$A$460,0)),"")</f>
        <v/>
      </c>
      <c r="I78">
        <f>IFERROR(INDEX(InternalTrades!$G$2:$G$461,MATCH($A78,InternalTrades!$A$2:$A$461,0)),"")</f>
        <v/>
      </c>
      <c r="J78">
        <f>IFERROR(INDEX(ExchangeConfirms!$G$2:$G$460,MATCH($A78,ExchangeConfirms!$A$2:$A$460,0)),"")</f>
        <v/>
      </c>
      <c r="K78">
        <f>IFERROR(INDEX(InternalTrades!$H$2:$H$461,MATCH($A78,InternalTrades!$A$2:$A$461,0)),"")</f>
        <v/>
      </c>
      <c r="L78">
        <f>IFERROR(INDEX(ExchangeConfirms!$H$2:$H$460,MATCH($A78,ExchangeConfirms!$A$2:$A$460,0)),"")</f>
        <v/>
      </c>
      <c r="M78">
        <f>IFERROR(INDEX(InternalTrades!$J$2:$J$461,MATCH($A78,InternalTrades!$A$2:$A$461,0)),"")</f>
        <v/>
      </c>
      <c r="N78">
        <f>IFERROR(INDEX(ExchangeConfirms!$J$2:$J$460,MATCH($A78,ExchangeConfirms!$A$2:$A$460,0)),"")</f>
        <v/>
      </c>
      <c r="O78">
        <f>IFERROR(INDEX(InternalTrades!$I$2:$I$461,MATCH($A78,InternalTrades!$A$2:$A$461,0)),"")</f>
        <v/>
      </c>
      <c r="P78">
        <f>IFERROR(INDEX(ExchangeConfirms!$I$2:$I$460,MATCH($A78,ExchangeConfirms!$A$2:$A$460,0)),"")</f>
        <v/>
      </c>
      <c r="Q78">
        <f>IF(AND($E78=1,$F78=0),"MISSING IN EXCHANGE",IF(AND($E78=0,$F78=1),"MISSING IN INTERNAL",IF($G78&lt;&gt;$H78,"SIDE BREAK",IF($I78&lt;&gt;$J78,"QTY BREAK",IF(ABS($K78-$L78)&gt;0.005,"PRICE BREAK",IF(ABS($M78-$N78)&gt;0.01,"FEE BREAK","MATCHED"))))))</f>
        <v/>
      </c>
      <c r="R78">
        <f>IF($Q78="MATCHED",0,1)</f>
        <v/>
      </c>
      <c r="S78">
        <f>IF($Q78="MATCHED",0,IF($Q78="MISSING IN EXCHANGE",$O78,IF($Q78="MISSING IN INTERNAL",$P78,ABS(N($O78)-N($P78)))))</f>
        <v/>
      </c>
    </row>
    <row r="79">
      <c r="A79" t="inlineStr">
        <is>
          <t>T100078</t>
        </is>
      </c>
      <c r="B79">
        <f>IFERROR(INDEX(InternalTrades!$D$2:$D$461,MATCH($A79,InternalTrades!$A$2:$A$461,0)),INDEX(ExchangeConfirms!$D$2:$D$460,MATCH($A79,ExchangeConfirms!$A$2:$A$460,0)))</f>
        <v/>
      </c>
      <c r="C79">
        <f>IFERROR(INDEX(InternalTrades!$E$2:$E$461,MATCH($A79,InternalTrades!$A$2:$A$461,0)),INDEX(ExchangeConfirms!$E$2:$E$460,MATCH($A79,ExchangeConfirms!$A$2:$A$460,0)))</f>
        <v/>
      </c>
      <c r="D79">
        <f>IFERROR(INDEX(InternalTrades!$K$2:$K$461,MATCH($A79,InternalTrades!$A$2:$A$461,0)),INDEX(ExchangeConfirms!$K$2:$K$460,MATCH($A79,ExchangeConfirms!$A$2:$A$460,0)))</f>
        <v/>
      </c>
      <c r="E79">
        <f>IF(COUNTIF(InternalTrades!$A$2:$A$461,$A79)&gt;0,1,0)</f>
        <v/>
      </c>
      <c r="F79">
        <f>IF(COUNTIF(ExchangeConfirms!$A$2:$A$460,$A79)&gt;0,1,0)</f>
        <v/>
      </c>
      <c r="G79">
        <f>IFERROR(INDEX(InternalTrades!$F$2:$F$461,MATCH($A79,InternalTrades!$A$2:$A$461,0)),"")</f>
        <v/>
      </c>
      <c r="H79">
        <f>IFERROR(INDEX(ExchangeConfirms!$F$2:$F$460,MATCH($A79,ExchangeConfirms!$A$2:$A$460,0)),"")</f>
        <v/>
      </c>
      <c r="I79">
        <f>IFERROR(INDEX(InternalTrades!$G$2:$G$461,MATCH($A79,InternalTrades!$A$2:$A$461,0)),"")</f>
        <v/>
      </c>
      <c r="J79">
        <f>IFERROR(INDEX(ExchangeConfirms!$G$2:$G$460,MATCH($A79,ExchangeConfirms!$A$2:$A$460,0)),"")</f>
        <v/>
      </c>
      <c r="K79">
        <f>IFERROR(INDEX(InternalTrades!$H$2:$H$461,MATCH($A79,InternalTrades!$A$2:$A$461,0)),"")</f>
        <v/>
      </c>
      <c r="L79">
        <f>IFERROR(INDEX(ExchangeConfirms!$H$2:$H$460,MATCH($A79,ExchangeConfirms!$A$2:$A$460,0)),"")</f>
        <v/>
      </c>
      <c r="M79">
        <f>IFERROR(INDEX(InternalTrades!$J$2:$J$461,MATCH($A79,InternalTrades!$A$2:$A$461,0)),"")</f>
        <v/>
      </c>
      <c r="N79">
        <f>IFERROR(INDEX(ExchangeConfirms!$J$2:$J$460,MATCH($A79,ExchangeConfirms!$A$2:$A$460,0)),"")</f>
        <v/>
      </c>
      <c r="O79">
        <f>IFERROR(INDEX(InternalTrades!$I$2:$I$461,MATCH($A79,InternalTrades!$A$2:$A$461,0)),"")</f>
        <v/>
      </c>
      <c r="P79">
        <f>IFERROR(INDEX(ExchangeConfirms!$I$2:$I$460,MATCH($A79,ExchangeConfirms!$A$2:$A$460,0)),"")</f>
        <v/>
      </c>
      <c r="Q79">
        <f>IF(AND($E79=1,$F79=0),"MISSING IN EXCHANGE",IF(AND($E79=0,$F79=1),"MISSING IN INTERNAL",IF($G79&lt;&gt;$H79,"SIDE BREAK",IF($I79&lt;&gt;$J79,"QTY BREAK",IF(ABS($K79-$L79)&gt;0.005,"PRICE BREAK",IF(ABS($M79-$N79)&gt;0.01,"FEE BREAK","MATCHED"))))))</f>
        <v/>
      </c>
      <c r="R79">
        <f>IF($Q79="MATCHED",0,1)</f>
        <v/>
      </c>
      <c r="S79">
        <f>IF($Q79="MATCHED",0,IF($Q79="MISSING IN EXCHANGE",$O79,IF($Q79="MISSING IN INTERNAL",$P79,ABS(N($O79)-N($P79)))))</f>
        <v/>
      </c>
    </row>
    <row r="80">
      <c r="A80" t="inlineStr">
        <is>
          <t>T100079</t>
        </is>
      </c>
      <c r="B80">
        <f>IFERROR(INDEX(InternalTrades!$D$2:$D$461,MATCH($A80,InternalTrades!$A$2:$A$461,0)),INDEX(ExchangeConfirms!$D$2:$D$460,MATCH($A80,ExchangeConfirms!$A$2:$A$460,0)))</f>
        <v/>
      </c>
      <c r="C80">
        <f>IFERROR(INDEX(InternalTrades!$E$2:$E$461,MATCH($A80,InternalTrades!$A$2:$A$461,0)),INDEX(ExchangeConfirms!$E$2:$E$460,MATCH($A80,ExchangeConfirms!$A$2:$A$460,0)))</f>
        <v/>
      </c>
      <c r="D80">
        <f>IFERROR(INDEX(InternalTrades!$K$2:$K$461,MATCH($A80,InternalTrades!$A$2:$A$461,0)),INDEX(ExchangeConfirms!$K$2:$K$460,MATCH($A80,ExchangeConfirms!$A$2:$A$460,0)))</f>
        <v/>
      </c>
      <c r="E80">
        <f>IF(COUNTIF(InternalTrades!$A$2:$A$461,$A80)&gt;0,1,0)</f>
        <v/>
      </c>
      <c r="F80">
        <f>IF(COUNTIF(ExchangeConfirms!$A$2:$A$460,$A80)&gt;0,1,0)</f>
        <v/>
      </c>
      <c r="G80">
        <f>IFERROR(INDEX(InternalTrades!$F$2:$F$461,MATCH($A80,InternalTrades!$A$2:$A$461,0)),"")</f>
        <v/>
      </c>
      <c r="H80">
        <f>IFERROR(INDEX(ExchangeConfirms!$F$2:$F$460,MATCH($A80,ExchangeConfirms!$A$2:$A$460,0)),"")</f>
        <v/>
      </c>
      <c r="I80">
        <f>IFERROR(INDEX(InternalTrades!$G$2:$G$461,MATCH($A80,InternalTrades!$A$2:$A$461,0)),"")</f>
        <v/>
      </c>
      <c r="J80">
        <f>IFERROR(INDEX(ExchangeConfirms!$G$2:$G$460,MATCH($A80,ExchangeConfirms!$A$2:$A$460,0)),"")</f>
        <v/>
      </c>
      <c r="K80">
        <f>IFERROR(INDEX(InternalTrades!$H$2:$H$461,MATCH($A80,InternalTrades!$A$2:$A$461,0)),"")</f>
        <v/>
      </c>
      <c r="L80">
        <f>IFERROR(INDEX(ExchangeConfirms!$H$2:$H$460,MATCH($A80,ExchangeConfirms!$A$2:$A$460,0)),"")</f>
        <v/>
      </c>
      <c r="M80">
        <f>IFERROR(INDEX(InternalTrades!$J$2:$J$461,MATCH($A80,InternalTrades!$A$2:$A$461,0)),"")</f>
        <v/>
      </c>
      <c r="N80">
        <f>IFERROR(INDEX(ExchangeConfirms!$J$2:$J$460,MATCH($A80,ExchangeConfirms!$A$2:$A$460,0)),"")</f>
        <v/>
      </c>
      <c r="O80">
        <f>IFERROR(INDEX(InternalTrades!$I$2:$I$461,MATCH($A80,InternalTrades!$A$2:$A$461,0)),"")</f>
        <v/>
      </c>
      <c r="P80">
        <f>IFERROR(INDEX(ExchangeConfirms!$I$2:$I$460,MATCH($A80,ExchangeConfirms!$A$2:$A$460,0)),"")</f>
        <v/>
      </c>
      <c r="Q80">
        <f>IF(AND($E80=1,$F80=0),"MISSING IN EXCHANGE",IF(AND($E80=0,$F80=1),"MISSING IN INTERNAL",IF($G80&lt;&gt;$H80,"SIDE BREAK",IF($I80&lt;&gt;$J80,"QTY BREAK",IF(ABS($K80-$L80)&gt;0.005,"PRICE BREAK",IF(ABS($M80-$N80)&gt;0.01,"FEE BREAK","MATCHED"))))))</f>
        <v/>
      </c>
      <c r="R80">
        <f>IF($Q80="MATCHED",0,1)</f>
        <v/>
      </c>
      <c r="S80">
        <f>IF($Q80="MATCHED",0,IF($Q80="MISSING IN EXCHANGE",$O80,IF($Q80="MISSING IN INTERNAL",$P80,ABS(N($O80)-N($P80)))))</f>
        <v/>
      </c>
    </row>
    <row r="81">
      <c r="A81" t="inlineStr">
        <is>
          <t>T100080</t>
        </is>
      </c>
      <c r="B81">
        <f>IFERROR(INDEX(InternalTrades!$D$2:$D$461,MATCH($A81,InternalTrades!$A$2:$A$461,0)),INDEX(ExchangeConfirms!$D$2:$D$460,MATCH($A81,ExchangeConfirms!$A$2:$A$460,0)))</f>
        <v/>
      </c>
      <c r="C81">
        <f>IFERROR(INDEX(InternalTrades!$E$2:$E$461,MATCH($A81,InternalTrades!$A$2:$A$461,0)),INDEX(ExchangeConfirms!$E$2:$E$460,MATCH($A81,ExchangeConfirms!$A$2:$A$460,0)))</f>
        <v/>
      </c>
      <c r="D81">
        <f>IFERROR(INDEX(InternalTrades!$K$2:$K$461,MATCH($A81,InternalTrades!$A$2:$A$461,0)),INDEX(ExchangeConfirms!$K$2:$K$460,MATCH($A81,ExchangeConfirms!$A$2:$A$460,0)))</f>
        <v/>
      </c>
      <c r="E81">
        <f>IF(COUNTIF(InternalTrades!$A$2:$A$461,$A81)&gt;0,1,0)</f>
        <v/>
      </c>
      <c r="F81">
        <f>IF(COUNTIF(ExchangeConfirms!$A$2:$A$460,$A81)&gt;0,1,0)</f>
        <v/>
      </c>
      <c r="G81">
        <f>IFERROR(INDEX(InternalTrades!$F$2:$F$461,MATCH($A81,InternalTrades!$A$2:$A$461,0)),"")</f>
        <v/>
      </c>
      <c r="H81">
        <f>IFERROR(INDEX(ExchangeConfirms!$F$2:$F$460,MATCH($A81,ExchangeConfirms!$A$2:$A$460,0)),"")</f>
        <v/>
      </c>
      <c r="I81">
        <f>IFERROR(INDEX(InternalTrades!$G$2:$G$461,MATCH($A81,InternalTrades!$A$2:$A$461,0)),"")</f>
        <v/>
      </c>
      <c r="J81">
        <f>IFERROR(INDEX(ExchangeConfirms!$G$2:$G$460,MATCH($A81,ExchangeConfirms!$A$2:$A$460,0)),"")</f>
        <v/>
      </c>
      <c r="K81">
        <f>IFERROR(INDEX(InternalTrades!$H$2:$H$461,MATCH($A81,InternalTrades!$A$2:$A$461,0)),"")</f>
        <v/>
      </c>
      <c r="L81">
        <f>IFERROR(INDEX(ExchangeConfirms!$H$2:$H$460,MATCH($A81,ExchangeConfirms!$A$2:$A$460,0)),"")</f>
        <v/>
      </c>
      <c r="M81">
        <f>IFERROR(INDEX(InternalTrades!$J$2:$J$461,MATCH($A81,InternalTrades!$A$2:$A$461,0)),"")</f>
        <v/>
      </c>
      <c r="N81">
        <f>IFERROR(INDEX(ExchangeConfirms!$J$2:$J$460,MATCH($A81,ExchangeConfirms!$A$2:$A$460,0)),"")</f>
        <v/>
      </c>
      <c r="O81">
        <f>IFERROR(INDEX(InternalTrades!$I$2:$I$461,MATCH($A81,InternalTrades!$A$2:$A$461,0)),"")</f>
        <v/>
      </c>
      <c r="P81">
        <f>IFERROR(INDEX(ExchangeConfirms!$I$2:$I$460,MATCH($A81,ExchangeConfirms!$A$2:$A$460,0)),"")</f>
        <v/>
      </c>
      <c r="Q81">
        <f>IF(AND($E81=1,$F81=0),"MISSING IN EXCHANGE",IF(AND($E81=0,$F81=1),"MISSING IN INTERNAL",IF($G81&lt;&gt;$H81,"SIDE BREAK",IF($I81&lt;&gt;$J81,"QTY BREAK",IF(ABS($K81-$L81)&gt;0.005,"PRICE BREAK",IF(ABS($M81-$N81)&gt;0.01,"FEE BREAK","MATCHED"))))))</f>
        <v/>
      </c>
      <c r="R81">
        <f>IF($Q81="MATCHED",0,1)</f>
        <v/>
      </c>
      <c r="S81">
        <f>IF($Q81="MATCHED",0,IF($Q81="MISSING IN EXCHANGE",$O81,IF($Q81="MISSING IN INTERNAL",$P81,ABS(N($O81)-N($P81)))))</f>
        <v/>
      </c>
    </row>
    <row r="82">
      <c r="A82" t="inlineStr">
        <is>
          <t>T100081</t>
        </is>
      </c>
      <c r="B82">
        <f>IFERROR(INDEX(InternalTrades!$D$2:$D$461,MATCH($A82,InternalTrades!$A$2:$A$461,0)),INDEX(ExchangeConfirms!$D$2:$D$460,MATCH($A82,ExchangeConfirms!$A$2:$A$460,0)))</f>
        <v/>
      </c>
      <c r="C82">
        <f>IFERROR(INDEX(InternalTrades!$E$2:$E$461,MATCH($A82,InternalTrades!$A$2:$A$461,0)),INDEX(ExchangeConfirms!$E$2:$E$460,MATCH($A82,ExchangeConfirms!$A$2:$A$460,0)))</f>
        <v/>
      </c>
      <c r="D82">
        <f>IFERROR(INDEX(InternalTrades!$K$2:$K$461,MATCH($A82,InternalTrades!$A$2:$A$461,0)),INDEX(ExchangeConfirms!$K$2:$K$460,MATCH($A82,ExchangeConfirms!$A$2:$A$460,0)))</f>
        <v/>
      </c>
      <c r="E82">
        <f>IF(COUNTIF(InternalTrades!$A$2:$A$461,$A82)&gt;0,1,0)</f>
        <v/>
      </c>
      <c r="F82">
        <f>IF(COUNTIF(ExchangeConfirms!$A$2:$A$460,$A82)&gt;0,1,0)</f>
        <v/>
      </c>
      <c r="G82">
        <f>IFERROR(INDEX(InternalTrades!$F$2:$F$461,MATCH($A82,InternalTrades!$A$2:$A$461,0)),"")</f>
        <v/>
      </c>
      <c r="H82">
        <f>IFERROR(INDEX(ExchangeConfirms!$F$2:$F$460,MATCH($A82,ExchangeConfirms!$A$2:$A$460,0)),"")</f>
        <v/>
      </c>
      <c r="I82">
        <f>IFERROR(INDEX(InternalTrades!$G$2:$G$461,MATCH($A82,InternalTrades!$A$2:$A$461,0)),"")</f>
        <v/>
      </c>
      <c r="J82">
        <f>IFERROR(INDEX(ExchangeConfirms!$G$2:$G$460,MATCH($A82,ExchangeConfirms!$A$2:$A$460,0)),"")</f>
        <v/>
      </c>
      <c r="K82">
        <f>IFERROR(INDEX(InternalTrades!$H$2:$H$461,MATCH($A82,InternalTrades!$A$2:$A$461,0)),"")</f>
        <v/>
      </c>
      <c r="L82">
        <f>IFERROR(INDEX(ExchangeConfirms!$H$2:$H$460,MATCH($A82,ExchangeConfirms!$A$2:$A$460,0)),"")</f>
        <v/>
      </c>
      <c r="M82">
        <f>IFERROR(INDEX(InternalTrades!$J$2:$J$461,MATCH($A82,InternalTrades!$A$2:$A$461,0)),"")</f>
        <v/>
      </c>
      <c r="N82">
        <f>IFERROR(INDEX(ExchangeConfirms!$J$2:$J$460,MATCH($A82,ExchangeConfirms!$A$2:$A$460,0)),"")</f>
        <v/>
      </c>
      <c r="O82">
        <f>IFERROR(INDEX(InternalTrades!$I$2:$I$461,MATCH($A82,InternalTrades!$A$2:$A$461,0)),"")</f>
        <v/>
      </c>
      <c r="P82">
        <f>IFERROR(INDEX(ExchangeConfirms!$I$2:$I$460,MATCH($A82,ExchangeConfirms!$A$2:$A$460,0)),"")</f>
        <v/>
      </c>
      <c r="Q82">
        <f>IF(AND($E82=1,$F82=0),"MISSING IN EXCHANGE",IF(AND($E82=0,$F82=1),"MISSING IN INTERNAL",IF($G82&lt;&gt;$H82,"SIDE BREAK",IF($I82&lt;&gt;$J82,"QTY BREAK",IF(ABS($K82-$L82)&gt;0.005,"PRICE BREAK",IF(ABS($M82-$N82)&gt;0.01,"FEE BREAK","MATCHED"))))))</f>
        <v/>
      </c>
      <c r="R82">
        <f>IF($Q82="MATCHED",0,1)</f>
        <v/>
      </c>
      <c r="S82">
        <f>IF($Q82="MATCHED",0,IF($Q82="MISSING IN EXCHANGE",$O82,IF($Q82="MISSING IN INTERNAL",$P82,ABS(N($O82)-N($P82)))))</f>
        <v/>
      </c>
    </row>
    <row r="83">
      <c r="A83" t="inlineStr">
        <is>
          <t>T100082</t>
        </is>
      </c>
      <c r="B83">
        <f>IFERROR(INDEX(InternalTrades!$D$2:$D$461,MATCH($A83,InternalTrades!$A$2:$A$461,0)),INDEX(ExchangeConfirms!$D$2:$D$460,MATCH($A83,ExchangeConfirms!$A$2:$A$460,0)))</f>
        <v/>
      </c>
      <c r="C83">
        <f>IFERROR(INDEX(InternalTrades!$E$2:$E$461,MATCH($A83,InternalTrades!$A$2:$A$461,0)),INDEX(ExchangeConfirms!$E$2:$E$460,MATCH($A83,ExchangeConfirms!$A$2:$A$460,0)))</f>
        <v/>
      </c>
      <c r="D83">
        <f>IFERROR(INDEX(InternalTrades!$K$2:$K$461,MATCH($A83,InternalTrades!$A$2:$A$461,0)),INDEX(ExchangeConfirms!$K$2:$K$460,MATCH($A83,ExchangeConfirms!$A$2:$A$460,0)))</f>
        <v/>
      </c>
      <c r="E83">
        <f>IF(COUNTIF(InternalTrades!$A$2:$A$461,$A83)&gt;0,1,0)</f>
        <v/>
      </c>
      <c r="F83">
        <f>IF(COUNTIF(ExchangeConfirms!$A$2:$A$460,$A83)&gt;0,1,0)</f>
        <v/>
      </c>
      <c r="G83">
        <f>IFERROR(INDEX(InternalTrades!$F$2:$F$461,MATCH($A83,InternalTrades!$A$2:$A$461,0)),"")</f>
        <v/>
      </c>
      <c r="H83">
        <f>IFERROR(INDEX(ExchangeConfirms!$F$2:$F$460,MATCH($A83,ExchangeConfirms!$A$2:$A$460,0)),"")</f>
        <v/>
      </c>
      <c r="I83">
        <f>IFERROR(INDEX(InternalTrades!$G$2:$G$461,MATCH($A83,InternalTrades!$A$2:$A$461,0)),"")</f>
        <v/>
      </c>
      <c r="J83">
        <f>IFERROR(INDEX(ExchangeConfirms!$G$2:$G$460,MATCH($A83,ExchangeConfirms!$A$2:$A$460,0)),"")</f>
        <v/>
      </c>
      <c r="K83">
        <f>IFERROR(INDEX(InternalTrades!$H$2:$H$461,MATCH($A83,InternalTrades!$A$2:$A$461,0)),"")</f>
        <v/>
      </c>
      <c r="L83">
        <f>IFERROR(INDEX(ExchangeConfirms!$H$2:$H$460,MATCH($A83,ExchangeConfirms!$A$2:$A$460,0)),"")</f>
        <v/>
      </c>
      <c r="M83">
        <f>IFERROR(INDEX(InternalTrades!$J$2:$J$461,MATCH($A83,InternalTrades!$A$2:$A$461,0)),"")</f>
        <v/>
      </c>
      <c r="N83">
        <f>IFERROR(INDEX(ExchangeConfirms!$J$2:$J$460,MATCH($A83,ExchangeConfirms!$A$2:$A$460,0)),"")</f>
        <v/>
      </c>
      <c r="O83">
        <f>IFERROR(INDEX(InternalTrades!$I$2:$I$461,MATCH($A83,InternalTrades!$A$2:$A$461,0)),"")</f>
        <v/>
      </c>
      <c r="P83">
        <f>IFERROR(INDEX(ExchangeConfirms!$I$2:$I$460,MATCH($A83,ExchangeConfirms!$A$2:$A$460,0)),"")</f>
        <v/>
      </c>
      <c r="Q83">
        <f>IF(AND($E83=1,$F83=0),"MISSING IN EXCHANGE",IF(AND($E83=0,$F83=1),"MISSING IN INTERNAL",IF($G83&lt;&gt;$H83,"SIDE BREAK",IF($I83&lt;&gt;$J83,"QTY BREAK",IF(ABS($K83-$L83)&gt;0.005,"PRICE BREAK",IF(ABS($M83-$N83)&gt;0.01,"FEE BREAK","MATCHED"))))))</f>
        <v/>
      </c>
      <c r="R83">
        <f>IF($Q83="MATCHED",0,1)</f>
        <v/>
      </c>
      <c r="S83">
        <f>IF($Q83="MATCHED",0,IF($Q83="MISSING IN EXCHANGE",$O83,IF($Q83="MISSING IN INTERNAL",$P83,ABS(N($O83)-N($P83)))))</f>
        <v/>
      </c>
    </row>
    <row r="84">
      <c r="A84" t="inlineStr">
        <is>
          <t>T100083</t>
        </is>
      </c>
      <c r="B84">
        <f>IFERROR(INDEX(InternalTrades!$D$2:$D$461,MATCH($A84,InternalTrades!$A$2:$A$461,0)),INDEX(ExchangeConfirms!$D$2:$D$460,MATCH($A84,ExchangeConfirms!$A$2:$A$460,0)))</f>
        <v/>
      </c>
      <c r="C84">
        <f>IFERROR(INDEX(InternalTrades!$E$2:$E$461,MATCH($A84,InternalTrades!$A$2:$A$461,0)),INDEX(ExchangeConfirms!$E$2:$E$460,MATCH($A84,ExchangeConfirms!$A$2:$A$460,0)))</f>
        <v/>
      </c>
      <c r="D84">
        <f>IFERROR(INDEX(InternalTrades!$K$2:$K$461,MATCH($A84,InternalTrades!$A$2:$A$461,0)),INDEX(ExchangeConfirms!$K$2:$K$460,MATCH($A84,ExchangeConfirms!$A$2:$A$460,0)))</f>
        <v/>
      </c>
      <c r="E84">
        <f>IF(COUNTIF(InternalTrades!$A$2:$A$461,$A84)&gt;0,1,0)</f>
        <v/>
      </c>
      <c r="F84">
        <f>IF(COUNTIF(ExchangeConfirms!$A$2:$A$460,$A84)&gt;0,1,0)</f>
        <v/>
      </c>
      <c r="G84">
        <f>IFERROR(INDEX(InternalTrades!$F$2:$F$461,MATCH($A84,InternalTrades!$A$2:$A$461,0)),"")</f>
        <v/>
      </c>
      <c r="H84">
        <f>IFERROR(INDEX(ExchangeConfirms!$F$2:$F$460,MATCH($A84,ExchangeConfirms!$A$2:$A$460,0)),"")</f>
        <v/>
      </c>
      <c r="I84">
        <f>IFERROR(INDEX(InternalTrades!$G$2:$G$461,MATCH($A84,InternalTrades!$A$2:$A$461,0)),"")</f>
        <v/>
      </c>
      <c r="J84">
        <f>IFERROR(INDEX(ExchangeConfirms!$G$2:$G$460,MATCH($A84,ExchangeConfirms!$A$2:$A$460,0)),"")</f>
        <v/>
      </c>
      <c r="K84">
        <f>IFERROR(INDEX(InternalTrades!$H$2:$H$461,MATCH($A84,InternalTrades!$A$2:$A$461,0)),"")</f>
        <v/>
      </c>
      <c r="L84">
        <f>IFERROR(INDEX(ExchangeConfirms!$H$2:$H$460,MATCH($A84,ExchangeConfirms!$A$2:$A$460,0)),"")</f>
        <v/>
      </c>
      <c r="M84">
        <f>IFERROR(INDEX(InternalTrades!$J$2:$J$461,MATCH($A84,InternalTrades!$A$2:$A$461,0)),"")</f>
        <v/>
      </c>
      <c r="N84">
        <f>IFERROR(INDEX(ExchangeConfirms!$J$2:$J$460,MATCH($A84,ExchangeConfirms!$A$2:$A$460,0)),"")</f>
        <v/>
      </c>
      <c r="O84">
        <f>IFERROR(INDEX(InternalTrades!$I$2:$I$461,MATCH($A84,InternalTrades!$A$2:$A$461,0)),"")</f>
        <v/>
      </c>
      <c r="P84">
        <f>IFERROR(INDEX(ExchangeConfirms!$I$2:$I$460,MATCH($A84,ExchangeConfirms!$A$2:$A$460,0)),"")</f>
        <v/>
      </c>
      <c r="Q84">
        <f>IF(AND($E84=1,$F84=0),"MISSING IN EXCHANGE",IF(AND($E84=0,$F84=1),"MISSING IN INTERNAL",IF($G84&lt;&gt;$H84,"SIDE BREAK",IF($I84&lt;&gt;$J84,"QTY BREAK",IF(ABS($K84-$L84)&gt;0.005,"PRICE BREAK",IF(ABS($M84-$N84)&gt;0.01,"FEE BREAK","MATCHED"))))))</f>
        <v/>
      </c>
      <c r="R84">
        <f>IF($Q84="MATCHED",0,1)</f>
        <v/>
      </c>
      <c r="S84">
        <f>IF($Q84="MATCHED",0,IF($Q84="MISSING IN EXCHANGE",$O84,IF($Q84="MISSING IN INTERNAL",$P84,ABS(N($O84)-N($P84)))))</f>
        <v/>
      </c>
    </row>
    <row r="85">
      <c r="A85" t="inlineStr">
        <is>
          <t>T100084</t>
        </is>
      </c>
      <c r="B85">
        <f>IFERROR(INDEX(InternalTrades!$D$2:$D$461,MATCH($A85,InternalTrades!$A$2:$A$461,0)),INDEX(ExchangeConfirms!$D$2:$D$460,MATCH($A85,ExchangeConfirms!$A$2:$A$460,0)))</f>
        <v/>
      </c>
      <c r="C85">
        <f>IFERROR(INDEX(InternalTrades!$E$2:$E$461,MATCH($A85,InternalTrades!$A$2:$A$461,0)),INDEX(ExchangeConfirms!$E$2:$E$460,MATCH($A85,ExchangeConfirms!$A$2:$A$460,0)))</f>
        <v/>
      </c>
      <c r="D85">
        <f>IFERROR(INDEX(InternalTrades!$K$2:$K$461,MATCH($A85,InternalTrades!$A$2:$A$461,0)),INDEX(ExchangeConfirms!$K$2:$K$460,MATCH($A85,ExchangeConfirms!$A$2:$A$460,0)))</f>
        <v/>
      </c>
      <c r="E85">
        <f>IF(COUNTIF(InternalTrades!$A$2:$A$461,$A85)&gt;0,1,0)</f>
        <v/>
      </c>
      <c r="F85">
        <f>IF(COUNTIF(ExchangeConfirms!$A$2:$A$460,$A85)&gt;0,1,0)</f>
        <v/>
      </c>
      <c r="G85">
        <f>IFERROR(INDEX(InternalTrades!$F$2:$F$461,MATCH($A85,InternalTrades!$A$2:$A$461,0)),"")</f>
        <v/>
      </c>
      <c r="H85">
        <f>IFERROR(INDEX(ExchangeConfirms!$F$2:$F$460,MATCH($A85,ExchangeConfirms!$A$2:$A$460,0)),"")</f>
        <v/>
      </c>
      <c r="I85">
        <f>IFERROR(INDEX(InternalTrades!$G$2:$G$461,MATCH($A85,InternalTrades!$A$2:$A$461,0)),"")</f>
        <v/>
      </c>
      <c r="J85">
        <f>IFERROR(INDEX(ExchangeConfirms!$G$2:$G$460,MATCH($A85,ExchangeConfirms!$A$2:$A$460,0)),"")</f>
        <v/>
      </c>
      <c r="K85">
        <f>IFERROR(INDEX(InternalTrades!$H$2:$H$461,MATCH($A85,InternalTrades!$A$2:$A$461,0)),"")</f>
        <v/>
      </c>
      <c r="L85">
        <f>IFERROR(INDEX(ExchangeConfirms!$H$2:$H$460,MATCH($A85,ExchangeConfirms!$A$2:$A$460,0)),"")</f>
        <v/>
      </c>
      <c r="M85">
        <f>IFERROR(INDEX(InternalTrades!$J$2:$J$461,MATCH($A85,InternalTrades!$A$2:$A$461,0)),"")</f>
        <v/>
      </c>
      <c r="N85">
        <f>IFERROR(INDEX(ExchangeConfirms!$J$2:$J$460,MATCH($A85,ExchangeConfirms!$A$2:$A$460,0)),"")</f>
        <v/>
      </c>
      <c r="O85">
        <f>IFERROR(INDEX(InternalTrades!$I$2:$I$461,MATCH($A85,InternalTrades!$A$2:$A$461,0)),"")</f>
        <v/>
      </c>
      <c r="P85">
        <f>IFERROR(INDEX(ExchangeConfirms!$I$2:$I$460,MATCH($A85,ExchangeConfirms!$A$2:$A$460,0)),"")</f>
        <v/>
      </c>
      <c r="Q85">
        <f>IF(AND($E85=1,$F85=0),"MISSING IN EXCHANGE",IF(AND($E85=0,$F85=1),"MISSING IN INTERNAL",IF($G85&lt;&gt;$H85,"SIDE BREAK",IF($I85&lt;&gt;$J85,"QTY BREAK",IF(ABS($K85-$L85)&gt;0.005,"PRICE BREAK",IF(ABS($M85-$N85)&gt;0.01,"FEE BREAK","MATCHED"))))))</f>
        <v/>
      </c>
      <c r="R85">
        <f>IF($Q85="MATCHED",0,1)</f>
        <v/>
      </c>
      <c r="S85">
        <f>IF($Q85="MATCHED",0,IF($Q85="MISSING IN EXCHANGE",$O85,IF($Q85="MISSING IN INTERNAL",$P85,ABS(N($O85)-N($P85)))))</f>
        <v/>
      </c>
    </row>
    <row r="86">
      <c r="A86" t="inlineStr">
        <is>
          <t>T100085</t>
        </is>
      </c>
      <c r="B86">
        <f>IFERROR(INDEX(InternalTrades!$D$2:$D$461,MATCH($A86,InternalTrades!$A$2:$A$461,0)),INDEX(ExchangeConfirms!$D$2:$D$460,MATCH($A86,ExchangeConfirms!$A$2:$A$460,0)))</f>
        <v/>
      </c>
      <c r="C86">
        <f>IFERROR(INDEX(InternalTrades!$E$2:$E$461,MATCH($A86,InternalTrades!$A$2:$A$461,0)),INDEX(ExchangeConfirms!$E$2:$E$460,MATCH($A86,ExchangeConfirms!$A$2:$A$460,0)))</f>
        <v/>
      </c>
      <c r="D86">
        <f>IFERROR(INDEX(InternalTrades!$K$2:$K$461,MATCH($A86,InternalTrades!$A$2:$A$461,0)),INDEX(ExchangeConfirms!$K$2:$K$460,MATCH($A86,ExchangeConfirms!$A$2:$A$460,0)))</f>
        <v/>
      </c>
      <c r="E86">
        <f>IF(COUNTIF(InternalTrades!$A$2:$A$461,$A86)&gt;0,1,0)</f>
        <v/>
      </c>
      <c r="F86">
        <f>IF(COUNTIF(ExchangeConfirms!$A$2:$A$460,$A86)&gt;0,1,0)</f>
        <v/>
      </c>
      <c r="G86">
        <f>IFERROR(INDEX(InternalTrades!$F$2:$F$461,MATCH($A86,InternalTrades!$A$2:$A$461,0)),"")</f>
        <v/>
      </c>
      <c r="H86">
        <f>IFERROR(INDEX(ExchangeConfirms!$F$2:$F$460,MATCH($A86,ExchangeConfirms!$A$2:$A$460,0)),"")</f>
        <v/>
      </c>
      <c r="I86">
        <f>IFERROR(INDEX(InternalTrades!$G$2:$G$461,MATCH($A86,InternalTrades!$A$2:$A$461,0)),"")</f>
        <v/>
      </c>
      <c r="J86">
        <f>IFERROR(INDEX(ExchangeConfirms!$G$2:$G$460,MATCH($A86,ExchangeConfirms!$A$2:$A$460,0)),"")</f>
        <v/>
      </c>
      <c r="K86">
        <f>IFERROR(INDEX(InternalTrades!$H$2:$H$461,MATCH($A86,InternalTrades!$A$2:$A$461,0)),"")</f>
        <v/>
      </c>
      <c r="L86">
        <f>IFERROR(INDEX(ExchangeConfirms!$H$2:$H$460,MATCH($A86,ExchangeConfirms!$A$2:$A$460,0)),"")</f>
        <v/>
      </c>
      <c r="M86">
        <f>IFERROR(INDEX(InternalTrades!$J$2:$J$461,MATCH($A86,InternalTrades!$A$2:$A$461,0)),"")</f>
        <v/>
      </c>
      <c r="N86">
        <f>IFERROR(INDEX(ExchangeConfirms!$J$2:$J$460,MATCH($A86,ExchangeConfirms!$A$2:$A$460,0)),"")</f>
        <v/>
      </c>
      <c r="O86">
        <f>IFERROR(INDEX(InternalTrades!$I$2:$I$461,MATCH($A86,InternalTrades!$A$2:$A$461,0)),"")</f>
        <v/>
      </c>
      <c r="P86">
        <f>IFERROR(INDEX(ExchangeConfirms!$I$2:$I$460,MATCH($A86,ExchangeConfirms!$A$2:$A$460,0)),"")</f>
        <v/>
      </c>
      <c r="Q86">
        <f>IF(AND($E86=1,$F86=0),"MISSING IN EXCHANGE",IF(AND($E86=0,$F86=1),"MISSING IN INTERNAL",IF($G86&lt;&gt;$H86,"SIDE BREAK",IF($I86&lt;&gt;$J86,"QTY BREAK",IF(ABS($K86-$L86)&gt;0.005,"PRICE BREAK",IF(ABS($M86-$N86)&gt;0.01,"FEE BREAK","MATCHED"))))))</f>
        <v/>
      </c>
      <c r="R86">
        <f>IF($Q86="MATCHED",0,1)</f>
        <v/>
      </c>
      <c r="S86">
        <f>IF($Q86="MATCHED",0,IF($Q86="MISSING IN EXCHANGE",$O86,IF($Q86="MISSING IN INTERNAL",$P86,ABS(N($O86)-N($P86)))))</f>
        <v/>
      </c>
    </row>
    <row r="87">
      <c r="A87" t="inlineStr">
        <is>
          <t>T100086</t>
        </is>
      </c>
      <c r="B87">
        <f>IFERROR(INDEX(InternalTrades!$D$2:$D$461,MATCH($A87,InternalTrades!$A$2:$A$461,0)),INDEX(ExchangeConfirms!$D$2:$D$460,MATCH($A87,ExchangeConfirms!$A$2:$A$460,0)))</f>
        <v/>
      </c>
      <c r="C87">
        <f>IFERROR(INDEX(InternalTrades!$E$2:$E$461,MATCH($A87,InternalTrades!$A$2:$A$461,0)),INDEX(ExchangeConfirms!$E$2:$E$460,MATCH($A87,ExchangeConfirms!$A$2:$A$460,0)))</f>
        <v/>
      </c>
      <c r="D87">
        <f>IFERROR(INDEX(InternalTrades!$K$2:$K$461,MATCH($A87,InternalTrades!$A$2:$A$461,0)),INDEX(ExchangeConfirms!$K$2:$K$460,MATCH($A87,ExchangeConfirms!$A$2:$A$460,0)))</f>
        <v/>
      </c>
      <c r="E87">
        <f>IF(COUNTIF(InternalTrades!$A$2:$A$461,$A87)&gt;0,1,0)</f>
        <v/>
      </c>
      <c r="F87">
        <f>IF(COUNTIF(ExchangeConfirms!$A$2:$A$460,$A87)&gt;0,1,0)</f>
        <v/>
      </c>
      <c r="G87">
        <f>IFERROR(INDEX(InternalTrades!$F$2:$F$461,MATCH($A87,InternalTrades!$A$2:$A$461,0)),"")</f>
        <v/>
      </c>
      <c r="H87">
        <f>IFERROR(INDEX(ExchangeConfirms!$F$2:$F$460,MATCH($A87,ExchangeConfirms!$A$2:$A$460,0)),"")</f>
        <v/>
      </c>
      <c r="I87">
        <f>IFERROR(INDEX(InternalTrades!$G$2:$G$461,MATCH($A87,InternalTrades!$A$2:$A$461,0)),"")</f>
        <v/>
      </c>
      <c r="J87">
        <f>IFERROR(INDEX(ExchangeConfirms!$G$2:$G$460,MATCH($A87,ExchangeConfirms!$A$2:$A$460,0)),"")</f>
        <v/>
      </c>
      <c r="K87">
        <f>IFERROR(INDEX(InternalTrades!$H$2:$H$461,MATCH($A87,InternalTrades!$A$2:$A$461,0)),"")</f>
        <v/>
      </c>
      <c r="L87">
        <f>IFERROR(INDEX(ExchangeConfirms!$H$2:$H$460,MATCH($A87,ExchangeConfirms!$A$2:$A$460,0)),"")</f>
        <v/>
      </c>
      <c r="M87">
        <f>IFERROR(INDEX(InternalTrades!$J$2:$J$461,MATCH($A87,InternalTrades!$A$2:$A$461,0)),"")</f>
        <v/>
      </c>
      <c r="N87">
        <f>IFERROR(INDEX(ExchangeConfirms!$J$2:$J$460,MATCH($A87,ExchangeConfirms!$A$2:$A$460,0)),"")</f>
        <v/>
      </c>
      <c r="O87">
        <f>IFERROR(INDEX(InternalTrades!$I$2:$I$461,MATCH($A87,InternalTrades!$A$2:$A$461,0)),"")</f>
        <v/>
      </c>
      <c r="P87">
        <f>IFERROR(INDEX(ExchangeConfirms!$I$2:$I$460,MATCH($A87,ExchangeConfirms!$A$2:$A$460,0)),"")</f>
        <v/>
      </c>
      <c r="Q87">
        <f>IF(AND($E87=1,$F87=0),"MISSING IN EXCHANGE",IF(AND($E87=0,$F87=1),"MISSING IN INTERNAL",IF($G87&lt;&gt;$H87,"SIDE BREAK",IF($I87&lt;&gt;$J87,"QTY BREAK",IF(ABS($K87-$L87)&gt;0.005,"PRICE BREAK",IF(ABS($M87-$N87)&gt;0.01,"FEE BREAK","MATCHED"))))))</f>
        <v/>
      </c>
      <c r="R87">
        <f>IF($Q87="MATCHED",0,1)</f>
        <v/>
      </c>
      <c r="S87">
        <f>IF($Q87="MATCHED",0,IF($Q87="MISSING IN EXCHANGE",$O87,IF($Q87="MISSING IN INTERNAL",$P87,ABS(N($O87)-N($P87)))))</f>
        <v/>
      </c>
    </row>
    <row r="88">
      <c r="A88" t="inlineStr">
        <is>
          <t>T100087</t>
        </is>
      </c>
      <c r="B88">
        <f>IFERROR(INDEX(InternalTrades!$D$2:$D$461,MATCH($A88,InternalTrades!$A$2:$A$461,0)),INDEX(ExchangeConfirms!$D$2:$D$460,MATCH($A88,ExchangeConfirms!$A$2:$A$460,0)))</f>
        <v/>
      </c>
      <c r="C88">
        <f>IFERROR(INDEX(InternalTrades!$E$2:$E$461,MATCH($A88,InternalTrades!$A$2:$A$461,0)),INDEX(ExchangeConfirms!$E$2:$E$460,MATCH($A88,ExchangeConfirms!$A$2:$A$460,0)))</f>
        <v/>
      </c>
      <c r="D88">
        <f>IFERROR(INDEX(InternalTrades!$K$2:$K$461,MATCH($A88,InternalTrades!$A$2:$A$461,0)),INDEX(ExchangeConfirms!$K$2:$K$460,MATCH($A88,ExchangeConfirms!$A$2:$A$460,0)))</f>
        <v/>
      </c>
      <c r="E88">
        <f>IF(COUNTIF(InternalTrades!$A$2:$A$461,$A88)&gt;0,1,0)</f>
        <v/>
      </c>
      <c r="F88">
        <f>IF(COUNTIF(ExchangeConfirms!$A$2:$A$460,$A88)&gt;0,1,0)</f>
        <v/>
      </c>
      <c r="G88">
        <f>IFERROR(INDEX(InternalTrades!$F$2:$F$461,MATCH($A88,InternalTrades!$A$2:$A$461,0)),"")</f>
        <v/>
      </c>
      <c r="H88">
        <f>IFERROR(INDEX(ExchangeConfirms!$F$2:$F$460,MATCH($A88,ExchangeConfirms!$A$2:$A$460,0)),"")</f>
        <v/>
      </c>
      <c r="I88">
        <f>IFERROR(INDEX(InternalTrades!$G$2:$G$461,MATCH($A88,InternalTrades!$A$2:$A$461,0)),"")</f>
        <v/>
      </c>
      <c r="J88">
        <f>IFERROR(INDEX(ExchangeConfirms!$G$2:$G$460,MATCH($A88,ExchangeConfirms!$A$2:$A$460,0)),"")</f>
        <v/>
      </c>
      <c r="K88">
        <f>IFERROR(INDEX(InternalTrades!$H$2:$H$461,MATCH($A88,InternalTrades!$A$2:$A$461,0)),"")</f>
        <v/>
      </c>
      <c r="L88">
        <f>IFERROR(INDEX(ExchangeConfirms!$H$2:$H$460,MATCH($A88,ExchangeConfirms!$A$2:$A$460,0)),"")</f>
        <v/>
      </c>
      <c r="M88">
        <f>IFERROR(INDEX(InternalTrades!$J$2:$J$461,MATCH($A88,InternalTrades!$A$2:$A$461,0)),"")</f>
        <v/>
      </c>
      <c r="N88">
        <f>IFERROR(INDEX(ExchangeConfirms!$J$2:$J$460,MATCH($A88,ExchangeConfirms!$A$2:$A$460,0)),"")</f>
        <v/>
      </c>
      <c r="O88">
        <f>IFERROR(INDEX(InternalTrades!$I$2:$I$461,MATCH($A88,InternalTrades!$A$2:$A$461,0)),"")</f>
        <v/>
      </c>
      <c r="P88">
        <f>IFERROR(INDEX(ExchangeConfirms!$I$2:$I$460,MATCH($A88,ExchangeConfirms!$A$2:$A$460,0)),"")</f>
        <v/>
      </c>
      <c r="Q88">
        <f>IF(AND($E88=1,$F88=0),"MISSING IN EXCHANGE",IF(AND($E88=0,$F88=1),"MISSING IN INTERNAL",IF($G88&lt;&gt;$H88,"SIDE BREAK",IF($I88&lt;&gt;$J88,"QTY BREAK",IF(ABS($K88-$L88)&gt;0.005,"PRICE BREAK",IF(ABS($M88-$N88)&gt;0.01,"FEE BREAK","MATCHED"))))))</f>
        <v/>
      </c>
      <c r="R88">
        <f>IF($Q88="MATCHED",0,1)</f>
        <v/>
      </c>
      <c r="S88">
        <f>IF($Q88="MATCHED",0,IF($Q88="MISSING IN EXCHANGE",$O88,IF($Q88="MISSING IN INTERNAL",$P88,ABS(N($O88)-N($P88)))))</f>
        <v/>
      </c>
    </row>
    <row r="89">
      <c r="A89" t="inlineStr">
        <is>
          <t>T100088</t>
        </is>
      </c>
      <c r="B89">
        <f>IFERROR(INDEX(InternalTrades!$D$2:$D$461,MATCH($A89,InternalTrades!$A$2:$A$461,0)),INDEX(ExchangeConfirms!$D$2:$D$460,MATCH($A89,ExchangeConfirms!$A$2:$A$460,0)))</f>
        <v/>
      </c>
      <c r="C89">
        <f>IFERROR(INDEX(InternalTrades!$E$2:$E$461,MATCH($A89,InternalTrades!$A$2:$A$461,0)),INDEX(ExchangeConfirms!$E$2:$E$460,MATCH($A89,ExchangeConfirms!$A$2:$A$460,0)))</f>
        <v/>
      </c>
      <c r="D89">
        <f>IFERROR(INDEX(InternalTrades!$K$2:$K$461,MATCH($A89,InternalTrades!$A$2:$A$461,0)),INDEX(ExchangeConfirms!$K$2:$K$460,MATCH($A89,ExchangeConfirms!$A$2:$A$460,0)))</f>
        <v/>
      </c>
      <c r="E89">
        <f>IF(COUNTIF(InternalTrades!$A$2:$A$461,$A89)&gt;0,1,0)</f>
        <v/>
      </c>
      <c r="F89">
        <f>IF(COUNTIF(ExchangeConfirms!$A$2:$A$460,$A89)&gt;0,1,0)</f>
        <v/>
      </c>
      <c r="G89">
        <f>IFERROR(INDEX(InternalTrades!$F$2:$F$461,MATCH($A89,InternalTrades!$A$2:$A$461,0)),"")</f>
        <v/>
      </c>
      <c r="H89">
        <f>IFERROR(INDEX(ExchangeConfirms!$F$2:$F$460,MATCH($A89,ExchangeConfirms!$A$2:$A$460,0)),"")</f>
        <v/>
      </c>
      <c r="I89">
        <f>IFERROR(INDEX(InternalTrades!$G$2:$G$461,MATCH($A89,InternalTrades!$A$2:$A$461,0)),"")</f>
        <v/>
      </c>
      <c r="J89">
        <f>IFERROR(INDEX(ExchangeConfirms!$G$2:$G$460,MATCH($A89,ExchangeConfirms!$A$2:$A$460,0)),"")</f>
        <v/>
      </c>
      <c r="K89">
        <f>IFERROR(INDEX(InternalTrades!$H$2:$H$461,MATCH($A89,InternalTrades!$A$2:$A$461,0)),"")</f>
        <v/>
      </c>
      <c r="L89">
        <f>IFERROR(INDEX(ExchangeConfirms!$H$2:$H$460,MATCH($A89,ExchangeConfirms!$A$2:$A$460,0)),"")</f>
        <v/>
      </c>
      <c r="M89">
        <f>IFERROR(INDEX(InternalTrades!$J$2:$J$461,MATCH($A89,InternalTrades!$A$2:$A$461,0)),"")</f>
        <v/>
      </c>
      <c r="N89">
        <f>IFERROR(INDEX(ExchangeConfirms!$J$2:$J$460,MATCH($A89,ExchangeConfirms!$A$2:$A$460,0)),"")</f>
        <v/>
      </c>
      <c r="O89">
        <f>IFERROR(INDEX(InternalTrades!$I$2:$I$461,MATCH($A89,InternalTrades!$A$2:$A$461,0)),"")</f>
        <v/>
      </c>
      <c r="P89">
        <f>IFERROR(INDEX(ExchangeConfirms!$I$2:$I$460,MATCH($A89,ExchangeConfirms!$A$2:$A$460,0)),"")</f>
        <v/>
      </c>
      <c r="Q89">
        <f>IF(AND($E89=1,$F89=0),"MISSING IN EXCHANGE",IF(AND($E89=0,$F89=1),"MISSING IN INTERNAL",IF($G89&lt;&gt;$H89,"SIDE BREAK",IF($I89&lt;&gt;$J89,"QTY BREAK",IF(ABS($K89-$L89)&gt;0.005,"PRICE BREAK",IF(ABS($M89-$N89)&gt;0.01,"FEE BREAK","MATCHED"))))))</f>
        <v/>
      </c>
      <c r="R89">
        <f>IF($Q89="MATCHED",0,1)</f>
        <v/>
      </c>
      <c r="S89">
        <f>IF($Q89="MATCHED",0,IF($Q89="MISSING IN EXCHANGE",$O89,IF($Q89="MISSING IN INTERNAL",$P89,ABS(N($O89)-N($P89)))))</f>
        <v/>
      </c>
    </row>
    <row r="90">
      <c r="A90" t="inlineStr">
        <is>
          <t>T100089</t>
        </is>
      </c>
      <c r="B90">
        <f>IFERROR(INDEX(InternalTrades!$D$2:$D$461,MATCH($A90,InternalTrades!$A$2:$A$461,0)),INDEX(ExchangeConfirms!$D$2:$D$460,MATCH($A90,ExchangeConfirms!$A$2:$A$460,0)))</f>
        <v/>
      </c>
      <c r="C90">
        <f>IFERROR(INDEX(InternalTrades!$E$2:$E$461,MATCH($A90,InternalTrades!$A$2:$A$461,0)),INDEX(ExchangeConfirms!$E$2:$E$460,MATCH($A90,ExchangeConfirms!$A$2:$A$460,0)))</f>
        <v/>
      </c>
      <c r="D90">
        <f>IFERROR(INDEX(InternalTrades!$K$2:$K$461,MATCH($A90,InternalTrades!$A$2:$A$461,0)),INDEX(ExchangeConfirms!$K$2:$K$460,MATCH($A90,ExchangeConfirms!$A$2:$A$460,0)))</f>
        <v/>
      </c>
      <c r="E90">
        <f>IF(COUNTIF(InternalTrades!$A$2:$A$461,$A90)&gt;0,1,0)</f>
        <v/>
      </c>
      <c r="F90">
        <f>IF(COUNTIF(ExchangeConfirms!$A$2:$A$460,$A90)&gt;0,1,0)</f>
        <v/>
      </c>
      <c r="G90">
        <f>IFERROR(INDEX(InternalTrades!$F$2:$F$461,MATCH($A90,InternalTrades!$A$2:$A$461,0)),"")</f>
        <v/>
      </c>
      <c r="H90">
        <f>IFERROR(INDEX(ExchangeConfirms!$F$2:$F$460,MATCH($A90,ExchangeConfirms!$A$2:$A$460,0)),"")</f>
        <v/>
      </c>
      <c r="I90">
        <f>IFERROR(INDEX(InternalTrades!$G$2:$G$461,MATCH($A90,InternalTrades!$A$2:$A$461,0)),"")</f>
        <v/>
      </c>
      <c r="J90">
        <f>IFERROR(INDEX(ExchangeConfirms!$G$2:$G$460,MATCH($A90,ExchangeConfirms!$A$2:$A$460,0)),"")</f>
        <v/>
      </c>
      <c r="K90">
        <f>IFERROR(INDEX(InternalTrades!$H$2:$H$461,MATCH($A90,InternalTrades!$A$2:$A$461,0)),"")</f>
        <v/>
      </c>
      <c r="L90">
        <f>IFERROR(INDEX(ExchangeConfirms!$H$2:$H$460,MATCH($A90,ExchangeConfirms!$A$2:$A$460,0)),"")</f>
        <v/>
      </c>
      <c r="M90">
        <f>IFERROR(INDEX(InternalTrades!$J$2:$J$461,MATCH($A90,InternalTrades!$A$2:$A$461,0)),"")</f>
        <v/>
      </c>
      <c r="N90">
        <f>IFERROR(INDEX(ExchangeConfirms!$J$2:$J$460,MATCH($A90,ExchangeConfirms!$A$2:$A$460,0)),"")</f>
        <v/>
      </c>
      <c r="O90">
        <f>IFERROR(INDEX(InternalTrades!$I$2:$I$461,MATCH($A90,InternalTrades!$A$2:$A$461,0)),"")</f>
        <v/>
      </c>
      <c r="P90">
        <f>IFERROR(INDEX(ExchangeConfirms!$I$2:$I$460,MATCH($A90,ExchangeConfirms!$A$2:$A$460,0)),"")</f>
        <v/>
      </c>
      <c r="Q90">
        <f>IF(AND($E90=1,$F90=0),"MISSING IN EXCHANGE",IF(AND($E90=0,$F90=1),"MISSING IN INTERNAL",IF($G90&lt;&gt;$H90,"SIDE BREAK",IF($I90&lt;&gt;$J90,"QTY BREAK",IF(ABS($K90-$L90)&gt;0.005,"PRICE BREAK",IF(ABS($M90-$N90)&gt;0.01,"FEE BREAK","MATCHED"))))))</f>
        <v/>
      </c>
      <c r="R90">
        <f>IF($Q90="MATCHED",0,1)</f>
        <v/>
      </c>
      <c r="S90">
        <f>IF($Q90="MATCHED",0,IF($Q90="MISSING IN EXCHANGE",$O90,IF($Q90="MISSING IN INTERNAL",$P90,ABS(N($O90)-N($P90)))))</f>
        <v/>
      </c>
    </row>
    <row r="91">
      <c r="A91" t="inlineStr">
        <is>
          <t>T100090</t>
        </is>
      </c>
      <c r="B91">
        <f>IFERROR(INDEX(InternalTrades!$D$2:$D$461,MATCH($A91,InternalTrades!$A$2:$A$461,0)),INDEX(ExchangeConfirms!$D$2:$D$460,MATCH($A91,ExchangeConfirms!$A$2:$A$460,0)))</f>
        <v/>
      </c>
      <c r="C91">
        <f>IFERROR(INDEX(InternalTrades!$E$2:$E$461,MATCH($A91,InternalTrades!$A$2:$A$461,0)),INDEX(ExchangeConfirms!$E$2:$E$460,MATCH($A91,ExchangeConfirms!$A$2:$A$460,0)))</f>
        <v/>
      </c>
      <c r="D91">
        <f>IFERROR(INDEX(InternalTrades!$K$2:$K$461,MATCH($A91,InternalTrades!$A$2:$A$461,0)),INDEX(ExchangeConfirms!$K$2:$K$460,MATCH($A91,ExchangeConfirms!$A$2:$A$460,0)))</f>
        <v/>
      </c>
      <c r="E91">
        <f>IF(COUNTIF(InternalTrades!$A$2:$A$461,$A91)&gt;0,1,0)</f>
        <v/>
      </c>
      <c r="F91">
        <f>IF(COUNTIF(ExchangeConfirms!$A$2:$A$460,$A91)&gt;0,1,0)</f>
        <v/>
      </c>
      <c r="G91">
        <f>IFERROR(INDEX(InternalTrades!$F$2:$F$461,MATCH($A91,InternalTrades!$A$2:$A$461,0)),"")</f>
        <v/>
      </c>
      <c r="H91">
        <f>IFERROR(INDEX(ExchangeConfirms!$F$2:$F$460,MATCH($A91,ExchangeConfirms!$A$2:$A$460,0)),"")</f>
        <v/>
      </c>
      <c r="I91">
        <f>IFERROR(INDEX(InternalTrades!$G$2:$G$461,MATCH($A91,InternalTrades!$A$2:$A$461,0)),"")</f>
        <v/>
      </c>
      <c r="J91">
        <f>IFERROR(INDEX(ExchangeConfirms!$G$2:$G$460,MATCH($A91,ExchangeConfirms!$A$2:$A$460,0)),"")</f>
        <v/>
      </c>
      <c r="K91">
        <f>IFERROR(INDEX(InternalTrades!$H$2:$H$461,MATCH($A91,InternalTrades!$A$2:$A$461,0)),"")</f>
        <v/>
      </c>
      <c r="L91">
        <f>IFERROR(INDEX(ExchangeConfirms!$H$2:$H$460,MATCH($A91,ExchangeConfirms!$A$2:$A$460,0)),"")</f>
        <v/>
      </c>
      <c r="M91">
        <f>IFERROR(INDEX(InternalTrades!$J$2:$J$461,MATCH($A91,InternalTrades!$A$2:$A$461,0)),"")</f>
        <v/>
      </c>
      <c r="N91">
        <f>IFERROR(INDEX(ExchangeConfirms!$J$2:$J$460,MATCH($A91,ExchangeConfirms!$A$2:$A$460,0)),"")</f>
        <v/>
      </c>
      <c r="O91">
        <f>IFERROR(INDEX(InternalTrades!$I$2:$I$461,MATCH($A91,InternalTrades!$A$2:$A$461,0)),"")</f>
        <v/>
      </c>
      <c r="P91">
        <f>IFERROR(INDEX(ExchangeConfirms!$I$2:$I$460,MATCH($A91,ExchangeConfirms!$A$2:$A$460,0)),"")</f>
        <v/>
      </c>
      <c r="Q91">
        <f>IF(AND($E91=1,$F91=0),"MISSING IN EXCHANGE",IF(AND($E91=0,$F91=1),"MISSING IN INTERNAL",IF($G91&lt;&gt;$H91,"SIDE BREAK",IF($I91&lt;&gt;$J91,"QTY BREAK",IF(ABS($K91-$L91)&gt;0.005,"PRICE BREAK",IF(ABS($M91-$N91)&gt;0.01,"FEE BREAK","MATCHED"))))))</f>
        <v/>
      </c>
      <c r="R91">
        <f>IF($Q91="MATCHED",0,1)</f>
        <v/>
      </c>
      <c r="S91">
        <f>IF($Q91="MATCHED",0,IF($Q91="MISSING IN EXCHANGE",$O91,IF($Q91="MISSING IN INTERNAL",$P91,ABS(N($O91)-N($P91)))))</f>
        <v/>
      </c>
    </row>
    <row r="92">
      <c r="A92" t="inlineStr">
        <is>
          <t>T100091</t>
        </is>
      </c>
      <c r="B92">
        <f>IFERROR(INDEX(InternalTrades!$D$2:$D$461,MATCH($A92,InternalTrades!$A$2:$A$461,0)),INDEX(ExchangeConfirms!$D$2:$D$460,MATCH($A92,ExchangeConfirms!$A$2:$A$460,0)))</f>
        <v/>
      </c>
      <c r="C92">
        <f>IFERROR(INDEX(InternalTrades!$E$2:$E$461,MATCH($A92,InternalTrades!$A$2:$A$461,0)),INDEX(ExchangeConfirms!$E$2:$E$460,MATCH($A92,ExchangeConfirms!$A$2:$A$460,0)))</f>
        <v/>
      </c>
      <c r="D92">
        <f>IFERROR(INDEX(InternalTrades!$K$2:$K$461,MATCH($A92,InternalTrades!$A$2:$A$461,0)),INDEX(ExchangeConfirms!$K$2:$K$460,MATCH($A92,ExchangeConfirms!$A$2:$A$460,0)))</f>
        <v/>
      </c>
      <c r="E92">
        <f>IF(COUNTIF(InternalTrades!$A$2:$A$461,$A92)&gt;0,1,0)</f>
        <v/>
      </c>
      <c r="F92">
        <f>IF(COUNTIF(ExchangeConfirms!$A$2:$A$460,$A92)&gt;0,1,0)</f>
        <v/>
      </c>
      <c r="G92">
        <f>IFERROR(INDEX(InternalTrades!$F$2:$F$461,MATCH($A92,InternalTrades!$A$2:$A$461,0)),"")</f>
        <v/>
      </c>
      <c r="H92">
        <f>IFERROR(INDEX(ExchangeConfirms!$F$2:$F$460,MATCH($A92,ExchangeConfirms!$A$2:$A$460,0)),"")</f>
        <v/>
      </c>
      <c r="I92">
        <f>IFERROR(INDEX(InternalTrades!$G$2:$G$461,MATCH($A92,InternalTrades!$A$2:$A$461,0)),"")</f>
        <v/>
      </c>
      <c r="J92">
        <f>IFERROR(INDEX(ExchangeConfirms!$G$2:$G$460,MATCH($A92,ExchangeConfirms!$A$2:$A$460,0)),"")</f>
        <v/>
      </c>
      <c r="K92">
        <f>IFERROR(INDEX(InternalTrades!$H$2:$H$461,MATCH($A92,InternalTrades!$A$2:$A$461,0)),"")</f>
        <v/>
      </c>
      <c r="L92">
        <f>IFERROR(INDEX(ExchangeConfirms!$H$2:$H$460,MATCH($A92,ExchangeConfirms!$A$2:$A$460,0)),"")</f>
        <v/>
      </c>
      <c r="M92">
        <f>IFERROR(INDEX(InternalTrades!$J$2:$J$461,MATCH($A92,InternalTrades!$A$2:$A$461,0)),"")</f>
        <v/>
      </c>
      <c r="N92">
        <f>IFERROR(INDEX(ExchangeConfirms!$J$2:$J$460,MATCH($A92,ExchangeConfirms!$A$2:$A$460,0)),"")</f>
        <v/>
      </c>
      <c r="O92">
        <f>IFERROR(INDEX(InternalTrades!$I$2:$I$461,MATCH($A92,InternalTrades!$A$2:$A$461,0)),"")</f>
        <v/>
      </c>
      <c r="P92">
        <f>IFERROR(INDEX(ExchangeConfirms!$I$2:$I$460,MATCH($A92,ExchangeConfirms!$A$2:$A$460,0)),"")</f>
        <v/>
      </c>
      <c r="Q92">
        <f>IF(AND($E92=1,$F92=0),"MISSING IN EXCHANGE",IF(AND($E92=0,$F92=1),"MISSING IN INTERNAL",IF($G92&lt;&gt;$H92,"SIDE BREAK",IF($I92&lt;&gt;$J92,"QTY BREAK",IF(ABS($K92-$L92)&gt;0.005,"PRICE BREAK",IF(ABS($M92-$N92)&gt;0.01,"FEE BREAK","MATCHED"))))))</f>
        <v/>
      </c>
      <c r="R92">
        <f>IF($Q92="MATCHED",0,1)</f>
        <v/>
      </c>
      <c r="S92">
        <f>IF($Q92="MATCHED",0,IF($Q92="MISSING IN EXCHANGE",$O92,IF($Q92="MISSING IN INTERNAL",$P92,ABS(N($O92)-N($P92)))))</f>
        <v/>
      </c>
    </row>
    <row r="93">
      <c r="A93" t="inlineStr">
        <is>
          <t>T100092</t>
        </is>
      </c>
      <c r="B93">
        <f>IFERROR(INDEX(InternalTrades!$D$2:$D$461,MATCH($A93,InternalTrades!$A$2:$A$461,0)),INDEX(ExchangeConfirms!$D$2:$D$460,MATCH($A93,ExchangeConfirms!$A$2:$A$460,0)))</f>
        <v/>
      </c>
      <c r="C93">
        <f>IFERROR(INDEX(InternalTrades!$E$2:$E$461,MATCH($A93,InternalTrades!$A$2:$A$461,0)),INDEX(ExchangeConfirms!$E$2:$E$460,MATCH($A93,ExchangeConfirms!$A$2:$A$460,0)))</f>
        <v/>
      </c>
      <c r="D93">
        <f>IFERROR(INDEX(InternalTrades!$K$2:$K$461,MATCH($A93,InternalTrades!$A$2:$A$461,0)),INDEX(ExchangeConfirms!$K$2:$K$460,MATCH($A93,ExchangeConfirms!$A$2:$A$460,0)))</f>
        <v/>
      </c>
      <c r="E93">
        <f>IF(COUNTIF(InternalTrades!$A$2:$A$461,$A93)&gt;0,1,0)</f>
        <v/>
      </c>
      <c r="F93">
        <f>IF(COUNTIF(ExchangeConfirms!$A$2:$A$460,$A93)&gt;0,1,0)</f>
        <v/>
      </c>
      <c r="G93">
        <f>IFERROR(INDEX(InternalTrades!$F$2:$F$461,MATCH($A93,InternalTrades!$A$2:$A$461,0)),"")</f>
        <v/>
      </c>
      <c r="H93">
        <f>IFERROR(INDEX(ExchangeConfirms!$F$2:$F$460,MATCH($A93,ExchangeConfirms!$A$2:$A$460,0)),"")</f>
        <v/>
      </c>
      <c r="I93">
        <f>IFERROR(INDEX(InternalTrades!$G$2:$G$461,MATCH($A93,InternalTrades!$A$2:$A$461,0)),"")</f>
        <v/>
      </c>
      <c r="J93">
        <f>IFERROR(INDEX(ExchangeConfirms!$G$2:$G$460,MATCH($A93,ExchangeConfirms!$A$2:$A$460,0)),"")</f>
        <v/>
      </c>
      <c r="K93">
        <f>IFERROR(INDEX(InternalTrades!$H$2:$H$461,MATCH($A93,InternalTrades!$A$2:$A$461,0)),"")</f>
        <v/>
      </c>
      <c r="L93">
        <f>IFERROR(INDEX(ExchangeConfirms!$H$2:$H$460,MATCH($A93,ExchangeConfirms!$A$2:$A$460,0)),"")</f>
        <v/>
      </c>
      <c r="M93">
        <f>IFERROR(INDEX(InternalTrades!$J$2:$J$461,MATCH($A93,InternalTrades!$A$2:$A$461,0)),"")</f>
        <v/>
      </c>
      <c r="N93">
        <f>IFERROR(INDEX(ExchangeConfirms!$J$2:$J$460,MATCH($A93,ExchangeConfirms!$A$2:$A$460,0)),"")</f>
        <v/>
      </c>
      <c r="O93">
        <f>IFERROR(INDEX(InternalTrades!$I$2:$I$461,MATCH($A93,InternalTrades!$A$2:$A$461,0)),"")</f>
        <v/>
      </c>
      <c r="P93">
        <f>IFERROR(INDEX(ExchangeConfirms!$I$2:$I$460,MATCH($A93,ExchangeConfirms!$A$2:$A$460,0)),"")</f>
        <v/>
      </c>
      <c r="Q93">
        <f>IF(AND($E93=1,$F93=0),"MISSING IN EXCHANGE",IF(AND($E93=0,$F93=1),"MISSING IN INTERNAL",IF($G93&lt;&gt;$H93,"SIDE BREAK",IF($I93&lt;&gt;$J93,"QTY BREAK",IF(ABS($K93-$L93)&gt;0.005,"PRICE BREAK",IF(ABS($M93-$N93)&gt;0.01,"FEE BREAK","MATCHED"))))))</f>
        <v/>
      </c>
      <c r="R93">
        <f>IF($Q93="MATCHED",0,1)</f>
        <v/>
      </c>
      <c r="S93">
        <f>IF($Q93="MATCHED",0,IF($Q93="MISSING IN EXCHANGE",$O93,IF($Q93="MISSING IN INTERNAL",$P93,ABS(N($O93)-N($P93)))))</f>
        <v/>
      </c>
    </row>
    <row r="94">
      <c r="A94" t="inlineStr">
        <is>
          <t>T100093</t>
        </is>
      </c>
      <c r="B94">
        <f>IFERROR(INDEX(InternalTrades!$D$2:$D$461,MATCH($A94,InternalTrades!$A$2:$A$461,0)),INDEX(ExchangeConfirms!$D$2:$D$460,MATCH($A94,ExchangeConfirms!$A$2:$A$460,0)))</f>
        <v/>
      </c>
      <c r="C94">
        <f>IFERROR(INDEX(InternalTrades!$E$2:$E$461,MATCH($A94,InternalTrades!$A$2:$A$461,0)),INDEX(ExchangeConfirms!$E$2:$E$460,MATCH($A94,ExchangeConfirms!$A$2:$A$460,0)))</f>
        <v/>
      </c>
      <c r="D94">
        <f>IFERROR(INDEX(InternalTrades!$K$2:$K$461,MATCH($A94,InternalTrades!$A$2:$A$461,0)),INDEX(ExchangeConfirms!$K$2:$K$460,MATCH($A94,ExchangeConfirms!$A$2:$A$460,0)))</f>
        <v/>
      </c>
      <c r="E94">
        <f>IF(COUNTIF(InternalTrades!$A$2:$A$461,$A94)&gt;0,1,0)</f>
        <v/>
      </c>
      <c r="F94">
        <f>IF(COUNTIF(ExchangeConfirms!$A$2:$A$460,$A94)&gt;0,1,0)</f>
        <v/>
      </c>
      <c r="G94">
        <f>IFERROR(INDEX(InternalTrades!$F$2:$F$461,MATCH($A94,InternalTrades!$A$2:$A$461,0)),"")</f>
        <v/>
      </c>
      <c r="H94">
        <f>IFERROR(INDEX(ExchangeConfirms!$F$2:$F$460,MATCH($A94,ExchangeConfirms!$A$2:$A$460,0)),"")</f>
        <v/>
      </c>
      <c r="I94">
        <f>IFERROR(INDEX(InternalTrades!$G$2:$G$461,MATCH($A94,InternalTrades!$A$2:$A$461,0)),"")</f>
        <v/>
      </c>
      <c r="J94">
        <f>IFERROR(INDEX(ExchangeConfirms!$G$2:$G$460,MATCH($A94,ExchangeConfirms!$A$2:$A$460,0)),"")</f>
        <v/>
      </c>
      <c r="K94">
        <f>IFERROR(INDEX(InternalTrades!$H$2:$H$461,MATCH($A94,InternalTrades!$A$2:$A$461,0)),"")</f>
        <v/>
      </c>
      <c r="L94">
        <f>IFERROR(INDEX(ExchangeConfirms!$H$2:$H$460,MATCH($A94,ExchangeConfirms!$A$2:$A$460,0)),"")</f>
        <v/>
      </c>
      <c r="M94">
        <f>IFERROR(INDEX(InternalTrades!$J$2:$J$461,MATCH($A94,InternalTrades!$A$2:$A$461,0)),"")</f>
        <v/>
      </c>
      <c r="N94">
        <f>IFERROR(INDEX(ExchangeConfirms!$J$2:$J$460,MATCH($A94,ExchangeConfirms!$A$2:$A$460,0)),"")</f>
        <v/>
      </c>
      <c r="O94">
        <f>IFERROR(INDEX(InternalTrades!$I$2:$I$461,MATCH($A94,InternalTrades!$A$2:$A$461,0)),"")</f>
        <v/>
      </c>
      <c r="P94">
        <f>IFERROR(INDEX(ExchangeConfirms!$I$2:$I$460,MATCH($A94,ExchangeConfirms!$A$2:$A$460,0)),"")</f>
        <v/>
      </c>
      <c r="Q94">
        <f>IF(AND($E94=1,$F94=0),"MISSING IN EXCHANGE",IF(AND($E94=0,$F94=1),"MISSING IN INTERNAL",IF($G94&lt;&gt;$H94,"SIDE BREAK",IF($I94&lt;&gt;$J94,"QTY BREAK",IF(ABS($K94-$L94)&gt;0.005,"PRICE BREAK",IF(ABS($M94-$N94)&gt;0.01,"FEE BREAK","MATCHED"))))))</f>
        <v/>
      </c>
      <c r="R94">
        <f>IF($Q94="MATCHED",0,1)</f>
        <v/>
      </c>
      <c r="S94">
        <f>IF($Q94="MATCHED",0,IF($Q94="MISSING IN EXCHANGE",$O94,IF($Q94="MISSING IN INTERNAL",$P94,ABS(N($O94)-N($P94)))))</f>
        <v/>
      </c>
    </row>
    <row r="95">
      <c r="A95" t="inlineStr">
        <is>
          <t>T100094</t>
        </is>
      </c>
      <c r="B95">
        <f>IFERROR(INDEX(InternalTrades!$D$2:$D$461,MATCH($A95,InternalTrades!$A$2:$A$461,0)),INDEX(ExchangeConfirms!$D$2:$D$460,MATCH($A95,ExchangeConfirms!$A$2:$A$460,0)))</f>
        <v/>
      </c>
      <c r="C95">
        <f>IFERROR(INDEX(InternalTrades!$E$2:$E$461,MATCH($A95,InternalTrades!$A$2:$A$461,0)),INDEX(ExchangeConfirms!$E$2:$E$460,MATCH($A95,ExchangeConfirms!$A$2:$A$460,0)))</f>
        <v/>
      </c>
      <c r="D95">
        <f>IFERROR(INDEX(InternalTrades!$K$2:$K$461,MATCH($A95,InternalTrades!$A$2:$A$461,0)),INDEX(ExchangeConfirms!$K$2:$K$460,MATCH($A95,ExchangeConfirms!$A$2:$A$460,0)))</f>
        <v/>
      </c>
      <c r="E95">
        <f>IF(COUNTIF(InternalTrades!$A$2:$A$461,$A95)&gt;0,1,0)</f>
        <v/>
      </c>
      <c r="F95">
        <f>IF(COUNTIF(ExchangeConfirms!$A$2:$A$460,$A95)&gt;0,1,0)</f>
        <v/>
      </c>
      <c r="G95">
        <f>IFERROR(INDEX(InternalTrades!$F$2:$F$461,MATCH($A95,InternalTrades!$A$2:$A$461,0)),"")</f>
        <v/>
      </c>
      <c r="H95">
        <f>IFERROR(INDEX(ExchangeConfirms!$F$2:$F$460,MATCH($A95,ExchangeConfirms!$A$2:$A$460,0)),"")</f>
        <v/>
      </c>
      <c r="I95">
        <f>IFERROR(INDEX(InternalTrades!$G$2:$G$461,MATCH($A95,InternalTrades!$A$2:$A$461,0)),"")</f>
        <v/>
      </c>
      <c r="J95">
        <f>IFERROR(INDEX(ExchangeConfirms!$G$2:$G$460,MATCH($A95,ExchangeConfirms!$A$2:$A$460,0)),"")</f>
        <v/>
      </c>
      <c r="K95">
        <f>IFERROR(INDEX(InternalTrades!$H$2:$H$461,MATCH($A95,InternalTrades!$A$2:$A$461,0)),"")</f>
        <v/>
      </c>
      <c r="L95">
        <f>IFERROR(INDEX(ExchangeConfirms!$H$2:$H$460,MATCH($A95,ExchangeConfirms!$A$2:$A$460,0)),"")</f>
        <v/>
      </c>
      <c r="M95">
        <f>IFERROR(INDEX(InternalTrades!$J$2:$J$461,MATCH($A95,InternalTrades!$A$2:$A$461,0)),"")</f>
        <v/>
      </c>
      <c r="N95">
        <f>IFERROR(INDEX(ExchangeConfirms!$J$2:$J$460,MATCH($A95,ExchangeConfirms!$A$2:$A$460,0)),"")</f>
        <v/>
      </c>
      <c r="O95">
        <f>IFERROR(INDEX(InternalTrades!$I$2:$I$461,MATCH($A95,InternalTrades!$A$2:$A$461,0)),"")</f>
        <v/>
      </c>
      <c r="P95">
        <f>IFERROR(INDEX(ExchangeConfirms!$I$2:$I$460,MATCH($A95,ExchangeConfirms!$A$2:$A$460,0)),"")</f>
        <v/>
      </c>
      <c r="Q95">
        <f>IF(AND($E95=1,$F95=0),"MISSING IN EXCHANGE",IF(AND($E95=0,$F95=1),"MISSING IN INTERNAL",IF($G95&lt;&gt;$H95,"SIDE BREAK",IF($I95&lt;&gt;$J95,"QTY BREAK",IF(ABS($K95-$L95)&gt;0.005,"PRICE BREAK",IF(ABS($M95-$N95)&gt;0.01,"FEE BREAK","MATCHED"))))))</f>
        <v/>
      </c>
      <c r="R95">
        <f>IF($Q95="MATCHED",0,1)</f>
        <v/>
      </c>
      <c r="S95">
        <f>IF($Q95="MATCHED",0,IF($Q95="MISSING IN EXCHANGE",$O95,IF($Q95="MISSING IN INTERNAL",$P95,ABS(N($O95)-N($P95)))))</f>
        <v/>
      </c>
    </row>
    <row r="96">
      <c r="A96" t="inlineStr">
        <is>
          <t>T100095</t>
        </is>
      </c>
      <c r="B96">
        <f>IFERROR(INDEX(InternalTrades!$D$2:$D$461,MATCH($A96,InternalTrades!$A$2:$A$461,0)),INDEX(ExchangeConfirms!$D$2:$D$460,MATCH($A96,ExchangeConfirms!$A$2:$A$460,0)))</f>
        <v/>
      </c>
      <c r="C96">
        <f>IFERROR(INDEX(InternalTrades!$E$2:$E$461,MATCH($A96,InternalTrades!$A$2:$A$461,0)),INDEX(ExchangeConfirms!$E$2:$E$460,MATCH($A96,ExchangeConfirms!$A$2:$A$460,0)))</f>
        <v/>
      </c>
      <c r="D96">
        <f>IFERROR(INDEX(InternalTrades!$K$2:$K$461,MATCH($A96,InternalTrades!$A$2:$A$461,0)),INDEX(ExchangeConfirms!$K$2:$K$460,MATCH($A96,ExchangeConfirms!$A$2:$A$460,0)))</f>
        <v/>
      </c>
      <c r="E96">
        <f>IF(COUNTIF(InternalTrades!$A$2:$A$461,$A96)&gt;0,1,0)</f>
        <v/>
      </c>
      <c r="F96">
        <f>IF(COUNTIF(ExchangeConfirms!$A$2:$A$460,$A96)&gt;0,1,0)</f>
        <v/>
      </c>
      <c r="G96">
        <f>IFERROR(INDEX(InternalTrades!$F$2:$F$461,MATCH($A96,InternalTrades!$A$2:$A$461,0)),"")</f>
        <v/>
      </c>
      <c r="H96">
        <f>IFERROR(INDEX(ExchangeConfirms!$F$2:$F$460,MATCH($A96,ExchangeConfirms!$A$2:$A$460,0)),"")</f>
        <v/>
      </c>
      <c r="I96">
        <f>IFERROR(INDEX(InternalTrades!$G$2:$G$461,MATCH($A96,InternalTrades!$A$2:$A$461,0)),"")</f>
        <v/>
      </c>
      <c r="J96">
        <f>IFERROR(INDEX(ExchangeConfirms!$G$2:$G$460,MATCH($A96,ExchangeConfirms!$A$2:$A$460,0)),"")</f>
        <v/>
      </c>
      <c r="K96">
        <f>IFERROR(INDEX(InternalTrades!$H$2:$H$461,MATCH($A96,InternalTrades!$A$2:$A$461,0)),"")</f>
        <v/>
      </c>
      <c r="L96">
        <f>IFERROR(INDEX(ExchangeConfirms!$H$2:$H$460,MATCH($A96,ExchangeConfirms!$A$2:$A$460,0)),"")</f>
        <v/>
      </c>
      <c r="M96">
        <f>IFERROR(INDEX(InternalTrades!$J$2:$J$461,MATCH($A96,InternalTrades!$A$2:$A$461,0)),"")</f>
        <v/>
      </c>
      <c r="N96">
        <f>IFERROR(INDEX(ExchangeConfirms!$J$2:$J$460,MATCH($A96,ExchangeConfirms!$A$2:$A$460,0)),"")</f>
        <v/>
      </c>
      <c r="O96">
        <f>IFERROR(INDEX(InternalTrades!$I$2:$I$461,MATCH($A96,InternalTrades!$A$2:$A$461,0)),"")</f>
        <v/>
      </c>
      <c r="P96">
        <f>IFERROR(INDEX(ExchangeConfirms!$I$2:$I$460,MATCH($A96,ExchangeConfirms!$A$2:$A$460,0)),"")</f>
        <v/>
      </c>
      <c r="Q96">
        <f>IF(AND($E96=1,$F96=0),"MISSING IN EXCHANGE",IF(AND($E96=0,$F96=1),"MISSING IN INTERNAL",IF($G96&lt;&gt;$H96,"SIDE BREAK",IF($I96&lt;&gt;$J96,"QTY BREAK",IF(ABS($K96-$L96)&gt;0.005,"PRICE BREAK",IF(ABS($M96-$N96)&gt;0.01,"FEE BREAK","MATCHED"))))))</f>
        <v/>
      </c>
      <c r="R96">
        <f>IF($Q96="MATCHED",0,1)</f>
        <v/>
      </c>
      <c r="S96">
        <f>IF($Q96="MATCHED",0,IF($Q96="MISSING IN EXCHANGE",$O96,IF($Q96="MISSING IN INTERNAL",$P96,ABS(N($O96)-N($P96)))))</f>
        <v/>
      </c>
    </row>
    <row r="97">
      <c r="A97" t="inlineStr">
        <is>
          <t>T100096</t>
        </is>
      </c>
      <c r="B97">
        <f>IFERROR(INDEX(InternalTrades!$D$2:$D$461,MATCH($A97,InternalTrades!$A$2:$A$461,0)),INDEX(ExchangeConfirms!$D$2:$D$460,MATCH($A97,ExchangeConfirms!$A$2:$A$460,0)))</f>
        <v/>
      </c>
      <c r="C97">
        <f>IFERROR(INDEX(InternalTrades!$E$2:$E$461,MATCH($A97,InternalTrades!$A$2:$A$461,0)),INDEX(ExchangeConfirms!$E$2:$E$460,MATCH($A97,ExchangeConfirms!$A$2:$A$460,0)))</f>
        <v/>
      </c>
      <c r="D97">
        <f>IFERROR(INDEX(InternalTrades!$K$2:$K$461,MATCH($A97,InternalTrades!$A$2:$A$461,0)),INDEX(ExchangeConfirms!$K$2:$K$460,MATCH($A97,ExchangeConfirms!$A$2:$A$460,0)))</f>
        <v/>
      </c>
      <c r="E97">
        <f>IF(COUNTIF(InternalTrades!$A$2:$A$461,$A97)&gt;0,1,0)</f>
        <v/>
      </c>
      <c r="F97">
        <f>IF(COUNTIF(ExchangeConfirms!$A$2:$A$460,$A97)&gt;0,1,0)</f>
        <v/>
      </c>
      <c r="G97">
        <f>IFERROR(INDEX(InternalTrades!$F$2:$F$461,MATCH($A97,InternalTrades!$A$2:$A$461,0)),"")</f>
        <v/>
      </c>
      <c r="H97">
        <f>IFERROR(INDEX(ExchangeConfirms!$F$2:$F$460,MATCH($A97,ExchangeConfirms!$A$2:$A$460,0)),"")</f>
        <v/>
      </c>
      <c r="I97">
        <f>IFERROR(INDEX(InternalTrades!$G$2:$G$461,MATCH($A97,InternalTrades!$A$2:$A$461,0)),"")</f>
        <v/>
      </c>
      <c r="J97">
        <f>IFERROR(INDEX(ExchangeConfirms!$G$2:$G$460,MATCH($A97,ExchangeConfirms!$A$2:$A$460,0)),"")</f>
        <v/>
      </c>
      <c r="K97">
        <f>IFERROR(INDEX(InternalTrades!$H$2:$H$461,MATCH($A97,InternalTrades!$A$2:$A$461,0)),"")</f>
        <v/>
      </c>
      <c r="L97">
        <f>IFERROR(INDEX(ExchangeConfirms!$H$2:$H$460,MATCH($A97,ExchangeConfirms!$A$2:$A$460,0)),"")</f>
        <v/>
      </c>
      <c r="M97">
        <f>IFERROR(INDEX(InternalTrades!$J$2:$J$461,MATCH($A97,InternalTrades!$A$2:$A$461,0)),"")</f>
        <v/>
      </c>
      <c r="N97">
        <f>IFERROR(INDEX(ExchangeConfirms!$J$2:$J$460,MATCH($A97,ExchangeConfirms!$A$2:$A$460,0)),"")</f>
        <v/>
      </c>
      <c r="O97">
        <f>IFERROR(INDEX(InternalTrades!$I$2:$I$461,MATCH($A97,InternalTrades!$A$2:$A$461,0)),"")</f>
        <v/>
      </c>
      <c r="P97">
        <f>IFERROR(INDEX(ExchangeConfirms!$I$2:$I$460,MATCH($A97,ExchangeConfirms!$A$2:$A$460,0)),"")</f>
        <v/>
      </c>
      <c r="Q97">
        <f>IF(AND($E97=1,$F97=0),"MISSING IN EXCHANGE",IF(AND($E97=0,$F97=1),"MISSING IN INTERNAL",IF($G97&lt;&gt;$H97,"SIDE BREAK",IF($I97&lt;&gt;$J97,"QTY BREAK",IF(ABS($K97-$L97)&gt;0.005,"PRICE BREAK",IF(ABS($M97-$N97)&gt;0.01,"FEE BREAK","MATCHED"))))))</f>
        <v/>
      </c>
      <c r="R97">
        <f>IF($Q97="MATCHED",0,1)</f>
        <v/>
      </c>
      <c r="S97">
        <f>IF($Q97="MATCHED",0,IF($Q97="MISSING IN EXCHANGE",$O97,IF($Q97="MISSING IN INTERNAL",$P97,ABS(N($O97)-N($P97)))))</f>
        <v/>
      </c>
    </row>
    <row r="98">
      <c r="A98" t="inlineStr">
        <is>
          <t>T100097</t>
        </is>
      </c>
      <c r="B98">
        <f>IFERROR(INDEX(InternalTrades!$D$2:$D$461,MATCH($A98,InternalTrades!$A$2:$A$461,0)),INDEX(ExchangeConfirms!$D$2:$D$460,MATCH($A98,ExchangeConfirms!$A$2:$A$460,0)))</f>
        <v/>
      </c>
      <c r="C98">
        <f>IFERROR(INDEX(InternalTrades!$E$2:$E$461,MATCH($A98,InternalTrades!$A$2:$A$461,0)),INDEX(ExchangeConfirms!$E$2:$E$460,MATCH($A98,ExchangeConfirms!$A$2:$A$460,0)))</f>
        <v/>
      </c>
      <c r="D98">
        <f>IFERROR(INDEX(InternalTrades!$K$2:$K$461,MATCH($A98,InternalTrades!$A$2:$A$461,0)),INDEX(ExchangeConfirms!$K$2:$K$460,MATCH($A98,ExchangeConfirms!$A$2:$A$460,0)))</f>
        <v/>
      </c>
      <c r="E98">
        <f>IF(COUNTIF(InternalTrades!$A$2:$A$461,$A98)&gt;0,1,0)</f>
        <v/>
      </c>
      <c r="F98">
        <f>IF(COUNTIF(ExchangeConfirms!$A$2:$A$460,$A98)&gt;0,1,0)</f>
        <v/>
      </c>
      <c r="G98">
        <f>IFERROR(INDEX(InternalTrades!$F$2:$F$461,MATCH($A98,InternalTrades!$A$2:$A$461,0)),"")</f>
        <v/>
      </c>
      <c r="H98">
        <f>IFERROR(INDEX(ExchangeConfirms!$F$2:$F$460,MATCH($A98,ExchangeConfirms!$A$2:$A$460,0)),"")</f>
        <v/>
      </c>
      <c r="I98">
        <f>IFERROR(INDEX(InternalTrades!$G$2:$G$461,MATCH($A98,InternalTrades!$A$2:$A$461,0)),"")</f>
        <v/>
      </c>
      <c r="J98">
        <f>IFERROR(INDEX(ExchangeConfirms!$G$2:$G$460,MATCH($A98,ExchangeConfirms!$A$2:$A$460,0)),"")</f>
        <v/>
      </c>
      <c r="K98">
        <f>IFERROR(INDEX(InternalTrades!$H$2:$H$461,MATCH($A98,InternalTrades!$A$2:$A$461,0)),"")</f>
        <v/>
      </c>
      <c r="L98">
        <f>IFERROR(INDEX(ExchangeConfirms!$H$2:$H$460,MATCH($A98,ExchangeConfirms!$A$2:$A$460,0)),"")</f>
        <v/>
      </c>
      <c r="M98">
        <f>IFERROR(INDEX(InternalTrades!$J$2:$J$461,MATCH($A98,InternalTrades!$A$2:$A$461,0)),"")</f>
        <v/>
      </c>
      <c r="N98">
        <f>IFERROR(INDEX(ExchangeConfirms!$J$2:$J$460,MATCH($A98,ExchangeConfirms!$A$2:$A$460,0)),"")</f>
        <v/>
      </c>
      <c r="O98">
        <f>IFERROR(INDEX(InternalTrades!$I$2:$I$461,MATCH($A98,InternalTrades!$A$2:$A$461,0)),"")</f>
        <v/>
      </c>
      <c r="P98">
        <f>IFERROR(INDEX(ExchangeConfirms!$I$2:$I$460,MATCH($A98,ExchangeConfirms!$A$2:$A$460,0)),"")</f>
        <v/>
      </c>
      <c r="Q98">
        <f>IF(AND($E98=1,$F98=0),"MISSING IN EXCHANGE",IF(AND($E98=0,$F98=1),"MISSING IN INTERNAL",IF($G98&lt;&gt;$H98,"SIDE BREAK",IF($I98&lt;&gt;$J98,"QTY BREAK",IF(ABS($K98-$L98)&gt;0.005,"PRICE BREAK",IF(ABS($M98-$N98)&gt;0.01,"FEE BREAK","MATCHED"))))))</f>
        <v/>
      </c>
      <c r="R98">
        <f>IF($Q98="MATCHED",0,1)</f>
        <v/>
      </c>
      <c r="S98">
        <f>IF($Q98="MATCHED",0,IF($Q98="MISSING IN EXCHANGE",$O98,IF($Q98="MISSING IN INTERNAL",$P98,ABS(N($O98)-N($P98)))))</f>
        <v/>
      </c>
    </row>
    <row r="99">
      <c r="A99" t="inlineStr">
        <is>
          <t>T100098</t>
        </is>
      </c>
      <c r="B99">
        <f>IFERROR(INDEX(InternalTrades!$D$2:$D$461,MATCH($A99,InternalTrades!$A$2:$A$461,0)),INDEX(ExchangeConfirms!$D$2:$D$460,MATCH($A99,ExchangeConfirms!$A$2:$A$460,0)))</f>
        <v/>
      </c>
      <c r="C99">
        <f>IFERROR(INDEX(InternalTrades!$E$2:$E$461,MATCH($A99,InternalTrades!$A$2:$A$461,0)),INDEX(ExchangeConfirms!$E$2:$E$460,MATCH($A99,ExchangeConfirms!$A$2:$A$460,0)))</f>
        <v/>
      </c>
      <c r="D99">
        <f>IFERROR(INDEX(InternalTrades!$K$2:$K$461,MATCH($A99,InternalTrades!$A$2:$A$461,0)),INDEX(ExchangeConfirms!$K$2:$K$460,MATCH($A99,ExchangeConfirms!$A$2:$A$460,0)))</f>
        <v/>
      </c>
      <c r="E99">
        <f>IF(COUNTIF(InternalTrades!$A$2:$A$461,$A99)&gt;0,1,0)</f>
        <v/>
      </c>
      <c r="F99">
        <f>IF(COUNTIF(ExchangeConfirms!$A$2:$A$460,$A99)&gt;0,1,0)</f>
        <v/>
      </c>
      <c r="G99">
        <f>IFERROR(INDEX(InternalTrades!$F$2:$F$461,MATCH($A99,InternalTrades!$A$2:$A$461,0)),"")</f>
        <v/>
      </c>
      <c r="H99">
        <f>IFERROR(INDEX(ExchangeConfirms!$F$2:$F$460,MATCH($A99,ExchangeConfirms!$A$2:$A$460,0)),"")</f>
        <v/>
      </c>
      <c r="I99">
        <f>IFERROR(INDEX(InternalTrades!$G$2:$G$461,MATCH($A99,InternalTrades!$A$2:$A$461,0)),"")</f>
        <v/>
      </c>
      <c r="J99">
        <f>IFERROR(INDEX(ExchangeConfirms!$G$2:$G$460,MATCH($A99,ExchangeConfirms!$A$2:$A$460,0)),"")</f>
        <v/>
      </c>
      <c r="K99">
        <f>IFERROR(INDEX(InternalTrades!$H$2:$H$461,MATCH($A99,InternalTrades!$A$2:$A$461,0)),"")</f>
        <v/>
      </c>
      <c r="L99">
        <f>IFERROR(INDEX(ExchangeConfirms!$H$2:$H$460,MATCH($A99,ExchangeConfirms!$A$2:$A$460,0)),"")</f>
        <v/>
      </c>
      <c r="M99">
        <f>IFERROR(INDEX(InternalTrades!$J$2:$J$461,MATCH($A99,InternalTrades!$A$2:$A$461,0)),"")</f>
        <v/>
      </c>
      <c r="N99">
        <f>IFERROR(INDEX(ExchangeConfirms!$J$2:$J$460,MATCH($A99,ExchangeConfirms!$A$2:$A$460,0)),"")</f>
        <v/>
      </c>
      <c r="O99">
        <f>IFERROR(INDEX(InternalTrades!$I$2:$I$461,MATCH($A99,InternalTrades!$A$2:$A$461,0)),"")</f>
        <v/>
      </c>
      <c r="P99">
        <f>IFERROR(INDEX(ExchangeConfirms!$I$2:$I$460,MATCH($A99,ExchangeConfirms!$A$2:$A$460,0)),"")</f>
        <v/>
      </c>
      <c r="Q99">
        <f>IF(AND($E99=1,$F99=0),"MISSING IN EXCHANGE",IF(AND($E99=0,$F99=1),"MISSING IN INTERNAL",IF($G99&lt;&gt;$H99,"SIDE BREAK",IF($I99&lt;&gt;$J99,"QTY BREAK",IF(ABS($K99-$L99)&gt;0.005,"PRICE BREAK",IF(ABS($M99-$N99)&gt;0.01,"FEE BREAK","MATCHED"))))))</f>
        <v/>
      </c>
      <c r="R99">
        <f>IF($Q99="MATCHED",0,1)</f>
        <v/>
      </c>
      <c r="S99">
        <f>IF($Q99="MATCHED",0,IF($Q99="MISSING IN EXCHANGE",$O99,IF($Q99="MISSING IN INTERNAL",$P99,ABS(N($O99)-N($P99)))))</f>
        <v/>
      </c>
    </row>
    <row r="100">
      <c r="A100" t="inlineStr">
        <is>
          <t>T100099</t>
        </is>
      </c>
      <c r="B100">
        <f>IFERROR(INDEX(InternalTrades!$D$2:$D$461,MATCH($A100,InternalTrades!$A$2:$A$461,0)),INDEX(ExchangeConfirms!$D$2:$D$460,MATCH($A100,ExchangeConfirms!$A$2:$A$460,0)))</f>
        <v/>
      </c>
      <c r="C100">
        <f>IFERROR(INDEX(InternalTrades!$E$2:$E$461,MATCH($A100,InternalTrades!$A$2:$A$461,0)),INDEX(ExchangeConfirms!$E$2:$E$460,MATCH($A100,ExchangeConfirms!$A$2:$A$460,0)))</f>
        <v/>
      </c>
      <c r="D100">
        <f>IFERROR(INDEX(InternalTrades!$K$2:$K$461,MATCH($A100,InternalTrades!$A$2:$A$461,0)),INDEX(ExchangeConfirms!$K$2:$K$460,MATCH($A100,ExchangeConfirms!$A$2:$A$460,0)))</f>
        <v/>
      </c>
      <c r="E100">
        <f>IF(COUNTIF(InternalTrades!$A$2:$A$461,$A100)&gt;0,1,0)</f>
        <v/>
      </c>
      <c r="F100">
        <f>IF(COUNTIF(ExchangeConfirms!$A$2:$A$460,$A100)&gt;0,1,0)</f>
        <v/>
      </c>
      <c r="G100">
        <f>IFERROR(INDEX(InternalTrades!$F$2:$F$461,MATCH($A100,InternalTrades!$A$2:$A$461,0)),"")</f>
        <v/>
      </c>
      <c r="H100">
        <f>IFERROR(INDEX(ExchangeConfirms!$F$2:$F$460,MATCH($A100,ExchangeConfirms!$A$2:$A$460,0)),"")</f>
        <v/>
      </c>
      <c r="I100">
        <f>IFERROR(INDEX(InternalTrades!$G$2:$G$461,MATCH($A100,InternalTrades!$A$2:$A$461,0)),"")</f>
        <v/>
      </c>
      <c r="J100">
        <f>IFERROR(INDEX(ExchangeConfirms!$G$2:$G$460,MATCH($A100,ExchangeConfirms!$A$2:$A$460,0)),"")</f>
        <v/>
      </c>
      <c r="K100">
        <f>IFERROR(INDEX(InternalTrades!$H$2:$H$461,MATCH($A100,InternalTrades!$A$2:$A$461,0)),"")</f>
        <v/>
      </c>
      <c r="L100">
        <f>IFERROR(INDEX(ExchangeConfirms!$H$2:$H$460,MATCH($A100,ExchangeConfirms!$A$2:$A$460,0)),"")</f>
        <v/>
      </c>
      <c r="M100">
        <f>IFERROR(INDEX(InternalTrades!$J$2:$J$461,MATCH($A100,InternalTrades!$A$2:$A$461,0)),"")</f>
        <v/>
      </c>
      <c r="N100">
        <f>IFERROR(INDEX(ExchangeConfirms!$J$2:$J$460,MATCH($A100,ExchangeConfirms!$A$2:$A$460,0)),"")</f>
        <v/>
      </c>
      <c r="O100">
        <f>IFERROR(INDEX(InternalTrades!$I$2:$I$461,MATCH($A100,InternalTrades!$A$2:$A$461,0)),"")</f>
        <v/>
      </c>
      <c r="P100">
        <f>IFERROR(INDEX(ExchangeConfirms!$I$2:$I$460,MATCH($A100,ExchangeConfirms!$A$2:$A$460,0)),"")</f>
        <v/>
      </c>
      <c r="Q100">
        <f>IF(AND($E100=1,$F100=0),"MISSING IN EXCHANGE",IF(AND($E100=0,$F100=1),"MISSING IN INTERNAL",IF($G100&lt;&gt;$H100,"SIDE BREAK",IF($I100&lt;&gt;$J100,"QTY BREAK",IF(ABS($K100-$L100)&gt;0.005,"PRICE BREAK",IF(ABS($M100-$N100)&gt;0.01,"FEE BREAK","MATCHED"))))))</f>
        <v/>
      </c>
      <c r="R100">
        <f>IF($Q100="MATCHED",0,1)</f>
        <v/>
      </c>
      <c r="S100">
        <f>IF($Q100="MATCHED",0,IF($Q100="MISSING IN EXCHANGE",$O100,IF($Q100="MISSING IN INTERNAL",$P100,ABS(N($O100)-N($P100)))))</f>
        <v/>
      </c>
    </row>
    <row r="101">
      <c r="A101" t="inlineStr">
        <is>
          <t>T100100</t>
        </is>
      </c>
      <c r="B101">
        <f>IFERROR(INDEX(InternalTrades!$D$2:$D$461,MATCH($A101,InternalTrades!$A$2:$A$461,0)),INDEX(ExchangeConfirms!$D$2:$D$460,MATCH($A101,ExchangeConfirms!$A$2:$A$460,0)))</f>
        <v/>
      </c>
      <c r="C101">
        <f>IFERROR(INDEX(InternalTrades!$E$2:$E$461,MATCH($A101,InternalTrades!$A$2:$A$461,0)),INDEX(ExchangeConfirms!$E$2:$E$460,MATCH($A101,ExchangeConfirms!$A$2:$A$460,0)))</f>
        <v/>
      </c>
      <c r="D101">
        <f>IFERROR(INDEX(InternalTrades!$K$2:$K$461,MATCH($A101,InternalTrades!$A$2:$A$461,0)),INDEX(ExchangeConfirms!$K$2:$K$460,MATCH($A101,ExchangeConfirms!$A$2:$A$460,0)))</f>
        <v/>
      </c>
      <c r="E101">
        <f>IF(COUNTIF(InternalTrades!$A$2:$A$461,$A101)&gt;0,1,0)</f>
        <v/>
      </c>
      <c r="F101">
        <f>IF(COUNTIF(ExchangeConfirms!$A$2:$A$460,$A101)&gt;0,1,0)</f>
        <v/>
      </c>
      <c r="G101">
        <f>IFERROR(INDEX(InternalTrades!$F$2:$F$461,MATCH($A101,InternalTrades!$A$2:$A$461,0)),"")</f>
        <v/>
      </c>
      <c r="H101">
        <f>IFERROR(INDEX(ExchangeConfirms!$F$2:$F$460,MATCH($A101,ExchangeConfirms!$A$2:$A$460,0)),"")</f>
        <v/>
      </c>
      <c r="I101">
        <f>IFERROR(INDEX(InternalTrades!$G$2:$G$461,MATCH($A101,InternalTrades!$A$2:$A$461,0)),"")</f>
        <v/>
      </c>
      <c r="J101">
        <f>IFERROR(INDEX(ExchangeConfirms!$G$2:$G$460,MATCH($A101,ExchangeConfirms!$A$2:$A$460,0)),"")</f>
        <v/>
      </c>
      <c r="K101">
        <f>IFERROR(INDEX(InternalTrades!$H$2:$H$461,MATCH($A101,InternalTrades!$A$2:$A$461,0)),"")</f>
        <v/>
      </c>
      <c r="L101">
        <f>IFERROR(INDEX(ExchangeConfirms!$H$2:$H$460,MATCH($A101,ExchangeConfirms!$A$2:$A$460,0)),"")</f>
        <v/>
      </c>
      <c r="M101">
        <f>IFERROR(INDEX(InternalTrades!$J$2:$J$461,MATCH($A101,InternalTrades!$A$2:$A$461,0)),"")</f>
        <v/>
      </c>
      <c r="N101">
        <f>IFERROR(INDEX(ExchangeConfirms!$J$2:$J$460,MATCH($A101,ExchangeConfirms!$A$2:$A$460,0)),"")</f>
        <v/>
      </c>
      <c r="O101">
        <f>IFERROR(INDEX(InternalTrades!$I$2:$I$461,MATCH($A101,InternalTrades!$A$2:$A$461,0)),"")</f>
        <v/>
      </c>
      <c r="P101">
        <f>IFERROR(INDEX(ExchangeConfirms!$I$2:$I$460,MATCH($A101,ExchangeConfirms!$A$2:$A$460,0)),"")</f>
        <v/>
      </c>
      <c r="Q101">
        <f>IF(AND($E101=1,$F101=0),"MISSING IN EXCHANGE",IF(AND($E101=0,$F101=1),"MISSING IN INTERNAL",IF($G101&lt;&gt;$H101,"SIDE BREAK",IF($I101&lt;&gt;$J101,"QTY BREAK",IF(ABS($K101-$L101)&gt;0.005,"PRICE BREAK",IF(ABS($M101-$N101)&gt;0.01,"FEE BREAK","MATCHED"))))))</f>
        <v/>
      </c>
      <c r="R101">
        <f>IF($Q101="MATCHED",0,1)</f>
        <v/>
      </c>
      <c r="S101">
        <f>IF($Q101="MATCHED",0,IF($Q101="MISSING IN EXCHANGE",$O101,IF($Q101="MISSING IN INTERNAL",$P101,ABS(N($O101)-N($P101)))))</f>
        <v/>
      </c>
    </row>
    <row r="102">
      <c r="A102" t="inlineStr">
        <is>
          <t>T100101</t>
        </is>
      </c>
      <c r="B102">
        <f>IFERROR(INDEX(InternalTrades!$D$2:$D$461,MATCH($A102,InternalTrades!$A$2:$A$461,0)),INDEX(ExchangeConfirms!$D$2:$D$460,MATCH($A102,ExchangeConfirms!$A$2:$A$460,0)))</f>
        <v/>
      </c>
      <c r="C102">
        <f>IFERROR(INDEX(InternalTrades!$E$2:$E$461,MATCH($A102,InternalTrades!$A$2:$A$461,0)),INDEX(ExchangeConfirms!$E$2:$E$460,MATCH($A102,ExchangeConfirms!$A$2:$A$460,0)))</f>
        <v/>
      </c>
      <c r="D102">
        <f>IFERROR(INDEX(InternalTrades!$K$2:$K$461,MATCH($A102,InternalTrades!$A$2:$A$461,0)),INDEX(ExchangeConfirms!$K$2:$K$460,MATCH($A102,ExchangeConfirms!$A$2:$A$460,0)))</f>
        <v/>
      </c>
      <c r="E102">
        <f>IF(COUNTIF(InternalTrades!$A$2:$A$461,$A102)&gt;0,1,0)</f>
        <v/>
      </c>
      <c r="F102">
        <f>IF(COUNTIF(ExchangeConfirms!$A$2:$A$460,$A102)&gt;0,1,0)</f>
        <v/>
      </c>
      <c r="G102">
        <f>IFERROR(INDEX(InternalTrades!$F$2:$F$461,MATCH($A102,InternalTrades!$A$2:$A$461,0)),"")</f>
        <v/>
      </c>
      <c r="H102">
        <f>IFERROR(INDEX(ExchangeConfirms!$F$2:$F$460,MATCH($A102,ExchangeConfirms!$A$2:$A$460,0)),"")</f>
        <v/>
      </c>
      <c r="I102">
        <f>IFERROR(INDEX(InternalTrades!$G$2:$G$461,MATCH($A102,InternalTrades!$A$2:$A$461,0)),"")</f>
        <v/>
      </c>
      <c r="J102">
        <f>IFERROR(INDEX(ExchangeConfirms!$G$2:$G$460,MATCH($A102,ExchangeConfirms!$A$2:$A$460,0)),"")</f>
        <v/>
      </c>
      <c r="K102">
        <f>IFERROR(INDEX(InternalTrades!$H$2:$H$461,MATCH($A102,InternalTrades!$A$2:$A$461,0)),"")</f>
        <v/>
      </c>
      <c r="L102">
        <f>IFERROR(INDEX(ExchangeConfirms!$H$2:$H$460,MATCH($A102,ExchangeConfirms!$A$2:$A$460,0)),"")</f>
        <v/>
      </c>
      <c r="M102">
        <f>IFERROR(INDEX(InternalTrades!$J$2:$J$461,MATCH($A102,InternalTrades!$A$2:$A$461,0)),"")</f>
        <v/>
      </c>
      <c r="N102">
        <f>IFERROR(INDEX(ExchangeConfirms!$J$2:$J$460,MATCH($A102,ExchangeConfirms!$A$2:$A$460,0)),"")</f>
        <v/>
      </c>
      <c r="O102">
        <f>IFERROR(INDEX(InternalTrades!$I$2:$I$461,MATCH($A102,InternalTrades!$A$2:$A$461,0)),"")</f>
        <v/>
      </c>
      <c r="P102">
        <f>IFERROR(INDEX(ExchangeConfirms!$I$2:$I$460,MATCH($A102,ExchangeConfirms!$A$2:$A$460,0)),"")</f>
        <v/>
      </c>
      <c r="Q102">
        <f>IF(AND($E102=1,$F102=0),"MISSING IN EXCHANGE",IF(AND($E102=0,$F102=1),"MISSING IN INTERNAL",IF($G102&lt;&gt;$H102,"SIDE BREAK",IF($I102&lt;&gt;$J102,"QTY BREAK",IF(ABS($K102-$L102)&gt;0.005,"PRICE BREAK",IF(ABS($M102-$N102)&gt;0.01,"FEE BREAK","MATCHED"))))))</f>
        <v/>
      </c>
      <c r="R102">
        <f>IF($Q102="MATCHED",0,1)</f>
        <v/>
      </c>
      <c r="S102">
        <f>IF($Q102="MATCHED",0,IF($Q102="MISSING IN EXCHANGE",$O102,IF($Q102="MISSING IN INTERNAL",$P102,ABS(N($O102)-N($P102)))))</f>
        <v/>
      </c>
    </row>
    <row r="103">
      <c r="A103" t="inlineStr">
        <is>
          <t>T100102</t>
        </is>
      </c>
      <c r="B103">
        <f>IFERROR(INDEX(InternalTrades!$D$2:$D$461,MATCH($A103,InternalTrades!$A$2:$A$461,0)),INDEX(ExchangeConfirms!$D$2:$D$460,MATCH($A103,ExchangeConfirms!$A$2:$A$460,0)))</f>
        <v/>
      </c>
      <c r="C103">
        <f>IFERROR(INDEX(InternalTrades!$E$2:$E$461,MATCH($A103,InternalTrades!$A$2:$A$461,0)),INDEX(ExchangeConfirms!$E$2:$E$460,MATCH($A103,ExchangeConfirms!$A$2:$A$460,0)))</f>
        <v/>
      </c>
      <c r="D103">
        <f>IFERROR(INDEX(InternalTrades!$K$2:$K$461,MATCH($A103,InternalTrades!$A$2:$A$461,0)),INDEX(ExchangeConfirms!$K$2:$K$460,MATCH($A103,ExchangeConfirms!$A$2:$A$460,0)))</f>
        <v/>
      </c>
      <c r="E103">
        <f>IF(COUNTIF(InternalTrades!$A$2:$A$461,$A103)&gt;0,1,0)</f>
        <v/>
      </c>
      <c r="F103">
        <f>IF(COUNTIF(ExchangeConfirms!$A$2:$A$460,$A103)&gt;0,1,0)</f>
        <v/>
      </c>
      <c r="G103">
        <f>IFERROR(INDEX(InternalTrades!$F$2:$F$461,MATCH($A103,InternalTrades!$A$2:$A$461,0)),"")</f>
        <v/>
      </c>
      <c r="H103">
        <f>IFERROR(INDEX(ExchangeConfirms!$F$2:$F$460,MATCH($A103,ExchangeConfirms!$A$2:$A$460,0)),"")</f>
        <v/>
      </c>
      <c r="I103">
        <f>IFERROR(INDEX(InternalTrades!$G$2:$G$461,MATCH($A103,InternalTrades!$A$2:$A$461,0)),"")</f>
        <v/>
      </c>
      <c r="J103">
        <f>IFERROR(INDEX(ExchangeConfirms!$G$2:$G$460,MATCH($A103,ExchangeConfirms!$A$2:$A$460,0)),"")</f>
        <v/>
      </c>
      <c r="K103">
        <f>IFERROR(INDEX(InternalTrades!$H$2:$H$461,MATCH($A103,InternalTrades!$A$2:$A$461,0)),"")</f>
        <v/>
      </c>
      <c r="L103">
        <f>IFERROR(INDEX(ExchangeConfirms!$H$2:$H$460,MATCH($A103,ExchangeConfirms!$A$2:$A$460,0)),"")</f>
        <v/>
      </c>
      <c r="M103">
        <f>IFERROR(INDEX(InternalTrades!$J$2:$J$461,MATCH($A103,InternalTrades!$A$2:$A$461,0)),"")</f>
        <v/>
      </c>
      <c r="N103">
        <f>IFERROR(INDEX(ExchangeConfirms!$J$2:$J$460,MATCH($A103,ExchangeConfirms!$A$2:$A$460,0)),"")</f>
        <v/>
      </c>
      <c r="O103">
        <f>IFERROR(INDEX(InternalTrades!$I$2:$I$461,MATCH($A103,InternalTrades!$A$2:$A$461,0)),"")</f>
        <v/>
      </c>
      <c r="P103">
        <f>IFERROR(INDEX(ExchangeConfirms!$I$2:$I$460,MATCH($A103,ExchangeConfirms!$A$2:$A$460,0)),"")</f>
        <v/>
      </c>
      <c r="Q103">
        <f>IF(AND($E103=1,$F103=0),"MISSING IN EXCHANGE",IF(AND($E103=0,$F103=1),"MISSING IN INTERNAL",IF($G103&lt;&gt;$H103,"SIDE BREAK",IF($I103&lt;&gt;$J103,"QTY BREAK",IF(ABS($K103-$L103)&gt;0.005,"PRICE BREAK",IF(ABS($M103-$N103)&gt;0.01,"FEE BREAK","MATCHED"))))))</f>
        <v/>
      </c>
      <c r="R103">
        <f>IF($Q103="MATCHED",0,1)</f>
        <v/>
      </c>
      <c r="S103">
        <f>IF($Q103="MATCHED",0,IF($Q103="MISSING IN EXCHANGE",$O103,IF($Q103="MISSING IN INTERNAL",$P103,ABS(N($O103)-N($P103)))))</f>
        <v/>
      </c>
    </row>
    <row r="104">
      <c r="A104" t="inlineStr">
        <is>
          <t>T100103</t>
        </is>
      </c>
      <c r="B104">
        <f>IFERROR(INDEX(InternalTrades!$D$2:$D$461,MATCH($A104,InternalTrades!$A$2:$A$461,0)),INDEX(ExchangeConfirms!$D$2:$D$460,MATCH($A104,ExchangeConfirms!$A$2:$A$460,0)))</f>
        <v/>
      </c>
      <c r="C104">
        <f>IFERROR(INDEX(InternalTrades!$E$2:$E$461,MATCH($A104,InternalTrades!$A$2:$A$461,0)),INDEX(ExchangeConfirms!$E$2:$E$460,MATCH($A104,ExchangeConfirms!$A$2:$A$460,0)))</f>
        <v/>
      </c>
      <c r="D104">
        <f>IFERROR(INDEX(InternalTrades!$K$2:$K$461,MATCH($A104,InternalTrades!$A$2:$A$461,0)),INDEX(ExchangeConfirms!$K$2:$K$460,MATCH($A104,ExchangeConfirms!$A$2:$A$460,0)))</f>
        <v/>
      </c>
      <c r="E104">
        <f>IF(COUNTIF(InternalTrades!$A$2:$A$461,$A104)&gt;0,1,0)</f>
        <v/>
      </c>
      <c r="F104">
        <f>IF(COUNTIF(ExchangeConfirms!$A$2:$A$460,$A104)&gt;0,1,0)</f>
        <v/>
      </c>
      <c r="G104">
        <f>IFERROR(INDEX(InternalTrades!$F$2:$F$461,MATCH($A104,InternalTrades!$A$2:$A$461,0)),"")</f>
        <v/>
      </c>
      <c r="H104">
        <f>IFERROR(INDEX(ExchangeConfirms!$F$2:$F$460,MATCH($A104,ExchangeConfirms!$A$2:$A$460,0)),"")</f>
        <v/>
      </c>
      <c r="I104">
        <f>IFERROR(INDEX(InternalTrades!$G$2:$G$461,MATCH($A104,InternalTrades!$A$2:$A$461,0)),"")</f>
        <v/>
      </c>
      <c r="J104">
        <f>IFERROR(INDEX(ExchangeConfirms!$G$2:$G$460,MATCH($A104,ExchangeConfirms!$A$2:$A$460,0)),"")</f>
        <v/>
      </c>
      <c r="K104">
        <f>IFERROR(INDEX(InternalTrades!$H$2:$H$461,MATCH($A104,InternalTrades!$A$2:$A$461,0)),"")</f>
        <v/>
      </c>
      <c r="L104">
        <f>IFERROR(INDEX(ExchangeConfirms!$H$2:$H$460,MATCH($A104,ExchangeConfirms!$A$2:$A$460,0)),"")</f>
        <v/>
      </c>
      <c r="M104">
        <f>IFERROR(INDEX(InternalTrades!$J$2:$J$461,MATCH($A104,InternalTrades!$A$2:$A$461,0)),"")</f>
        <v/>
      </c>
      <c r="N104">
        <f>IFERROR(INDEX(ExchangeConfirms!$J$2:$J$460,MATCH($A104,ExchangeConfirms!$A$2:$A$460,0)),"")</f>
        <v/>
      </c>
      <c r="O104">
        <f>IFERROR(INDEX(InternalTrades!$I$2:$I$461,MATCH($A104,InternalTrades!$A$2:$A$461,0)),"")</f>
        <v/>
      </c>
      <c r="P104">
        <f>IFERROR(INDEX(ExchangeConfirms!$I$2:$I$460,MATCH($A104,ExchangeConfirms!$A$2:$A$460,0)),"")</f>
        <v/>
      </c>
      <c r="Q104">
        <f>IF(AND($E104=1,$F104=0),"MISSING IN EXCHANGE",IF(AND($E104=0,$F104=1),"MISSING IN INTERNAL",IF($G104&lt;&gt;$H104,"SIDE BREAK",IF($I104&lt;&gt;$J104,"QTY BREAK",IF(ABS($K104-$L104)&gt;0.005,"PRICE BREAK",IF(ABS($M104-$N104)&gt;0.01,"FEE BREAK","MATCHED"))))))</f>
        <v/>
      </c>
      <c r="R104">
        <f>IF($Q104="MATCHED",0,1)</f>
        <v/>
      </c>
      <c r="S104">
        <f>IF($Q104="MATCHED",0,IF($Q104="MISSING IN EXCHANGE",$O104,IF($Q104="MISSING IN INTERNAL",$P104,ABS(N($O104)-N($P104)))))</f>
        <v/>
      </c>
    </row>
    <row r="105">
      <c r="A105" t="inlineStr">
        <is>
          <t>T100104</t>
        </is>
      </c>
      <c r="B105">
        <f>IFERROR(INDEX(InternalTrades!$D$2:$D$461,MATCH($A105,InternalTrades!$A$2:$A$461,0)),INDEX(ExchangeConfirms!$D$2:$D$460,MATCH($A105,ExchangeConfirms!$A$2:$A$460,0)))</f>
        <v/>
      </c>
      <c r="C105">
        <f>IFERROR(INDEX(InternalTrades!$E$2:$E$461,MATCH($A105,InternalTrades!$A$2:$A$461,0)),INDEX(ExchangeConfirms!$E$2:$E$460,MATCH($A105,ExchangeConfirms!$A$2:$A$460,0)))</f>
        <v/>
      </c>
      <c r="D105">
        <f>IFERROR(INDEX(InternalTrades!$K$2:$K$461,MATCH($A105,InternalTrades!$A$2:$A$461,0)),INDEX(ExchangeConfirms!$K$2:$K$460,MATCH($A105,ExchangeConfirms!$A$2:$A$460,0)))</f>
        <v/>
      </c>
      <c r="E105">
        <f>IF(COUNTIF(InternalTrades!$A$2:$A$461,$A105)&gt;0,1,0)</f>
        <v/>
      </c>
      <c r="F105">
        <f>IF(COUNTIF(ExchangeConfirms!$A$2:$A$460,$A105)&gt;0,1,0)</f>
        <v/>
      </c>
      <c r="G105">
        <f>IFERROR(INDEX(InternalTrades!$F$2:$F$461,MATCH($A105,InternalTrades!$A$2:$A$461,0)),"")</f>
        <v/>
      </c>
      <c r="H105">
        <f>IFERROR(INDEX(ExchangeConfirms!$F$2:$F$460,MATCH($A105,ExchangeConfirms!$A$2:$A$460,0)),"")</f>
        <v/>
      </c>
      <c r="I105">
        <f>IFERROR(INDEX(InternalTrades!$G$2:$G$461,MATCH($A105,InternalTrades!$A$2:$A$461,0)),"")</f>
        <v/>
      </c>
      <c r="J105">
        <f>IFERROR(INDEX(ExchangeConfirms!$G$2:$G$460,MATCH($A105,ExchangeConfirms!$A$2:$A$460,0)),"")</f>
        <v/>
      </c>
      <c r="K105">
        <f>IFERROR(INDEX(InternalTrades!$H$2:$H$461,MATCH($A105,InternalTrades!$A$2:$A$461,0)),"")</f>
        <v/>
      </c>
      <c r="L105">
        <f>IFERROR(INDEX(ExchangeConfirms!$H$2:$H$460,MATCH($A105,ExchangeConfirms!$A$2:$A$460,0)),"")</f>
        <v/>
      </c>
      <c r="M105">
        <f>IFERROR(INDEX(InternalTrades!$J$2:$J$461,MATCH($A105,InternalTrades!$A$2:$A$461,0)),"")</f>
        <v/>
      </c>
      <c r="N105">
        <f>IFERROR(INDEX(ExchangeConfirms!$J$2:$J$460,MATCH($A105,ExchangeConfirms!$A$2:$A$460,0)),"")</f>
        <v/>
      </c>
      <c r="O105">
        <f>IFERROR(INDEX(InternalTrades!$I$2:$I$461,MATCH($A105,InternalTrades!$A$2:$A$461,0)),"")</f>
        <v/>
      </c>
      <c r="P105">
        <f>IFERROR(INDEX(ExchangeConfirms!$I$2:$I$460,MATCH($A105,ExchangeConfirms!$A$2:$A$460,0)),"")</f>
        <v/>
      </c>
      <c r="Q105">
        <f>IF(AND($E105=1,$F105=0),"MISSING IN EXCHANGE",IF(AND($E105=0,$F105=1),"MISSING IN INTERNAL",IF($G105&lt;&gt;$H105,"SIDE BREAK",IF($I105&lt;&gt;$J105,"QTY BREAK",IF(ABS($K105-$L105)&gt;0.005,"PRICE BREAK",IF(ABS($M105-$N105)&gt;0.01,"FEE BREAK","MATCHED"))))))</f>
        <v/>
      </c>
      <c r="R105">
        <f>IF($Q105="MATCHED",0,1)</f>
        <v/>
      </c>
      <c r="S105">
        <f>IF($Q105="MATCHED",0,IF($Q105="MISSING IN EXCHANGE",$O105,IF($Q105="MISSING IN INTERNAL",$P105,ABS(N($O105)-N($P105)))))</f>
        <v/>
      </c>
    </row>
    <row r="106">
      <c r="A106" t="inlineStr">
        <is>
          <t>T100105</t>
        </is>
      </c>
      <c r="B106">
        <f>IFERROR(INDEX(InternalTrades!$D$2:$D$461,MATCH($A106,InternalTrades!$A$2:$A$461,0)),INDEX(ExchangeConfirms!$D$2:$D$460,MATCH($A106,ExchangeConfirms!$A$2:$A$460,0)))</f>
        <v/>
      </c>
      <c r="C106">
        <f>IFERROR(INDEX(InternalTrades!$E$2:$E$461,MATCH($A106,InternalTrades!$A$2:$A$461,0)),INDEX(ExchangeConfirms!$E$2:$E$460,MATCH($A106,ExchangeConfirms!$A$2:$A$460,0)))</f>
        <v/>
      </c>
      <c r="D106">
        <f>IFERROR(INDEX(InternalTrades!$K$2:$K$461,MATCH($A106,InternalTrades!$A$2:$A$461,0)),INDEX(ExchangeConfirms!$K$2:$K$460,MATCH($A106,ExchangeConfirms!$A$2:$A$460,0)))</f>
        <v/>
      </c>
      <c r="E106">
        <f>IF(COUNTIF(InternalTrades!$A$2:$A$461,$A106)&gt;0,1,0)</f>
        <v/>
      </c>
      <c r="F106">
        <f>IF(COUNTIF(ExchangeConfirms!$A$2:$A$460,$A106)&gt;0,1,0)</f>
        <v/>
      </c>
      <c r="G106">
        <f>IFERROR(INDEX(InternalTrades!$F$2:$F$461,MATCH($A106,InternalTrades!$A$2:$A$461,0)),"")</f>
        <v/>
      </c>
      <c r="H106">
        <f>IFERROR(INDEX(ExchangeConfirms!$F$2:$F$460,MATCH($A106,ExchangeConfirms!$A$2:$A$460,0)),"")</f>
        <v/>
      </c>
      <c r="I106">
        <f>IFERROR(INDEX(InternalTrades!$G$2:$G$461,MATCH($A106,InternalTrades!$A$2:$A$461,0)),"")</f>
        <v/>
      </c>
      <c r="J106">
        <f>IFERROR(INDEX(ExchangeConfirms!$G$2:$G$460,MATCH($A106,ExchangeConfirms!$A$2:$A$460,0)),"")</f>
        <v/>
      </c>
      <c r="K106">
        <f>IFERROR(INDEX(InternalTrades!$H$2:$H$461,MATCH($A106,InternalTrades!$A$2:$A$461,0)),"")</f>
        <v/>
      </c>
      <c r="L106">
        <f>IFERROR(INDEX(ExchangeConfirms!$H$2:$H$460,MATCH($A106,ExchangeConfirms!$A$2:$A$460,0)),"")</f>
        <v/>
      </c>
      <c r="M106">
        <f>IFERROR(INDEX(InternalTrades!$J$2:$J$461,MATCH($A106,InternalTrades!$A$2:$A$461,0)),"")</f>
        <v/>
      </c>
      <c r="N106">
        <f>IFERROR(INDEX(ExchangeConfirms!$J$2:$J$460,MATCH($A106,ExchangeConfirms!$A$2:$A$460,0)),"")</f>
        <v/>
      </c>
      <c r="O106">
        <f>IFERROR(INDEX(InternalTrades!$I$2:$I$461,MATCH($A106,InternalTrades!$A$2:$A$461,0)),"")</f>
        <v/>
      </c>
      <c r="P106">
        <f>IFERROR(INDEX(ExchangeConfirms!$I$2:$I$460,MATCH($A106,ExchangeConfirms!$A$2:$A$460,0)),"")</f>
        <v/>
      </c>
      <c r="Q106">
        <f>IF(AND($E106=1,$F106=0),"MISSING IN EXCHANGE",IF(AND($E106=0,$F106=1),"MISSING IN INTERNAL",IF($G106&lt;&gt;$H106,"SIDE BREAK",IF($I106&lt;&gt;$J106,"QTY BREAK",IF(ABS($K106-$L106)&gt;0.005,"PRICE BREAK",IF(ABS($M106-$N106)&gt;0.01,"FEE BREAK","MATCHED"))))))</f>
        <v/>
      </c>
      <c r="R106">
        <f>IF($Q106="MATCHED",0,1)</f>
        <v/>
      </c>
      <c r="S106">
        <f>IF($Q106="MATCHED",0,IF($Q106="MISSING IN EXCHANGE",$O106,IF($Q106="MISSING IN INTERNAL",$P106,ABS(N($O106)-N($P106)))))</f>
        <v/>
      </c>
    </row>
    <row r="107">
      <c r="A107" t="inlineStr">
        <is>
          <t>T100106</t>
        </is>
      </c>
      <c r="B107">
        <f>IFERROR(INDEX(InternalTrades!$D$2:$D$461,MATCH($A107,InternalTrades!$A$2:$A$461,0)),INDEX(ExchangeConfirms!$D$2:$D$460,MATCH($A107,ExchangeConfirms!$A$2:$A$460,0)))</f>
        <v/>
      </c>
      <c r="C107">
        <f>IFERROR(INDEX(InternalTrades!$E$2:$E$461,MATCH($A107,InternalTrades!$A$2:$A$461,0)),INDEX(ExchangeConfirms!$E$2:$E$460,MATCH($A107,ExchangeConfirms!$A$2:$A$460,0)))</f>
        <v/>
      </c>
      <c r="D107">
        <f>IFERROR(INDEX(InternalTrades!$K$2:$K$461,MATCH($A107,InternalTrades!$A$2:$A$461,0)),INDEX(ExchangeConfirms!$K$2:$K$460,MATCH($A107,ExchangeConfirms!$A$2:$A$460,0)))</f>
        <v/>
      </c>
      <c r="E107">
        <f>IF(COUNTIF(InternalTrades!$A$2:$A$461,$A107)&gt;0,1,0)</f>
        <v/>
      </c>
      <c r="F107">
        <f>IF(COUNTIF(ExchangeConfirms!$A$2:$A$460,$A107)&gt;0,1,0)</f>
        <v/>
      </c>
      <c r="G107">
        <f>IFERROR(INDEX(InternalTrades!$F$2:$F$461,MATCH($A107,InternalTrades!$A$2:$A$461,0)),"")</f>
        <v/>
      </c>
      <c r="H107">
        <f>IFERROR(INDEX(ExchangeConfirms!$F$2:$F$460,MATCH($A107,ExchangeConfirms!$A$2:$A$460,0)),"")</f>
        <v/>
      </c>
      <c r="I107">
        <f>IFERROR(INDEX(InternalTrades!$G$2:$G$461,MATCH($A107,InternalTrades!$A$2:$A$461,0)),"")</f>
        <v/>
      </c>
      <c r="J107">
        <f>IFERROR(INDEX(ExchangeConfirms!$G$2:$G$460,MATCH($A107,ExchangeConfirms!$A$2:$A$460,0)),"")</f>
        <v/>
      </c>
      <c r="K107">
        <f>IFERROR(INDEX(InternalTrades!$H$2:$H$461,MATCH($A107,InternalTrades!$A$2:$A$461,0)),"")</f>
        <v/>
      </c>
      <c r="L107">
        <f>IFERROR(INDEX(ExchangeConfirms!$H$2:$H$460,MATCH($A107,ExchangeConfirms!$A$2:$A$460,0)),"")</f>
        <v/>
      </c>
      <c r="M107">
        <f>IFERROR(INDEX(InternalTrades!$J$2:$J$461,MATCH($A107,InternalTrades!$A$2:$A$461,0)),"")</f>
        <v/>
      </c>
      <c r="N107">
        <f>IFERROR(INDEX(ExchangeConfirms!$J$2:$J$460,MATCH($A107,ExchangeConfirms!$A$2:$A$460,0)),"")</f>
        <v/>
      </c>
      <c r="O107">
        <f>IFERROR(INDEX(InternalTrades!$I$2:$I$461,MATCH($A107,InternalTrades!$A$2:$A$461,0)),"")</f>
        <v/>
      </c>
      <c r="P107">
        <f>IFERROR(INDEX(ExchangeConfirms!$I$2:$I$460,MATCH($A107,ExchangeConfirms!$A$2:$A$460,0)),"")</f>
        <v/>
      </c>
      <c r="Q107">
        <f>IF(AND($E107=1,$F107=0),"MISSING IN EXCHANGE",IF(AND($E107=0,$F107=1),"MISSING IN INTERNAL",IF($G107&lt;&gt;$H107,"SIDE BREAK",IF($I107&lt;&gt;$J107,"QTY BREAK",IF(ABS($K107-$L107)&gt;0.005,"PRICE BREAK",IF(ABS($M107-$N107)&gt;0.01,"FEE BREAK","MATCHED"))))))</f>
        <v/>
      </c>
      <c r="R107">
        <f>IF($Q107="MATCHED",0,1)</f>
        <v/>
      </c>
      <c r="S107">
        <f>IF($Q107="MATCHED",0,IF($Q107="MISSING IN EXCHANGE",$O107,IF($Q107="MISSING IN INTERNAL",$P107,ABS(N($O107)-N($P107)))))</f>
        <v/>
      </c>
    </row>
    <row r="108">
      <c r="A108" t="inlineStr">
        <is>
          <t>T100107</t>
        </is>
      </c>
      <c r="B108">
        <f>IFERROR(INDEX(InternalTrades!$D$2:$D$461,MATCH($A108,InternalTrades!$A$2:$A$461,0)),INDEX(ExchangeConfirms!$D$2:$D$460,MATCH($A108,ExchangeConfirms!$A$2:$A$460,0)))</f>
        <v/>
      </c>
      <c r="C108">
        <f>IFERROR(INDEX(InternalTrades!$E$2:$E$461,MATCH($A108,InternalTrades!$A$2:$A$461,0)),INDEX(ExchangeConfirms!$E$2:$E$460,MATCH($A108,ExchangeConfirms!$A$2:$A$460,0)))</f>
        <v/>
      </c>
      <c r="D108">
        <f>IFERROR(INDEX(InternalTrades!$K$2:$K$461,MATCH($A108,InternalTrades!$A$2:$A$461,0)),INDEX(ExchangeConfirms!$K$2:$K$460,MATCH($A108,ExchangeConfirms!$A$2:$A$460,0)))</f>
        <v/>
      </c>
      <c r="E108">
        <f>IF(COUNTIF(InternalTrades!$A$2:$A$461,$A108)&gt;0,1,0)</f>
        <v/>
      </c>
      <c r="F108">
        <f>IF(COUNTIF(ExchangeConfirms!$A$2:$A$460,$A108)&gt;0,1,0)</f>
        <v/>
      </c>
      <c r="G108">
        <f>IFERROR(INDEX(InternalTrades!$F$2:$F$461,MATCH($A108,InternalTrades!$A$2:$A$461,0)),"")</f>
        <v/>
      </c>
      <c r="H108">
        <f>IFERROR(INDEX(ExchangeConfirms!$F$2:$F$460,MATCH($A108,ExchangeConfirms!$A$2:$A$460,0)),"")</f>
        <v/>
      </c>
      <c r="I108">
        <f>IFERROR(INDEX(InternalTrades!$G$2:$G$461,MATCH($A108,InternalTrades!$A$2:$A$461,0)),"")</f>
        <v/>
      </c>
      <c r="J108">
        <f>IFERROR(INDEX(ExchangeConfirms!$G$2:$G$460,MATCH($A108,ExchangeConfirms!$A$2:$A$460,0)),"")</f>
        <v/>
      </c>
      <c r="K108">
        <f>IFERROR(INDEX(InternalTrades!$H$2:$H$461,MATCH($A108,InternalTrades!$A$2:$A$461,0)),"")</f>
        <v/>
      </c>
      <c r="L108">
        <f>IFERROR(INDEX(ExchangeConfirms!$H$2:$H$460,MATCH($A108,ExchangeConfirms!$A$2:$A$460,0)),"")</f>
        <v/>
      </c>
      <c r="M108">
        <f>IFERROR(INDEX(InternalTrades!$J$2:$J$461,MATCH($A108,InternalTrades!$A$2:$A$461,0)),"")</f>
        <v/>
      </c>
      <c r="N108">
        <f>IFERROR(INDEX(ExchangeConfirms!$J$2:$J$460,MATCH($A108,ExchangeConfirms!$A$2:$A$460,0)),"")</f>
        <v/>
      </c>
      <c r="O108">
        <f>IFERROR(INDEX(InternalTrades!$I$2:$I$461,MATCH($A108,InternalTrades!$A$2:$A$461,0)),"")</f>
        <v/>
      </c>
      <c r="P108">
        <f>IFERROR(INDEX(ExchangeConfirms!$I$2:$I$460,MATCH($A108,ExchangeConfirms!$A$2:$A$460,0)),"")</f>
        <v/>
      </c>
      <c r="Q108">
        <f>IF(AND($E108=1,$F108=0),"MISSING IN EXCHANGE",IF(AND($E108=0,$F108=1),"MISSING IN INTERNAL",IF($G108&lt;&gt;$H108,"SIDE BREAK",IF($I108&lt;&gt;$J108,"QTY BREAK",IF(ABS($K108-$L108)&gt;0.005,"PRICE BREAK",IF(ABS($M108-$N108)&gt;0.01,"FEE BREAK","MATCHED"))))))</f>
        <v/>
      </c>
      <c r="R108">
        <f>IF($Q108="MATCHED",0,1)</f>
        <v/>
      </c>
      <c r="S108">
        <f>IF($Q108="MATCHED",0,IF($Q108="MISSING IN EXCHANGE",$O108,IF($Q108="MISSING IN INTERNAL",$P108,ABS(N($O108)-N($P108)))))</f>
        <v/>
      </c>
    </row>
    <row r="109">
      <c r="A109" t="inlineStr">
        <is>
          <t>T100108</t>
        </is>
      </c>
      <c r="B109">
        <f>IFERROR(INDEX(InternalTrades!$D$2:$D$461,MATCH($A109,InternalTrades!$A$2:$A$461,0)),INDEX(ExchangeConfirms!$D$2:$D$460,MATCH($A109,ExchangeConfirms!$A$2:$A$460,0)))</f>
        <v/>
      </c>
      <c r="C109">
        <f>IFERROR(INDEX(InternalTrades!$E$2:$E$461,MATCH($A109,InternalTrades!$A$2:$A$461,0)),INDEX(ExchangeConfirms!$E$2:$E$460,MATCH($A109,ExchangeConfirms!$A$2:$A$460,0)))</f>
        <v/>
      </c>
      <c r="D109">
        <f>IFERROR(INDEX(InternalTrades!$K$2:$K$461,MATCH($A109,InternalTrades!$A$2:$A$461,0)),INDEX(ExchangeConfirms!$K$2:$K$460,MATCH($A109,ExchangeConfirms!$A$2:$A$460,0)))</f>
        <v/>
      </c>
      <c r="E109">
        <f>IF(COUNTIF(InternalTrades!$A$2:$A$461,$A109)&gt;0,1,0)</f>
        <v/>
      </c>
      <c r="F109">
        <f>IF(COUNTIF(ExchangeConfirms!$A$2:$A$460,$A109)&gt;0,1,0)</f>
        <v/>
      </c>
      <c r="G109">
        <f>IFERROR(INDEX(InternalTrades!$F$2:$F$461,MATCH($A109,InternalTrades!$A$2:$A$461,0)),"")</f>
        <v/>
      </c>
      <c r="H109">
        <f>IFERROR(INDEX(ExchangeConfirms!$F$2:$F$460,MATCH($A109,ExchangeConfirms!$A$2:$A$460,0)),"")</f>
        <v/>
      </c>
      <c r="I109">
        <f>IFERROR(INDEX(InternalTrades!$G$2:$G$461,MATCH($A109,InternalTrades!$A$2:$A$461,0)),"")</f>
        <v/>
      </c>
      <c r="J109">
        <f>IFERROR(INDEX(ExchangeConfirms!$G$2:$G$460,MATCH($A109,ExchangeConfirms!$A$2:$A$460,0)),"")</f>
        <v/>
      </c>
      <c r="K109">
        <f>IFERROR(INDEX(InternalTrades!$H$2:$H$461,MATCH($A109,InternalTrades!$A$2:$A$461,0)),"")</f>
        <v/>
      </c>
      <c r="L109">
        <f>IFERROR(INDEX(ExchangeConfirms!$H$2:$H$460,MATCH($A109,ExchangeConfirms!$A$2:$A$460,0)),"")</f>
        <v/>
      </c>
      <c r="M109">
        <f>IFERROR(INDEX(InternalTrades!$J$2:$J$461,MATCH($A109,InternalTrades!$A$2:$A$461,0)),"")</f>
        <v/>
      </c>
      <c r="N109">
        <f>IFERROR(INDEX(ExchangeConfirms!$J$2:$J$460,MATCH($A109,ExchangeConfirms!$A$2:$A$460,0)),"")</f>
        <v/>
      </c>
      <c r="O109">
        <f>IFERROR(INDEX(InternalTrades!$I$2:$I$461,MATCH($A109,InternalTrades!$A$2:$A$461,0)),"")</f>
        <v/>
      </c>
      <c r="P109">
        <f>IFERROR(INDEX(ExchangeConfirms!$I$2:$I$460,MATCH($A109,ExchangeConfirms!$A$2:$A$460,0)),"")</f>
        <v/>
      </c>
      <c r="Q109">
        <f>IF(AND($E109=1,$F109=0),"MISSING IN EXCHANGE",IF(AND($E109=0,$F109=1),"MISSING IN INTERNAL",IF($G109&lt;&gt;$H109,"SIDE BREAK",IF($I109&lt;&gt;$J109,"QTY BREAK",IF(ABS($K109-$L109)&gt;0.005,"PRICE BREAK",IF(ABS($M109-$N109)&gt;0.01,"FEE BREAK","MATCHED"))))))</f>
        <v/>
      </c>
      <c r="R109">
        <f>IF($Q109="MATCHED",0,1)</f>
        <v/>
      </c>
      <c r="S109">
        <f>IF($Q109="MATCHED",0,IF($Q109="MISSING IN EXCHANGE",$O109,IF($Q109="MISSING IN INTERNAL",$P109,ABS(N($O109)-N($P109)))))</f>
        <v/>
      </c>
    </row>
    <row r="110">
      <c r="A110" t="inlineStr">
        <is>
          <t>T100109</t>
        </is>
      </c>
      <c r="B110">
        <f>IFERROR(INDEX(InternalTrades!$D$2:$D$461,MATCH($A110,InternalTrades!$A$2:$A$461,0)),INDEX(ExchangeConfirms!$D$2:$D$460,MATCH($A110,ExchangeConfirms!$A$2:$A$460,0)))</f>
        <v/>
      </c>
      <c r="C110">
        <f>IFERROR(INDEX(InternalTrades!$E$2:$E$461,MATCH($A110,InternalTrades!$A$2:$A$461,0)),INDEX(ExchangeConfirms!$E$2:$E$460,MATCH($A110,ExchangeConfirms!$A$2:$A$460,0)))</f>
        <v/>
      </c>
      <c r="D110">
        <f>IFERROR(INDEX(InternalTrades!$K$2:$K$461,MATCH($A110,InternalTrades!$A$2:$A$461,0)),INDEX(ExchangeConfirms!$K$2:$K$460,MATCH($A110,ExchangeConfirms!$A$2:$A$460,0)))</f>
        <v/>
      </c>
      <c r="E110">
        <f>IF(COUNTIF(InternalTrades!$A$2:$A$461,$A110)&gt;0,1,0)</f>
        <v/>
      </c>
      <c r="F110">
        <f>IF(COUNTIF(ExchangeConfirms!$A$2:$A$460,$A110)&gt;0,1,0)</f>
        <v/>
      </c>
      <c r="G110">
        <f>IFERROR(INDEX(InternalTrades!$F$2:$F$461,MATCH($A110,InternalTrades!$A$2:$A$461,0)),"")</f>
        <v/>
      </c>
      <c r="H110">
        <f>IFERROR(INDEX(ExchangeConfirms!$F$2:$F$460,MATCH($A110,ExchangeConfirms!$A$2:$A$460,0)),"")</f>
        <v/>
      </c>
      <c r="I110">
        <f>IFERROR(INDEX(InternalTrades!$G$2:$G$461,MATCH($A110,InternalTrades!$A$2:$A$461,0)),"")</f>
        <v/>
      </c>
      <c r="J110">
        <f>IFERROR(INDEX(ExchangeConfirms!$G$2:$G$460,MATCH($A110,ExchangeConfirms!$A$2:$A$460,0)),"")</f>
        <v/>
      </c>
      <c r="K110">
        <f>IFERROR(INDEX(InternalTrades!$H$2:$H$461,MATCH($A110,InternalTrades!$A$2:$A$461,0)),"")</f>
        <v/>
      </c>
      <c r="L110">
        <f>IFERROR(INDEX(ExchangeConfirms!$H$2:$H$460,MATCH($A110,ExchangeConfirms!$A$2:$A$460,0)),"")</f>
        <v/>
      </c>
      <c r="M110">
        <f>IFERROR(INDEX(InternalTrades!$J$2:$J$461,MATCH($A110,InternalTrades!$A$2:$A$461,0)),"")</f>
        <v/>
      </c>
      <c r="N110">
        <f>IFERROR(INDEX(ExchangeConfirms!$J$2:$J$460,MATCH($A110,ExchangeConfirms!$A$2:$A$460,0)),"")</f>
        <v/>
      </c>
      <c r="O110">
        <f>IFERROR(INDEX(InternalTrades!$I$2:$I$461,MATCH($A110,InternalTrades!$A$2:$A$461,0)),"")</f>
        <v/>
      </c>
      <c r="P110">
        <f>IFERROR(INDEX(ExchangeConfirms!$I$2:$I$460,MATCH($A110,ExchangeConfirms!$A$2:$A$460,0)),"")</f>
        <v/>
      </c>
      <c r="Q110">
        <f>IF(AND($E110=1,$F110=0),"MISSING IN EXCHANGE",IF(AND($E110=0,$F110=1),"MISSING IN INTERNAL",IF($G110&lt;&gt;$H110,"SIDE BREAK",IF($I110&lt;&gt;$J110,"QTY BREAK",IF(ABS($K110-$L110)&gt;0.005,"PRICE BREAK",IF(ABS($M110-$N110)&gt;0.01,"FEE BREAK","MATCHED"))))))</f>
        <v/>
      </c>
      <c r="R110">
        <f>IF($Q110="MATCHED",0,1)</f>
        <v/>
      </c>
      <c r="S110">
        <f>IF($Q110="MATCHED",0,IF($Q110="MISSING IN EXCHANGE",$O110,IF($Q110="MISSING IN INTERNAL",$P110,ABS(N($O110)-N($P110)))))</f>
        <v/>
      </c>
    </row>
    <row r="111">
      <c r="A111" t="inlineStr">
        <is>
          <t>T100110</t>
        </is>
      </c>
      <c r="B111">
        <f>IFERROR(INDEX(InternalTrades!$D$2:$D$461,MATCH($A111,InternalTrades!$A$2:$A$461,0)),INDEX(ExchangeConfirms!$D$2:$D$460,MATCH($A111,ExchangeConfirms!$A$2:$A$460,0)))</f>
        <v/>
      </c>
      <c r="C111">
        <f>IFERROR(INDEX(InternalTrades!$E$2:$E$461,MATCH($A111,InternalTrades!$A$2:$A$461,0)),INDEX(ExchangeConfirms!$E$2:$E$460,MATCH($A111,ExchangeConfirms!$A$2:$A$460,0)))</f>
        <v/>
      </c>
      <c r="D111">
        <f>IFERROR(INDEX(InternalTrades!$K$2:$K$461,MATCH($A111,InternalTrades!$A$2:$A$461,0)),INDEX(ExchangeConfirms!$K$2:$K$460,MATCH($A111,ExchangeConfirms!$A$2:$A$460,0)))</f>
        <v/>
      </c>
      <c r="E111">
        <f>IF(COUNTIF(InternalTrades!$A$2:$A$461,$A111)&gt;0,1,0)</f>
        <v/>
      </c>
      <c r="F111">
        <f>IF(COUNTIF(ExchangeConfirms!$A$2:$A$460,$A111)&gt;0,1,0)</f>
        <v/>
      </c>
      <c r="G111">
        <f>IFERROR(INDEX(InternalTrades!$F$2:$F$461,MATCH($A111,InternalTrades!$A$2:$A$461,0)),"")</f>
        <v/>
      </c>
      <c r="H111">
        <f>IFERROR(INDEX(ExchangeConfirms!$F$2:$F$460,MATCH($A111,ExchangeConfirms!$A$2:$A$460,0)),"")</f>
        <v/>
      </c>
      <c r="I111">
        <f>IFERROR(INDEX(InternalTrades!$G$2:$G$461,MATCH($A111,InternalTrades!$A$2:$A$461,0)),"")</f>
        <v/>
      </c>
      <c r="J111">
        <f>IFERROR(INDEX(ExchangeConfirms!$G$2:$G$460,MATCH($A111,ExchangeConfirms!$A$2:$A$460,0)),"")</f>
        <v/>
      </c>
      <c r="K111">
        <f>IFERROR(INDEX(InternalTrades!$H$2:$H$461,MATCH($A111,InternalTrades!$A$2:$A$461,0)),"")</f>
        <v/>
      </c>
      <c r="L111">
        <f>IFERROR(INDEX(ExchangeConfirms!$H$2:$H$460,MATCH($A111,ExchangeConfirms!$A$2:$A$460,0)),"")</f>
        <v/>
      </c>
      <c r="M111">
        <f>IFERROR(INDEX(InternalTrades!$J$2:$J$461,MATCH($A111,InternalTrades!$A$2:$A$461,0)),"")</f>
        <v/>
      </c>
      <c r="N111">
        <f>IFERROR(INDEX(ExchangeConfirms!$J$2:$J$460,MATCH($A111,ExchangeConfirms!$A$2:$A$460,0)),"")</f>
        <v/>
      </c>
      <c r="O111">
        <f>IFERROR(INDEX(InternalTrades!$I$2:$I$461,MATCH($A111,InternalTrades!$A$2:$A$461,0)),"")</f>
        <v/>
      </c>
      <c r="P111">
        <f>IFERROR(INDEX(ExchangeConfirms!$I$2:$I$460,MATCH($A111,ExchangeConfirms!$A$2:$A$460,0)),"")</f>
        <v/>
      </c>
      <c r="Q111">
        <f>IF(AND($E111=1,$F111=0),"MISSING IN EXCHANGE",IF(AND($E111=0,$F111=1),"MISSING IN INTERNAL",IF($G111&lt;&gt;$H111,"SIDE BREAK",IF($I111&lt;&gt;$J111,"QTY BREAK",IF(ABS($K111-$L111)&gt;0.005,"PRICE BREAK",IF(ABS($M111-$N111)&gt;0.01,"FEE BREAK","MATCHED"))))))</f>
        <v/>
      </c>
      <c r="R111">
        <f>IF($Q111="MATCHED",0,1)</f>
        <v/>
      </c>
      <c r="S111">
        <f>IF($Q111="MATCHED",0,IF($Q111="MISSING IN EXCHANGE",$O111,IF($Q111="MISSING IN INTERNAL",$P111,ABS(N($O111)-N($P111)))))</f>
        <v/>
      </c>
    </row>
    <row r="112">
      <c r="A112" t="inlineStr">
        <is>
          <t>T100111</t>
        </is>
      </c>
      <c r="B112">
        <f>IFERROR(INDEX(InternalTrades!$D$2:$D$461,MATCH($A112,InternalTrades!$A$2:$A$461,0)),INDEX(ExchangeConfirms!$D$2:$D$460,MATCH($A112,ExchangeConfirms!$A$2:$A$460,0)))</f>
        <v/>
      </c>
      <c r="C112">
        <f>IFERROR(INDEX(InternalTrades!$E$2:$E$461,MATCH($A112,InternalTrades!$A$2:$A$461,0)),INDEX(ExchangeConfirms!$E$2:$E$460,MATCH($A112,ExchangeConfirms!$A$2:$A$460,0)))</f>
        <v/>
      </c>
      <c r="D112">
        <f>IFERROR(INDEX(InternalTrades!$K$2:$K$461,MATCH($A112,InternalTrades!$A$2:$A$461,0)),INDEX(ExchangeConfirms!$K$2:$K$460,MATCH($A112,ExchangeConfirms!$A$2:$A$460,0)))</f>
        <v/>
      </c>
      <c r="E112">
        <f>IF(COUNTIF(InternalTrades!$A$2:$A$461,$A112)&gt;0,1,0)</f>
        <v/>
      </c>
      <c r="F112">
        <f>IF(COUNTIF(ExchangeConfirms!$A$2:$A$460,$A112)&gt;0,1,0)</f>
        <v/>
      </c>
      <c r="G112">
        <f>IFERROR(INDEX(InternalTrades!$F$2:$F$461,MATCH($A112,InternalTrades!$A$2:$A$461,0)),"")</f>
        <v/>
      </c>
      <c r="H112">
        <f>IFERROR(INDEX(ExchangeConfirms!$F$2:$F$460,MATCH($A112,ExchangeConfirms!$A$2:$A$460,0)),"")</f>
        <v/>
      </c>
      <c r="I112">
        <f>IFERROR(INDEX(InternalTrades!$G$2:$G$461,MATCH($A112,InternalTrades!$A$2:$A$461,0)),"")</f>
        <v/>
      </c>
      <c r="J112">
        <f>IFERROR(INDEX(ExchangeConfirms!$G$2:$G$460,MATCH($A112,ExchangeConfirms!$A$2:$A$460,0)),"")</f>
        <v/>
      </c>
      <c r="K112">
        <f>IFERROR(INDEX(InternalTrades!$H$2:$H$461,MATCH($A112,InternalTrades!$A$2:$A$461,0)),"")</f>
        <v/>
      </c>
      <c r="L112">
        <f>IFERROR(INDEX(ExchangeConfirms!$H$2:$H$460,MATCH($A112,ExchangeConfirms!$A$2:$A$460,0)),"")</f>
        <v/>
      </c>
      <c r="M112">
        <f>IFERROR(INDEX(InternalTrades!$J$2:$J$461,MATCH($A112,InternalTrades!$A$2:$A$461,0)),"")</f>
        <v/>
      </c>
      <c r="N112">
        <f>IFERROR(INDEX(ExchangeConfirms!$J$2:$J$460,MATCH($A112,ExchangeConfirms!$A$2:$A$460,0)),"")</f>
        <v/>
      </c>
      <c r="O112">
        <f>IFERROR(INDEX(InternalTrades!$I$2:$I$461,MATCH($A112,InternalTrades!$A$2:$A$461,0)),"")</f>
        <v/>
      </c>
      <c r="P112">
        <f>IFERROR(INDEX(ExchangeConfirms!$I$2:$I$460,MATCH($A112,ExchangeConfirms!$A$2:$A$460,0)),"")</f>
        <v/>
      </c>
      <c r="Q112">
        <f>IF(AND($E112=1,$F112=0),"MISSING IN EXCHANGE",IF(AND($E112=0,$F112=1),"MISSING IN INTERNAL",IF($G112&lt;&gt;$H112,"SIDE BREAK",IF($I112&lt;&gt;$J112,"QTY BREAK",IF(ABS($K112-$L112)&gt;0.005,"PRICE BREAK",IF(ABS($M112-$N112)&gt;0.01,"FEE BREAK","MATCHED"))))))</f>
        <v/>
      </c>
      <c r="R112">
        <f>IF($Q112="MATCHED",0,1)</f>
        <v/>
      </c>
      <c r="S112">
        <f>IF($Q112="MATCHED",0,IF($Q112="MISSING IN EXCHANGE",$O112,IF($Q112="MISSING IN INTERNAL",$P112,ABS(N($O112)-N($P112)))))</f>
        <v/>
      </c>
    </row>
    <row r="113">
      <c r="A113" t="inlineStr">
        <is>
          <t>T100112</t>
        </is>
      </c>
      <c r="B113">
        <f>IFERROR(INDEX(InternalTrades!$D$2:$D$461,MATCH($A113,InternalTrades!$A$2:$A$461,0)),INDEX(ExchangeConfirms!$D$2:$D$460,MATCH($A113,ExchangeConfirms!$A$2:$A$460,0)))</f>
        <v/>
      </c>
      <c r="C113">
        <f>IFERROR(INDEX(InternalTrades!$E$2:$E$461,MATCH($A113,InternalTrades!$A$2:$A$461,0)),INDEX(ExchangeConfirms!$E$2:$E$460,MATCH($A113,ExchangeConfirms!$A$2:$A$460,0)))</f>
        <v/>
      </c>
      <c r="D113">
        <f>IFERROR(INDEX(InternalTrades!$K$2:$K$461,MATCH($A113,InternalTrades!$A$2:$A$461,0)),INDEX(ExchangeConfirms!$K$2:$K$460,MATCH($A113,ExchangeConfirms!$A$2:$A$460,0)))</f>
        <v/>
      </c>
      <c r="E113">
        <f>IF(COUNTIF(InternalTrades!$A$2:$A$461,$A113)&gt;0,1,0)</f>
        <v/>
      </c>
      <c r="F113">
        <f>IF(COUNTIF(ExchangeConfirms!$A$2:$A$460,$A113)&gt;0,1,0)</f>
        <v/>
      </c>
      <c r="G113">
        <f>IFERROR(INDEX(InternalTrades!$F$2:$F$461,MATCH($A113,InternalTrades!$A$2:$A$461,0)),"")</f>
        <v/>
      </c>
      <c r="H113">
        <f>IFERROR(INDEX(ExchangeConfirms!$F$2:$F$460,MATCH($A113,ExchangeConfirms!$A$2:$A$460,0)),"")</f>
        <v/>
      </c>
      <c r="I113">
        <f>IFERROR(INDEX(InternalTrades!$G$2:$G$461,MATCH($A113,InternalTrades!$A$2:$A$461,0)),"")</f>
        <v/>
      </c>
      <c r="J113">
        <f>IFERROR(INDEX(ExchangeConfirms!$G$2:$G$460,MATCH($A113,ExchangeConfirms!$A$2:$A$460,0)),"")</f>
        <v/>
      </c>
      <c r="K113">
        <f>IFERROR(INDEX(InternalTrades!$H$2:$H$461,MATCH($A113,InternalTrades!$A$2:$A$461,0)),"")</f>
        <v/>
      </c>
      <c r="L113">
        <f>IFERROR(INDEX(ExchangeConfirms!$H$2:$H$460,MATCH($A113,ExchangeConfirms!$A$2:$A$460,0)),"")</f>
        <v/>
      </c>
      <c r="M113">
        <f>IFERROR(INDEX(InternalTrades!$J$2:$J$461,MATCH($A113,InternalTrades!$A$2:$A$461,0)),"")</f>
        <v/>
      </c>
      <c r="N113">
        <f>IFERROR(INDEX(ExchangeConfirms!$J$2:$J$460,MATCH($A113,ExchangeConfirms!$A$2:$A$460,0)),"")</f>
        <v/>
      </c>
      <c r="O113">
        <f>IFERROR(INDEX(InternalTrades!$I$2:$I$461,MATCH($A113,InternalTrades!$A$2:$A$461,0)),"")</f>
        <v/>
      </c>
      <c r="P113">
        <f>IFERROR(INDEX(ExchangeConfirms!$I$2:$I$460,MATCH($A113,ExchangeConfirms!$A$2:$A$460,0)),"")</f>
        <v/>
      </c>
      <c r="Q113">
        <f>IF(AND($E113=1,$F113=0),"MISSING IN EXCHANGE",IF(AND($E113=0,$F113=1),"MISSING IN INTERNAL",IF($G113&lt;&gt;$H113,"SIDE BREAK",IF($I113&lt;&gt;$J113,"QTY BREAK",IF(ABS($K113-$L113)&gt;0.005,"PRICE BREAK",IF(ABS($M113-$N113)&gt;0.01,"FEE BREAK","MATCHED"))))))</f>
        <v/>
      </c>
      <c r="R113">
        <f>IF($Q113="MATCHED",0,1)</f>
        <v/>
      </c>
      <c r="S113">
        <f>IF($Q113="MATCHED",0,IF($Q113="MISSING IN EXCHANGE",$O113,IF($Q113="MISSING IN INTERNAL",$P113,ABS(N($O113)-N($P113)))))</f>
        <v/>
      </c>
    </row>
    <row r="114">
      <c r="A114" t="inlineStr">
        <is>
          <t>T100113</t>
        </is>
      </c>
      <c r="B114">
        <f>IFERROR(INDEX(InternalTrades!$D$2:$D$461,MATCH($A114,InternalTrades!$A$2:$A$461,0)),INDEX(ExchangeConfirms!$D$2:$D$460,MATCH($A114,ExchangeConfirms!$A$2:$A$460,0)))</f>
        <v/>
      </c>
      <c r="C114">
        <f>IFERROR(INDEX(InternalTrades!$E$2:$E$461,MATCH($A114,InternalTrades!$A$2:$A$461,0)),INDEX(ExchangeConfirms!$E$2:$E$460,MATCH($A114,ExchangeConfirms!$A$2:$A$460,0)))</f>
        <v/>
      </c>
      <c r="D114">
        <f>IFERROR(INDEX(InternalTrades!$K$2:$K$461,MATCH($A114,InternalTrades!$A$2:$A$461,0)),INDEX(ExchangeConfirms!$K$2:$K$460,MATCH($A114,ExchangeConfirms!$A$2:$A$460,0)))</f>
        <v/>
      </c>
      <c r="E114">
        <f>IF(COUNTIF(InternalTrades!$A$2:$A$461,$A114)&gt;0,1,0)</f>
        <v/>
      </c>
      <c r="F114">
        <f>IF(COUNTIF(ExchangeConfirms!$A$2:$A$460,$A114)&gt;0,1,0)</f>
        <v/>
      </c>
      <c r="G114">
        <f>IFERROR(INDEX(InternalTrades!$F$2:$F$461,MATCH($A114,InternalTrades!$A$2:$A$461,0)),"")</f>
        <v/>
      </c>
      <c r="H114">
        <f>IFERROR(INDEX(ExchangeConfirms!$F$2:$F$460,MATCH($A114,ExchangeConfirms!$A$2:$A$460,0)),"")</f>
        <v/>
      </c>
      <c r="I114">
        <f>IFERROR(INDEX(InternalTrades!$G$2:$G$461,MATCH($A114,InternalTrades!$A$2:$A$461,0)),"")</f>
        <v/>
      </c>
      <c r="J114">
        <f>IFERROR(INDEX(ExchangeConfirms!$G$2:$G$460,MATCH($A114,ExchangeConfirms!$A$2:$A$460,0)),"")</f>
        <v/>
      </c>
      <c r="K114">
        <f>IFERROR(INDEX(InternalTrades!$H$2:$H$461,MATCH($A114,InternalTrades!$A$2:$A$461,0)),"")</f>
        <v/>
      </c>
      <c r="L114">
        <f>IFERROR(INDEX(ExchangeConfirms!$H$2:$H$460,MATCH($A114,ExchangeConfirms!$A$2:$A$460,0)),"")</f>
        <v/>
      </c>
      <c r="M114">
        <f>IFERROR(INDEX(InternalTrades!$J$2:$J$461,MATCH($A114,InternalTrades!$A$2:$A$461,0)),"")</f>
        <v/>
      </c>
      <c r="N114">
        <f>IFERROR(INDEX(ExchangeConfirms!$J$2:$J$460,MATCH($A114,ExchangeConfirms!$A$2:$A$460,0)),"")</f>
        <v/>
      </c>
      <c r="O114">
        <f>IFERROR(INDEX(InternalTrades!$I$2:$I$461,MATCH($A114,InternalTrades!$A$2:$A$461,0)),"")</f>
        <v/>
      </c>
      <c r="P114">
        <f>IFERROR(INDEX(ExchangeConfirms!$I$2:$I$460,MATCH($A114,ExchangeConfirms!$A$2:$A$460,0)),"")</f>
        <v/>
      </c>
      <c r="Q114">
        <f>IF(AND($E114=1,$F114=0),"MISSING IN EXCHANGE",IF(AND($E114=0,$F114=1),"MISSING IN INTERNAL",IF($G114&lt;&gt;$H114,"SIDE BREAK",IF($I114&lt;&gt;$J114,"QTY BREAK",IF(ABS($K114-$L114)&gt;0.005,"PRICE BREAK",IF(ABS($M114-$N114)&gt;0.01,"FEE BREAK","MATCHED"))))))</f>
        <v/>
      </c>
      <c r="R114">
        <f>IF($Q114="MATCHED",0,1)</f>
        <v/>
      </c>
      <c r="S114">
        <f>IF($Q114="MATCHED",0,IF($Q114="MISSING IN EXCHANGE",$O114,IF($Q114="MISSING IN INTERNAL",$P114,ABS(N($O114)-N($P114)))))</f>
        <v/>
      </c>
    </row>
    <row r="115">
      <c r="A115" t="inlineStr">
        <is>
          <t>T100114</t>
        </is>
      </c>
      <c r="B115">
        <f>IFERROR(INDEX(InternalTrades!$D$2:$D$461,MATCH($A115,InternalTrades!$A$2:$A$461,0)),INDEX(ExchangeConfirms!$D$2:$D$460,MATCH($A115,ExchangeConfirms!$A$2:$A$460,0)))</f>
        <v/>
      </c>
      <c r="C115">
        <f>IFERROR(INDEX(InternalTrades!$E$2:$E$461,MATCH($A115,InternalTrades!$A$2:$A$461,0)),INDEX(ExchangeConfirms!$E$2:$E$460,MATCH($A115,ExchangeConfirms!$A$2:$A$460,0)))</f>
        <v/>
      </c>
      <c r="D115">
        <f>IFERROR(INDEX(InternalTrades!$K$2:$K$461,MATCH($A115,InternalTrades!$A$2:$A$461,0)),INDEX(ExchangeConfirms!$K$2:$K$460,MATCH($A115,ExchangeConfirms!$A$2:$A$460,0)))</f>
        <v/>
      </c>
      <c r="E115">
        <f>IF(COUNTIF(InternalTrades!$A$2:$A$461,$A115)&gt;0,1,0)</f>
        <v/>
      </c>
      <c r="F115">
        <f>IF(COUNTIF(ExchangeConfirms!$A$2:$A$460,$A115)&gt;0,1,0)</f>
        <v/>
      </c>
      <c r="G115">
        <f>IFERROR(INDEX(InternalTrades!$F$2:$F$461,MATCH($A115,InternalTrades!$A$2:$A$461,0)),"")</f>
        <v/>
      </c>
      <c r="H115">
        <f>IFERROR(INDEX(ExchangeConfirms!$F$2:$F$460,MATCH($A115,ExchangeConfirms!$A$2:$A$460,0)),"")</f>
        <v/>
      </c>
      <c r="I115">
        <f>IFERROR(INDEX(InternalTrades!$G$2:$G$461,MATCH($A115,InternalTrades!$A$2:$A$461,0)),"")</f>
        <v/>
      </c>
      <c r="J115">
        <f>IFERROR(INDEX(ExchangeConfirms!$G$2:$G$460,MATCH($A115,ExchangeConfirms!$A$2:$A$460,0)),"")</f>
        <v/>
      </c>
      <c r="K115">
        <f>IFERROR(INDEX(InternalTrades!$H$2:$H$461,MATCH($A115,InternalTrades!$A$2:$A$461,0)),"")</f>
        <v/>
      </c>
      <c r="L115">
        <f>IFERROR(INDEX(ExchangeConfirms!$H$2:$H$460,MATCH($A115,ExchangeConfirms!$A$2:$A$460,0)),"")</f>
        <v/>
      </c>
      <c r="M115">
        <f>IFERROR(INDEX(InternalTrades!$J$2:$J$461,MATCH($A115,InternalTrades!$A$2:$A$461,0)),"")</f>
        <v/>
      </c>
      <c r="N115">
        <f>IFERROR(INDEX(ExchangeConfirms!$J$2:$J$460,MATCH($A115,ExchangeConfirms!$A$2:$A$460,0)),"")</f>
        <v/>
      </c>
      <c r="O115">
        <f>IFERROR(INDEX(InternalTrades!$I$2:$I$461,MATCH($A115,InternalTrades!$A$2:$A$461,0)),"")</f>
        <v/>
      </c>
      <c r="P115">
        <f>IFERROR(INDEX(ExchangeConfirms!$I$2:$I$460,MATCH($A115,ExchangeConfirms!$A$2:$A$460,0)),"")</f>
        <v/>
      </c>
      <c r="Q115">
        <f>IF(AND($E115=1,$F115=0),"MISSING IN EXCHANGE",IF(AND($E115=0,$F115=1),"MISSING IN INTERNAL",IF($G115&lt;&gt;$H115,"SIDE BREAK",IF($I115&lt;&gt;$J115,"QTY BREAK",IF(ABS($K115-$L115)&gt;0.005,"PRICE BREAK",IF(ABS($M115-$N115)&gt;0.01,"FEE BREAK","MATCHED"))))))</f>
        <v/>
      </c>
      <c r="R115">
        <f>IF($Q115="MATCHED",0,1)</f>
        <v/>
      </c>
      <c r="S115">
        <f>IF($Q115="MATCHED",0,IF($Q115="MISSING IN EXCHANGE",$O115,IF($Q115="MISSING IN INTERNAL",$P115,ABS(N($O115)-N($P115)))))</f>
        <v/>
      </c>
    </row>
    <row r="116">
      <c r="A116" t="inlineStr">
        <is>
          <t>T100115</t>
        </is>
      </c>
      <c r="B116">
        <f>IFERROR(INDEX(InternalTrades!$D$2:$D$461,MATCH($A116,InternalTrades!$A$2:$A$461,0)),INDEX(ExchangeConfirms!$D$2:$D$460,MATCH($A116,ExchangeConfirms!$A$2:$A$460,0)))</f>
        <v/>
      </c>
      <c r="C116">
        <f>IFERROR(INDEX(InternalTrades!$E$2:$E$461,MATCH($A116,InternalTrades!$A$2:$A$461,0)),INDEX(ExchangeConfirms!$E$2:$E$460,MATCH($A116,ExchangeConfirms!$A$2:$A$460,0)))</f>
        <v/>
      </c>
      <c r="D116">
        <f>IFERROR(INDEX(InternalTrades!$K$2:$K$461,MATCH($A116,InternalTrades!$A$2:$A$461,0)),INDEX(ExchangeConfirms!$K$2:$K$460,MATCH($A116,ExchangeConfirms!$A$2:$A$460,0)))</f>
        <v/>
      </c>
      <c r="E116">
        <f>IF(COUNTIF(InternalTrades!$A$2:$A$461,$A116)&gt;0,1,0)</f>
        <v/>
      </c>
      <c r="F116">
        <f>IF(COUNTIF(ExchangeConfirms!$A$2:$A$460,$A116)&gt;0,1,0)</f>
        <v/>
      </c>
      <c r="G116">
        <f>IFERROR(INDEX(InternalTrades!$F$2:$F$461,MATCH($A116,InternalTrades!$A$2:$A$461,0)),"")</f>
        <v/>
      </c>
      <c r="H116">
        <f>IFERROR(INDEX(ExchangeConfirms!$F$2:$F$460,MATCH($A116,ExchangeConfirms!$A$2:$A$460,0)),"")</f>
        <v/>
      </c>
      <c r="I116">
        <f>IFERROR(INDEX(InternalTrades!$G$2:$G$461,MATCH($A116,InternalTrades!$A$2:$A$461,0)),"")</f>
        <v/>
      </c>
      <c r="J116">
        <f>IFERROR(INDEX(ExchangeConfirms!$G$2:$G$460,MATCH($A116,ExchangeConfirms!$A$2:$A$460,0)),"")</f>
        <v/>
      </c>
      <c r="K116">
        <f>IFERROR(INDEX(InternalTrades!$H$2:$H$461,MATCH($A116,InternalTrades!$A$2:$A$461,0)),"")</f>
        <v/>
      </c>
      <c r="L116">
        <f>IFERROR(INDEX(ExchangeConfirms!$H$2:$H$460,MATCH($A116,ExchangeConfirms!$A$2:$A$460,0)),"")</f>
        <v/>
      </c>
      <c r="M116">
        <f>IFERROR(INDEX(InternalTrades!$J$2:$J$461,MATCH($A116,InternalTrades!$A$2:$A$461,0)),"")</f>
        <v/>
      </c>
      <c r="N116">
        <f>IFERROR(INDEX(ExchangeConfirms!$J$2:$J$460,MATCH($A116,ExchangeConfirms!$A$2:$A$460,0)),"")</f>
        <v/>
      </c>
      <c r="O116">
        <f>IFERROR(INDEX(InternalTrades!$I$2:$I$461,MATCH($A116,InternalTrades!$A$2:$A$461,0)),"")</f>
        <v/>
      </c>
      <c r="P116">
        <f>IFERROR(INDEX(ExchangeConfirms!$I$2:$I$460,MATCH($A116,ExchangeConfirms!$A$2:$A$460,0)),"")</f>
        <v/>
      </c>
      <c r="Q116">
        <f>IF(AND($E116=1,$F116=0),"MISSING IN EXCHANGE",IF(AND($E116=0,$F116=1),"MISSING IN INTERNAL",IF($G116&lt;&gt;$H116,"SIDE BREAK",IF($I116&lt;&gt;$J116,"QTY BREAK",IF(ABS($K116-$L116)&gt;0.005,"PRICE BREAK",IF(ABS($M116-$N116)&gt;0.01,"FEE BREAK","MATCHED"))))))</f>
        <v/>
      </c>
      <c r="R116">
        <f>IF($Q116="MATCHED",0,1)</f>
        <v/>
      </c>
      <c r="S116">
        <f>IF($Q116="MATCHED",0,IF($Q116="MISSING IN EXCHANGE",$O116,IF($Q116="MISSING IN INTERNAL",$P116,ABS(N($O116)-N($P116)))))</f>
        <v/>
      </c>
    </row>
    <row r="117">
      <c r="A117" t="inlineStr">
        <is>
          <t>T100116</t>
        </is>
      </c>
      <c r="B117">
        <f>IFERROR(INDEX(InternalTrades!$D$2:$D$461,MATCH($A117,InternalTrades!$A$2:$A$461,0)),INDEX(ExchangeConfirms!$D$2:$D$460,MATCH($A117,ExchangeConfirms!$A$2:$A$460,0)))</f>
        <v/>
      </c>
      <c r="C117">
        <f>IFERROR(INDEX(InternalTrades!$E$2:$E$461,MATCH($A117,InternalTrades!$A$2:$A$461,0)),INDEX(ExchangeConfirms!$E$2:$E$460,MATCH($A117,ExchangeConfirms!$A$2:$A$460,0)))</f>
        <v/>
      </c>
      <c r="D117">
        <f>IFERROR(INDEX(InternalTrades!$K$2:$K$461,MATCH($A117,InternalTrades!$A$2:$A$461,0)),INDEX(ExchangeConfirms!$K$2:$K$460,MATCH($A117,ExchangeConfirms!$A$2:$A$460,0)))</f>
        <v/>
      </c>
      <c r="E117">
        <f>IF(COUNTIF(InternalTrades!$A$2:$A$461,$A117)&gt;0,1,0)</f>
        <v/>
      </c>
      <c r="F117">
        <f>IF(COUNTIF(ExchangeConfirms!$A$2:$A$460,$A117)&gt;0,1,0)</f>
        <v/>
      </c>
      <c r="G117">
        <f>IFERROR(INDEX(InternalTrades!$F$2:$F$461,MATCH($A117,InternalTrades!$A$2:$A$461,0)),"")</f>
        <v/>
      </c>
      <c r="H117">
        <f>IFERROR(INDEX(ExchangeConfirms!$F$2:$F$460,MATCH($A117,ExchangeConfirms!$A$2:$A$460,0)),"")</f>
        <v/>
      </c>
      <c r="I117">
        <f>IFERROR(INDEX(InternalTrades!$G$2:$G$461,MATCH($A117,InternalTrades!$A$2:$A$461,0)),"")</f>
        <v/>
      </c>
      <c r="J117">
        <f>IFERROR(INDEX(ExchangeConfirms!$G$2:$G$460,MATCH($A117,ExchangeConfirms!$A$2:$A$460,0)),"")</f>
        <v/>
      </c>
      <c r="K117">
        <f>IFERROR(INDEX(InternalTrades!$H$2:$H$461,MATCH($A117,InternalTrades!$A$2:$A$461,0)),"")</f>
        <v/>
      </c>
      <c r="L117">
        <f>IFERROR(INDEX(ExchangeConfirms!$H$2:$H$460,MATCH($A117,ExchangeConfirms!$A$2:$A$460,0)),"")</f>
        <v/>
      </c>
      <c r="M117">
        <f>IFERROR(INDEX(InternalTrades!$J$2:$J$461,MATCH($A117,InternalTrades!$A$2:$A$461,0)),"")</f>
        <v/>
      </c>
      <c r="N117">
        <f>IFERROR(INDEX(ExchangeConfirms!$J$2:$J$460,MATCH($A117,ExchangeConfirms!$A$2:$A$460,0)),"")</f>
        <v/>
      </c>
      <c r="O117">
        <f>IFERROR(INDEX(InternalTrades!$I$2:$I$461,MATCH($A117,InternalTrades!$A$2:$A$461,0)),"")</f>
        <v/>
      </c>
      <c r="P117">
        <f>IFERROR(INDEX(ExchangeConfirms!$I$2:$I$460,MATCH($A117,ExchangeConfirms!$A$2:$A$460,0)),"")</f>
        <v/>
      </c>
      <c r="Q117">
        <f>IF(AND($E117=1,$F117=0),"MISSING IN EXCHANGE",IF(AND($E117=0,$F117=1),"MISSING IN INTERNAL",IF($G117&lt;&gt;$H117,"SIDE BREAK",IF($I117&lt;&gt;$J117,"QTY BREAK",IF(ABS($K117-$L117)&gt;0.005,"PRICE BREAK",IF(ABS($M117-$N117)&gt;0.01,"FEE BREAK","MATCHED"))))))</f>
        <v/>
      </c>
      <c r="R117">
        <f>IF($Q117="MATCHED",0,1)</f>
        <v/>
      </c>
      <c r="S117">
        <f>IF($Q117="MATCHED",0,IF($Q117="MISSING IN EXCHANGE",$O117,IF($Q117="MISSING IN INTERNAL",$P117,ABS(N($O117)-N($P117)))))</f>
        <v/>
      </c>
    </row>
    <row r="118">
      <c r="A118" t="inlineStr">
        <is>
          <t>T100117</t>
        </is>
      </c>
      <c r="B118">
        <f>IFERROR(INDEX(InternalTrades!$D$2:$D$461,MATCH($A118,InternalTrades!$A$2:$A$461,0)),INDEX(ExchangeConfirms!$D$2:$D$460,MATCH($A118,ExchangeConfirms!$A$2:$A$460,0)))</f>
        <v/>
      </c>
      <c r="C118">
        <f>IFERROR(INDEX(InternalTrades!$E$2:$E$461,MATCH($A118,InternalTrades!$A$2:$A$461,0)),INDEX(ExchangeConfirms!$E$2:$E$460,MATCH($A118,ExchangeConfirms!$A$2:$A$460,0)))</f>
        <v/>
      </c>
      <c r="D118">
        <f>IFERROR(INDEX(InternalTrades!$K$2:$K$461,MATCH($A118,InternalTrades!$A$2:$A$461,0)),INDEX(ExchangeConfirms!$K$2:$K$460,MATCH($A118,ExchangeConfirms!$A$2:$A$460,0)))</f>
        <v/>
      </c>
      <c r="E118">
        <f>IF(COUNTIF(InternalTrades!$A$2:$A$461,$A118)&gt;0,1,0)</f>
        <v/>
      </c>
      <c r="F118">
        <f>IF(COUNTIF(ExchangeConfirms!$A$2:$A$460,$A118)&gt;0,1,0)</f>
        <v/>
      </c>
      <c r="G118">
        <f>IFERROR(INDEX(InternalTrades!$F$2:$F$461,MATCH($A118,InternalTrades!$A$2:$A$461,0)),"")</f>
        <v/>
      </c>
      <c r="H118">
        <f>IFERROR(INDEX(ExchangeConfirms!$F$2:$F$460,MATCH($A118,ExchangeConfirms!$A$2:$A$460,0)),"")</f>
        <v/>
      </c>
      <c r="I118">
        <f>IFERROR(INDEX(InternalTrades!$G$2:$G$461,MATCH($A118,InternalTrades!$A$2:$A$461,0)),"")</f>
        <v/>
      </c>
      <c r="J118">
        <f>IFERROR(INDEX(ExchangeConfirms!$G$2:$G$460,MATCH($A118,ExchangeConfirms!$A$2:$A$460,0)),"")</f>
        <v/>
      </c>
      <c r="K118">
        <f>IFERROR(INDEX(InternalTrades!$H$2:$H$461,MATCH($A118,InternalTrades!$A$2:$A$461,0)),"")</f>
        <v/>
      </c>
      <c r="L118">
        <f>IFERROR(INDEX(ExchangeConfirms!$H$2:$H$460,MATCH($A118,ExchangeConfirms!$A$2:$A$460,0)),"")</f>
        <v/>
      </c>
      <c r="M118">
        <f>IFERROR(INDEX(InternalTrades!$J$2:$J$461,MATCH($A118,InternalTrades!$A$2:$A$461,0)),"")</f>
        <v/>
      </c>
      <c r="N118">
        <f>IFERROR(INDEX(ExchangeConfirms!$J$2:$J$460,MATCH($A118,ExchangeConfirms!$A$2:$A$460,0)),"")</f>
        <v/>
      </c>
      <c r="O118">
        <f>IFERROR(INDEX(InternalTrades!$I$2:$I$461,MATCH($A118,InternalTrades!$A$2:$A$461,0)),"")</f>
        <v/>
      </c>
      <c r="P118">
        <f>IFERROR(INDEX(ExchangeConfirms!$I$2:$I$460,MATCH($A118,ExchangeConfirms!$A$2:$A$460,0)),"")</f>
        <v/>
      </c>
      <c r="Q118">
        <f>IF(AND($E118=1,$F118=0),"MISSING IN EXCHANGE",IF(AND($E118=0,$F118=1),"MISSING IN INTERNAL",IF($G118&lt;&gt;$H118,"SIDE BREAK",IF($I118&lt;&gt;$J118,"QTY BREAK",IF(ABS($K118-$L118)&gt;0.005,"PRICE BREAK",IF(ABS($M118-$N118)&gt;0.01,"FEE BREAK","MATCHED"))))))</f>
        <v/>
      </c>
      <c r="R118">
        <f>IF($Q118="MATCHED",0,1)</f>
        <v/>
      </c>
      <c r="S118">
        <f>IF($Q118="MATCHED",0,IF($Q118="MISSING IN EXCHANGE",$O118,IF($Q118="MISSING IN INTERNAL",$P118,ABS(N($O118)-N($P118)))))</f>
        <v/>
      </c>
    </row>
    <row r="119">
      <c r="A119" t="inlineStr">
        <is>
          <t>T100118</t>
        </is>
      </c>
      <c r="B119">
        <f>IFERROR(INDEX(InternalTrades!$D$2:$D$461,MATCH($A119,InternalTrades!$A$2:$A$461,0)),INDEX(ExchangeConfirms!$D$2:$D$460,MATCH($A119,ExchangeConfirms!$A$2:$A$460,0)))</f>
        <v/>
      </c>
      <c r="C119">
        <f>IFERROR(INDEX(InternalTrades!$E$2:$E$461,MATCH($A119,InternalTrades!$A$2:$A$461,0)),INDEX(ExchangeConfirms!$E$2:$E$460,MATCH($A119,ExchangeConfirms!$A$2:$A$460,0)))</f>
        <v/>
      </c>
      <c r="D119">
        <f>IFERROR(INDEX(InternalTrades!$K$2:$K$461,MATCH($A119,InternalTrades!$A$2:$A$461,0)),INDEX(ExchangeConfirms!$K$2:$K$460,MATCH($A119,ExchangeConfirms!$A$2:$A$460,0)))</f>
        <v/>
      </c>
      <c r="E119">
        <f>IF(COUNTIF(InternalTrades!$A$2:$A$461,$A119)&gt;0,1,0)</f>
        <v/>
      </c>
      <c r="F119">
        <f>IF(COUNTIF(ExchangeConfirms!$A$2:$A$460,$A119)&gt;0,1,0)</f>
        <v/>
      </c>
      <c r="G119">
        <f>IFERROR(INDEX(InternalTrades!$F$2:$F$461,MATCH($A119,InternalTrades!$A$2:$A$461,0)),"")</f>
        <v/>
      </c>
      <c r="H119">
        <f>IFERROR(INDEX(ExchangeConfirms!$F$2:$F$460,MATCH($A119,ExchangeConfirms!$A$2:$A$460,0)),"")</f>
        <v/>
      </c>
      <c r="I119">
        <f>IFERROR(INDEX(InternalTrades!$G$2:$G$461,MATCH($A119,InternalTrades!$A$2:$A$461,0)),"")</f>
        <v/>
      </c>
      <c r="J119">
        <f>IFERROR(INDEX(ExchangeConfirms!$G$2:$G$460,MATCH($A119,ExchangeConfirms!$A$2:$A$460,0)),"")</f>
        <v/>
      </c>
      <c r="K119">
        <f>IFERROR(INDEX(InternalTrades!$H$2:$H$461,MATCH($A119,InternalTrades!$A$2:$A$461,0)),"")</f>
        <v/>
      </c>
      <c r="L119">
        <f>IFERROR(INDEX(ExchangeConfirms!$H$2:$H$460,MATCH($A119,ExchangeConfirms!$A$2:$A$460,0)),"")</f>
        <v/>
      </c>
      <c r="M119">
        <f>IFERROR(INDEX(InternalTrades!$J$2:$J$461,MATCH($A119,InternalTrades!$A$2:$A$461,0)),"")</f>
        <v/>
      </c>
      <c r="N119">
        <f>IFERROR(INDEX(ExchangeConfirms!$J$2:$J$460,MATCH($A119,ExchangeConfirms!$A$2:$A$460,0)),"")</f>
        <v/>
      </c>
      <c r="O119">
        <f>IFERROR(INDEX(InternalTrades!$I$2:$I$461,MATCH($A119,InternalTrades!$A$2:$A$461,0)),"")</f>
        <v/>
      </c>
      <c r="P119">
        <f>IFERROR(INDEX(ExchangeConfirms!$I$2:$I$460,MATCH($A119,ExchangeConfirms!$A$2:$A$460,0)),"")</f>
        <v/>
      </c>
      <c r="Q119">
        <f>IF(AND($E119=1,$F119=0),"MISSING IN EXCHANGE",IF(AND($E119=0,$F119=1),"MISSING IN INTERNAL",IF($G119&lt;&gt;$H119,"SIDE BREAK",IF($I119&lt;&gt;$J119,"QTY BREAK",IF(ABS($K119-$L119)&gt;0.005,"PRICE BREAK",IF(ABS($M119-$N119)&gt;0.01,"FEE BREAK","MATCHED"))))))</f>
        <v/>
      </c>
      <c r="R119">
        <f>IF($Q119="MATCHED",0,1)</f>
        <v/>
      </c>
      <c r="S119">
        <f>IF($Q119="MATCHED",0,IF($Q119="MISSING IN EXCHANGE",$O119,IF($Q119="MISSING IN INTERNAL",$P119,ABS(N($O119)-N($P119)))))</f>
        <v/>
      </c>
    </row>
    <row r="120">
      <c r="A120" t="inlineStr">
        <is>
          <t>T100119</t>
        </is>
      </c>
      <c r="B120">
        <f>IFERROR(INDEX(InternalTrades!$D$2:$D$461,MATCH($A120,InternalTrades!$A$2:$A$461,0)),INDEX(ExchangeConfirms!$D$2:$D$460,MATCH($A120,ExchangeConfirms!$A$2:$A$460,0)))</f>
        <v/>
      </c>
      <c r="C120">
        <f>IFERROR(INDEX(InternalTrades!$E$2:$E$461,MATCH($A120,InternalTrades!$A$2:$A$461,0)),INDEX(ExchangeConfirms!$E$2:$E$460,MATCH($A120,ExchangeConfirms!$A$2:$A$460,0)))</f>
        <v/>
      </c>
      <c r="D120">
        <f>IFERROR(INDEX(InternalTrades!$K$2:$K$461,MATCH($A120,InternalTrades!$A$2:$A$461,0)),INDEX(ExchangeConfirms!$K$2:$K$460,MATCH($A120,ExchangeConfirms!$A$2:$A$460,0)))</f>
        <v/>
      </c>
      <c r="E120">
        <f>IF(COUNTIF(InternalTrades!$A$2:$A$461,$A120)&gt;0,1,0)</f>
        <v/>
      </c>
      <c r="F120">
        <f>IF(COUNTIF(ExchangeConfirms!$A$2:$A$460,$A120)&gt;0,1,0)</f>
        <v/>
      </c>
      <c r="G120">
        <f>IFERROR(INDEX(InternalTrades!$F$2:$F$461,MATCH($A120,InternalTrades!$A$2:$A$461,0)),"")</f>
        <v/>
      </c>
      <c r="H120">
        <f>IFERROR(INDEX(ExchangeConfirms!$F$2:$F$460,MATCH($A120,ExchangeConfirms!$A$2:$A$460,0)),"")</f>
        <v/>
      </c>
      <c r="I120">
        <f>IFERROR(INDEX(InternalTrades!$G$2:$G$461,MATCH($A120,InternalTrades!$A$2:$A$461,0)),"")</f>
        <v/>
      </c>
      <c r="J120">
        <f>IFERROR(INDEX(ExchangeConfirms!$G$2:$G$460,MATCH($A120,ExchangeConfirms!$A$2:$A$460,0)),"")</f>
        <v/>
      </c>
      <c r="K120">
        <f>IFERROR(INDEX(InternalTrades!$H$2:$H$461,MATCH($A120,InternalTrades!$A$2:$A$461,0)),"")</f>
        <v/>
      </c>
      <c r="L120">
        <f>IFERROR(INDEX(ExchangeConfirms!$H$2:$H$460,MATCH($A120,ExchangeConfirms!$A$2:$A$460,0)),"")</f>
        <v/>
      </c>
      <c r="M120">
        <f>IFERROR(INDEX(InternalTrades!$J$2:$J$461,MATCH($A120,InternalTrades!$A$2:$A$461,0)),"")</f>
        <v/>
      </c>
      <c r="N120">
        <f>IFERROR(INDEX(ExchangeConfirms!$J$2:$J$460,MATCH($A120,ExchangeConfirms!$A$2:$A$460,0)),"")</f>
        <v/>
      </c>
      <c r="O120">
        <f>IFERROR(INDEX(InternalTrades!$I$2:$I$461,MATCH($A120,InternalTrades!$A$2:$A$461,0)),"")</f>
        <v/>
      </c>
      <c r="P120">
        <f>IFERROR(INDEX(ExchangeConfirms!$I$2:$I$460,MATCH($A120,ExchangeConfirms!$A$2:$A$460,0)),"")</f>
        <v/>
      </c>
      <c r="Q120">
        <f>IF(AND($E120=1,$F120=0),"MISSING IN EXCHANGE",IF(AND($E120=0,$F120=1),"MISSING IN INTERNAL",IF($G120&lt;&gt;$H120,"SIDE BREAK",IF($I120&lt;&gt;$J120,"QTY BREAK",IF(ABS($K120-$L120)&gt;0.005,"PRICE BREAK",IF(ABS($M120-$N120)&gt;0.01,"FEE BREAK","MATCHED"))))))</f>
        <v/>
      </c>
      <c r="R120">
        <f>IF($Q120="MATCHED",0,1)</f>
        <v/>
      </c>
      <c r="S120">
        <f>IF($Q120="MATCHED",0,IF($Q120="MISSING IN EXCHANGE",$O120,IF($Q120="MISSING IN INTERNAL",$P120,ABS(N($O120)-N($P120)))))</f>
        <v/>
      </c>
    </row>
    <row r="121">
      <c r="A121" t="inlineStr">
        <is>
          <t>T100120</t>
        </is>
      </c>
      <c r="B121">
        <f>IFERROR(INDEX(InternalTrades!$D$2:$D$461,MATCH($A121,InternalTrades!$A$2:$A$461,0)),INDEX(ExchangeConfirms!$D$2:$D$460,MATCH($A121,ExchangeConfirms!$A$2:$A$460,0)))</f>
        <v/>
      </c>
      <c r="C121">
        <f>IFERROR(INDEX(InternalTrades!$E$2:$E$461,MATCH($A121,InternalTrades!$A$2:$A$461,0)),INDEX(ExchangeConfirms!$E$2:$E$460,MATCH($A121,ExchangeConfirms!$A$2:$A$460,0)))</f>
        <v/>
      </c>
      <c r="D121">
        <f>IFERROR(INDEX(InternalTrades!$K$2:$K$461,MATCH($A121,InternalTrades!$A$2:$A$461,0)),INDEX(ExchangeConfirms!$K$2:$K$460,MATCH($A121,ExchangeConfirms!$A$2:$A$460,0)))</f>
        <v/>
      </c>
      <c r="E121">
        <f>IF(COUNTIF(InternalTrades!$A$2:$A$461,$A121)&gt;0,1,0)</f>
        <v/>
      </c>
      <c r="F121">
        <f>IF(COUNTIF(ExchangeConfirms!$A$2:$A$460,$A121)&gt;0,1,0)</f>
        <v/>
      </c>
      <c r="G121">
        <f>IFERROR(INDEX(InternalTrades!$F$2:$F$461,MATCH($A121,InternalTrades!$A$2:$A$461,0)),"")</f>
        <v/>
      </c>
      <c r="H121">
        <f>IFERROR(INDEX(ExchangeConfirms!$F$2:$F$460,MATCH($A121,ExchangeConfirms!$A$2:$A$460,0)),"")</f>
        <v/>
      </c>
      <c r="I121">
        <f>IFERROR(INDEX(InternalTrades!$G$2:$G$461,MATCH($A121,InternalTrades!$A$2:$A$461,0)),"")</f>
        <v/>
      </c>
      <c r="J121">
        <f>IFERROR(INDEX(ExchangeConfirms!$G$2:$G$460,MATCH($A121,ExchangeConfirms!$A$2:$A$460,0)),"")</f>
        <v/>
      </c>
      <c r="K121">
        <f>IFERROR(INDEX(InternalTrades!$H$2:$H$461,MATCH($A121,InternalTrades!$A$2:$A$461,0)),"")</f>
        <v/>
      </c>
      <c r="L121">
        <f>IFERROR(INDEX(ExchangeConfirms!$H$2:$H$460,MATCH($A121,ExchangeConfirms!$A$2:$A$460,0)),"")</f>
        <v/>
      </c>
      <c r="M121">
        <f>IFERROR(INDEX(InternalTrades!$J$2:$J$461,MATCH($A121,InternalTrades!$A$2:$A$461,0)),"")</f>
        <v/>
      </c>
      <c r="N121">
        <f>IFERROR(INDEX(ExchangeConfirms!$J$2:$J$460,MATCH($A121,ExchangeConfirms!$A$2:$A$460,0)),"")</f>
        <v/>
      </c>
      <c r="O121">
        <f>IFERROR(INDEX(InternalTrades!$I$2:$I$461,MATCH($A121,InternalTrades!$A$2:$A$461,0)),"")</f>
        <v/>
      </c>
      <c r="P121">
        <f>IFERROR(INDEX(ExchangeConfirms!$I$2:$I$460,MATCH($A121,ExchangeConfirms!$A$2:$A$460,0)),"")</f>
        <v/>
      </c>
      <c r="Q121">
        <f>IF(AND($E121=1,$F121=0),"MISSING IN EXCHANGE",IF(AND($E121=0,$F121=1),"MISSING IN INTERNAL",IF($G121&lt;&gt;$H121,"SIDE BREAK",IF($I121&lt;&gt;$J121,"QTY BREAK",IF(ABS($K121-$L121)&gt;0.005,"PRICE BREAK",IF(ABS($M121-$N121)&gt;0.01,"FEE BREAK","MATCHED"))))))</f>
        <v/>
      </c>
      <c r="R121">
        <f>IF($Q121="MATCHED",0,1)</f>
        <v/>
      </c>
      <c r="S121">
        <f>IF($Q121="MATCHED",0,IF($Q121="MISSING IN EXCHANGE",$O121,IF($Q121="MISSING IN INTERNAL",$P121,ABS(N($O121)-N($P121)))))</f>
        <v/>
      </c>
    </row>
    <row r="122">
      <c r="A122" t="inlineStr">
        <is>
          <t>T100121</t>
        </is>
      </c>
      <c r="B122">
        <f>IFERROR(INDEX(InternalTrades!$D$2:$D$461,MATCH($A122,InternalTrades!$A$2:$A$461,0)),INDEX(ExchangeConfirms!$D$2:$D$460,MATCH($A122,ExchangeConfirms!$A$2:$A$460,0)))</f>
        <v/>
      </c>
      <c r="C122">
        <f>IFERROR(INDEX(InternalTrades!$E$2:$E$461,MATCH($A122,InternalTrades!$A$2:$A$461,0)),INDEX(ExchangeConfirms!$E$2:$E$460,MATCH($A122,ExchangeConfirms!$A$2:$A$460,0)))</f>
        <v/>
      </c>
      <c r="D122">
        <f>IFERROR(INDEX(InternalTrades!$K$2:$K$461,MATCH($A122,InternalTrades!$A$2:$A$461,0)),INDEX(ExchangeConfirms!$K$2:$K$460,MATCH($A122,ExchangeConfirms!$A$2:$A$460,0)))</f>
        <v/>
      </c>
      <c r="E122">
        <f>IF(COUNTIF(InternalTrades!$A$2:$A$461,$A122)&gt;0,1,0)</f>
        <v/>
      </c>
      <c r="F122">
        <f>IF(COUNTIF(ExchangeConfirms!$A$2:$A$460,$A122)&gt;0,1,0)</f>
        <v/>
      </c>
      <c r="G122">
        <f>IFERROR(INDEX(InternalTrades!$F$2:$F$461,MATCH($A122,InternalTrades!$A$2:$A$461,0)),"")</f>
        <v/>
      </c>
      <c r="H122">
        <f>IFERROR(INDEX(ExchangeConfirms!$F$2:$F$460,MATCH($A122,ExchangeConfirms!$A$2:$A$460,0)),"")</f>
        <v/>
      </c>
      <c r="I122">
        <f>IFERROR(INDEX(InternalTrades!$G$2:$G$461,MATCH($A122,InternalTrades!$A$2:$A$461,0)),"")</f>
        <v/>
      </c>
      <c r="J122">
        <f>IFERROR(INDEX(ExchangeConfirms!$G$2:$G$460,MATCH($A122,ExchangeConfirms!$A$2:$A$460,0)),"")</f>
        <v/>
      </c>
      <c r="K122">
        <f>IFERROR(INDEX(InternalTrades!$H$2:$H$461,MATCH($A122,InternalTrades!$A$2:$A$461,0)),"")</f>
        <v/>
      </c>
      <c r="L122">
        <f>IFERROR(INDEX(ExchangeConfirms!$H$2:$H$460,MATCH($A122,ExchangeConfirms!$A$2:$A$460,0)),"")</f>
        <v/>
      </c>
      <c r="M122">
        <f>IFERROR(INDEX(InternalTrades!$J$2:$J$461,MATCH($A122,InternalTrades!$A$2:$A$461,0)),"")</f>
        <v/>
      </c>
      <c r="N122">
        <f>IFERROR(INDEX(ExchangeConfirms!$J$2:$J$460,MATCH($A122,ExchangeConfirms!$A$2:$A$460,0)),"")</f>
        <v/>
      </c>
      <c r="O122">
        <f>IFERROR(INDEX(InternalTrades!$I$2:$I$461,MATCH($A122,InternalTrades!$A$2:$A$461,0)),"")</f>
        <v/>
      </c>
      <c r="P122">
        <f>IFERROR(INDEX(ExchangeConfirms!$I$2:$I$460,MATCH($A122,ExchangeConfirms!$A$2:$A$460,0)),"")</f>
        <v/>
      </c>
      <c r="Q122">
        <f>IF(AND($E122=1,$F122=0),"MISSING IN EXCHANGE",IF(AND($E122=0,$F122=1),"MISSING IN INTERNAL",IF($G122&lt;&gt;$H122,"SIDE BREAK",IF($I122&lt;&gt;$J122,"QTY BREAK",IF(ABS($K122-$L122)&gt;0.005,"PRICE BREAK",IF(ABS($M122-$N122)&gt;0.01,"FEE BREAK","MATCHED"))))))</f>
        <v/>
      </c>
      <c r="R122">
        <f>IF($Q122="MATCHED",0,1)</f>
        <v/>
      </c>
      <c r="S122">
        <f>IF($Q122="MATCHED",0,IF($Q122="MISSING IN EXCHANGE",$O122,IF($Q122="MISSING IN INTERNAL",$P122,ABS(N($O122)-N($P122)))))</f>
        <v/>
      </c>
    </row>
    <row r="123">
      <c r="A123" t="inlineStr">
        <is>
          <t>T100122</t>
        </is>
      </c>
      <c r="B123">
        <f>IFERROR(INDEX(InternalTrades!$D$2:$D$461,MATCH($A123,InternalTrades!$A$2:$A$461,0)),INDEX(ExchangeConfirms!$D$2:$D$460,MATCH($A123,ExchangeConfirms!$A$2:$A$460,0)))</f>
        <v/>
      </c>
      <c r="C123">
        <f>IFERROR(INDEX(InternalTrades!$E$2:$E$461,MATCH($A123,InternalTrades!$A$2:$A$461,0)),INDEX(ExchangeConfirms!$E$2:$E$460,MATCH($A123,ExchangeConfirms!$A$2:$A$460,0)))</f>
        <v/>
      </c>
      <c r="D123">
        <f>IFERROR(INDEX(InternalTrades!$K$2:$K$461,MATCH($A123,InternalTrades!$A$2:$A$461,0)),INDEX(ExchangeConfirms!$K$2:$K$460,MATCH($A123,ExchangeConfirms!$A$2:$A$460,0)))</f>
        <v/>
      </c>
      <c r="E123">
        <f>IF(COUNTIF(InternalTrades!$A$2:$A$461,$A123)&gt;0,1,0)</f>
        <v/>
      </c>
      <c r="F123">
        <f>IF(COUNTIF(ExchangeConfirms!$A$2:$A$460,$A123)&gt;0,1,0)</f>
        <v/>
      </c>
      <c r="G123">
        <f>IFERROR(INDEX(InternalTrades!$F$2:$F$461,MATCH($A123,InternalTrades!$A$2:$A$461,0)),"")</f>
        <v/>
      </c>
      <c r="H123">
        <f>IFERROR(INDEX(ExchangeConfirms!$F$2:$F$460,MATCH($A123,ExchangeConfirms!$A$2:$A$460,0)),"")</f>
        <v/>
      </c>
      <c r="I123">
        <f>IFERROR(INDEX(InternalTrades!$G$2:$G$461,MATCH($A123,InternalTrades!$A$2:$A$461,0)),"")</f>
        <v/>
      </c>
      <c r="J123">
        <f>IFERROR(INDEX(ExchangeConfirms!$G$2:$G$460,MATCH($A123,ExchangeConfirms!$A$2:$A$460,0)),"")</f>
        <v/>
      </c>
      <c r="K123">
        <f>IFERROR(INDEX(InternalTrades!$H$2:$H$461,MATCH($A123,InternalTrades!$A$2:$A$461,0)),"")</f>
        <v/>
      </c>
      <c r="L123">
        <f>IFERROR(INDEX(ExchangeConfirms!$H$2:$H$460,MATCH($A123,ExchangeConfirms!$A$2:$A$460,0)),"")</f>
        <v/>
      </c>
      <c r="M123">
        <f>IFERROR(INDEX(InternalTrades!$J$2:$J$461,MATCH($A123,InternalTrades!$A$2:$A$461,0)),"")</f>
        <v/>
      </c>
      <c r="N123">
        <f>IFERROR(INDEX(ExchangeConfirms!$J$2:$J$460,MATCH($A123,ExchangeConfirms!$A$2:$A$460,0)),"")</f>
        <v/>
      </c>
      <c r="O123">
        <f>IFERROR(INDEX(InternalTrades!$I$2:$I$461,MATCH($A123,InternalTrades!$A$2:$A$461,0)),"")</f>
        <v/>
      </c>
      <c r="P123">
        <f>IFERROR(INDEX(ExchangeConfirms!$I$2:$I$460,MATCH($A123,ExchangeConfirms!$A$2:$A$460,0)),"")</f>
        <v/>
      </c>
      <c r="Q123">
        <f>IF(AND($E123=1,$F123=0),"MISSING IN EXCHANGE",IF(AND($E123=0,$F123=1),"MISSING IN INTERNAL",IF($G123&lt;&gt;$H123,"SIDE BREAK",IF($I123&lt;&gt;$J123,"QTY BREAK",IF(ABS($K123-$L123)&gt;0.005,"PRICE BREAK",IF(ABS($M123-$N123)&gt;0.01,"FEE BREAK","MATCHED"))))))</f>
        <v/>
      </c>
      <c r="R123">
        <f>IF($Q123="MATCHED",0,1)</f>
        <v/>
      </c>
      <c r="S123">
        <f>IF($Q123="MATCHED",0,IF($Q123="MISSING IN EXCHANGE",$O123,IF($Q123="MISSING IN INTERNAL",$P123,ABS(N($O123)-N($P123)))))</f>
        <v/>
      </c>
    </row>
    <row r="124">
      <c r="A124" t="inlineStr">
        <is>
          <t>T100123</t>
        </is>
      </c>
      <c r="B124">
        <f>IFERROR(INDEX(InternalTrades!$D$2:$D$461,MATCH($A124,InternalTrades!$A$2:$A$461,0)),INDEX(ExchangeConfirms!$D$2:$D$460,MATCH($A124,ExchangeConfirms!$A$2:$A$460,0)))</f>
        <v/>
      </c>
      <c r="C124">
        <f>IFERROR(INDEX(InternalTrades!$E$2:$E$461,MATCH($A124,InternalTrades!$A$2:$A$461,0)),INDEX(ExchangeConfirms!$E$2:$E$460,MATCH($A124,ExchangeConfirms!$A$2:$A$460,0)))</f>
        <v/>
      </c>
      <c r="D124">
        <f>IFERROR(INDEX(InternalTrades!$K$2:$K$461,MATCH($A124,InternalTrades!$A$2:$A$461,0)),INDEX(ExchangeConfirms!$K$2:$K$460,MATCH($A124,ExchangeConfirms!$A$2:$A$460,0)))</f>
        <v/>
      </c>
      <c r="E124">
        <f>IF(COUNTIF(InternalTrades!$A$2:$A$461,$A124)&gt;0,1,0)</f>
        <v/>
      </c>
      <c r="F124">
        <f>IF(COUNTIF(ExchangeConfirms!$A$2:$A$460,$A124)&gt;0,1,0)</f>
        <v/>
      </c>
      <c r="G124">
        <f>IFERROR(INDEX(InternalTrades!$F$2:$F$461,MATCH($A124,InternalTrades!$A$2:$A$461,0)),"")</f>
        <v/>
      </c>
      <c r="H124">
        <f>IFERROR(INDEX(ExchangeConfirms!$F$2:$F$460,MATCH($A124,ExchangeConfirms!$A$2:$A$460,0)),"")</f>
        <v/>
      </c>
      <c r="I124">
        <f>IFERROR(INDEX(InternalTrades!$G$2:$G$461,MATCH($A124,InternalTrades!$A$2:$A$461,0)),"")</f>
        <v/>
      </c>
      <c r="J124">
        <f>IFERROR(INDEX(ExchangeConfirms!$G$2:$G$460,MATCH($A124,ExchangeConfirms!$A$2:$A$460,0)),"")</f>
        <v/>
      </c>
      <c r="K124">
        <f>IFERROR(INDEX(InternalTrades!$H$2:$H$461,MATCH($A124,InternalTrades!$A$2:$A$461,0)),"")</f>
        <v/>
      </c>
      <c r="L124">
        <f>IFERROR(INDEX(ExchangeConfirms!$H$2:$H$460,MATCH($A124,ExchangeConfirms!$A$2:$A$460,0)),"")</f>
        <v/>
      </c>
      <c r="M124">
        <f>IFERROR(INDEX(InternalTrades!$J$2:$J$461,MATCH($A124,InternalTrades!$A$2:$A$461,0)),"")</f>
        <v/>
      </c>
      <c r="N124">
        <f>IFERROR(INDEX(ExchangeConfirms!$J$2:$J$460,MATCH($A124,ExchangeConfirms!$A$2:$A$460,0)),"")</f>
        <v/>
      </c>
      <c r="O124">
        <f>IFERROR(INDEX(InternalTrades!$I$2:$I$461,MATCH($A124,InternalTrades!$A$2:$A$461,0)),"")</f>
        <v/>
      </c>
      <c r="P124">
        <f>IFERROR(INDEX(ExchangeConfirms!$I$2:$I$460,MATCH($A124,ExchangeConfirms!$A$2:$A$460,0)),"")</f>
        <v/>
      </c>
      <c r="Q124">
        <f>IF(AND($E124=1,$F124=0),"MISSING IN EXCHANGE",IF(AND($E124=0,$F124=1),"MISSING IN INTERNAL",IF($G124&lt;&gt;$H124,"SIDE BREAK",IF($I124&lt;&gt;$J124,"QTY BREAK",IF(ABS($K124-$L124)&gt;0.005,"PRICE BREAK",IF(ABS($M124-$N124)&gt;0.01,"FEE BREAK","MATCHED"))))))</f>
        <v/>
      </c>
      <c r="R124">
        <f>IF($Q124="MATCHED",0,1)</f>
        <v/>
      </c>
      <c r="S124">
        <f>IF($Q124="MATCHED",0,IF($Q124="MISSING IN EXCHANGE",$O124,IF($Q124="MISSING IN INTERNAL",$P124,ABS(N($O124)-N($P124)))))</f>
        <v/>
      </c>
    </row>
    <row r="125">
      <c r="A125" t="inlineStr">
        <is>
          <t>T100124</t>
        </is>
      </c>
      <c r="B125">
        <f>IFERROR(INDEX(InternalTrades!$D$2:$D$461,MATCH($A125,InternalTrades!$A$2:$A$461,0)),INDEX(ExchangeConfirms!$D$2:$D$460,MATCH($A125,ExchangeConfirms!$A$2:$A$460,0)))</f>
        <v/>
      </c>
      <c r="C125">
        <f>IFERROR(INDEX(InternalTrades!$E$2:$E$461,MATCH($A125,InternalTrades!$A$2:$A$461,0)),INDEX(ExchangeConfirms!$E$2:$E$460,MATCH($A125,ExchangeConfirms!$A$2:$A$460,0)))</f>
        <v/>
      </c>
      <c r="D125">
        <f>IFERROR(INDEX(InternalTrades!$K$2:$K$461,MATCH($A125,InternalTrades!$A$2:$A$461,0)),INDEX(ExchangeConfirms!$K$2:$K$460,MATCH($A125,ExchangeConfirms!$A$2:$A$460,0)))</f>
        <v/>
      </c>
      <c r="E125">
        <f>IF(COUNTIF(InternalTrades!$A$2:$A$461,$A125)&gt;0,1,0)</f>
        <v/>
      </c>
      <c r="F125">
        <f>IF(COUNTIF(ExchangeConfirms!$A$2:$A$460,$A125)&gt;0,1,0)</f>
        <v/>
      </c>
      <c r="G125">
        <f>IFERROR(INDEX(InternalTrades!$F$2:$F$461,MATCH($A125,InternalTrades!$A$2:$A$461,0)),"")</f>
        <v/>
      </c>
      <c r="H125">
        <f>IFERROR(INDEX(ExchangeConfirms!$F$2:$F$460,MATCH($A125,ExchangeConfirms!$A$2:$A$460,0)),"")</f>
        <v/>
      </c>
      <c r="I125">
        <f>IFERROR(INDEX(InternalTrades!$G$2:$G$461,MATCH($A125,InternalTrades!$A$2:$A$461,0)),"")</f>
        <v/>
      </c>
      <c r="J125">
        <f>IFERROR(INDEX(ExchangeConfirms!$G$2:$G$460,MATCH($A125,ExchangeConfirms!$A$2:$A$460,0)),"")</f>
        <v/>
      </c>
      <c r="K125">
        <f>IFERROR(INDEX(InternalTrades!$H$2:$H$461,MATCH($A125,InternalTrades!$A$2:$A$461,0)),"")</f>
        <v/>
      </c>
      <c r="L125">
        <f>IFERROR(INDEX(ExchangeConfirms!$H$2:$H$460,MATCH($A125,ExchangeConfirms!$A$2:$A$460,0)),"")</f>
        <v/>
      </c>
      <c r="M125">
        <f>IFERROR(INDEX(InternalTrades!$J$2:$J$461,MATCH($A125,InternalTrades!$A$2:$A$461,0)),"")</f>
        <v/>
      </c>
      <c r="N125">
        <f>IFERROR(INDEX(ExchangeConfirms!$J$2:$J$460,MATCH($A125,ExchangeConfirms!$A$2:$A$460,0)),"")</f>
        <v/>
      </c>
      <c r="O125">
        <f>IFERROR(INDEX(InternalTrades!$I$2:$I$461,MATCH($A125,InternalTrades!$A$2:$A$461,0)),"")</f>
        <v/>
      </c>
      <c r="P125">
        <f>IFERROR(INDEX(ExchangeConfirms!$I$2:$I$460,MATCH($A125,ExchangeConfirms!$A$2:$A$460,0)),"")</f>
        <v/>
      </c>
      <c r="Q125">
        <f>IF(AND($E125=1,$F125=0),"MISSING IN EXCHANGE",IF(AND($E125=0,$F125=1),"MISSING IN INTERNAL",IF($G125&lt;&gt;$H125,"SIDE BREAK",IF($I125&lt;&gt;$J125,"QTY BREAK",IF(ABS($K125-$L125)&gt;0.005,"PRICE BREAK",IF(ABS($M125-$N125)&gt;0.01,"FEE BREAK","MATCHED"))))))</f>
        <v/>
      </c>
      <c r="R125">
        <f>IF($Q125="MATCHED",0,1)</f>
        <v/>
      </c>
      <c r="S125">
        <f>IF($Q125="MATCHED",0,IF($Q125="MISSING IN EXCHANGE",$O125,IF($Q125="MISSING IN INTERNAL",$P125,ABS(N($O125)-N($P125)))))</f>
        <v/>
      </c>
    </row>
    <row r="126">
      <c r="A126" t="inlineStr">
        <is>
          <t>T100125</t>
        </is>
      </c>
      <c r="B126">
        <f>IFERROR(INDEX(InternalTrades!$D$2:$D$461,MATCH($A126,InternalTrades!$A$2:$A$461,0)),INDEX(ExchangeConfirms!$D$2:$D$460,MATCH($A126,ExchangeConfirms!$A$2:$A$460,0)))</f>
        <v/>
      </c>
      <c r="C126">
        <f>IFERROR(INDEX(InternalTrades!$E$2:$E$461,MATCH($A126,InternalTrades!$A$2:$A$461,0)),INDEX(ExchangeConfirms!$E$2:$E$460,MATCH($A126,ExchangeConfirms!$A$2:$A$460,0)))</f>
        <v/>
      </c>
      <c r="D126">
        <f>IFERROR(INDEX(InternalTrades!$K$2:$K$461,MATCH($A126,InternalTrades!$A$2:$A$461,0)),INDEX(ExchangeConfirms!$K$2:$K$460,MATCH($A126,ExchangeConfirms!$A$2:$A$460,0)))</f>
        <v/>
      </c>
      <c r="E126">
        <f>IF(COUNTIF(InternalTrades!$A$2:$A$461,$A126)&gt;0,1,0)</f>
        <v/>
      </c>
      <c r="F126">
        <f>IF(COUNTIF(ExchangeConfirms!$A$2:$A$460,$A126)&gt;0,1,0)</f>
        <v/>
      </c>
      <c r="G126">
        <f>IFERROR(INDEX(InternalTrades!$F$2:$F$461,MATCH($A126,InternalTrades!$A$2:$A$461,0)),"")</f>
        <v/>
      </c>
      <c r="H126">
        <f>IFERROR(INDEX(ExchangeConfirms!$F$2:$F$460,MATCH($A126,ExchangeConfirms!$A$2:$A$460,0)),"")</f>
        <v/>
      </c>
      <c r="I126">
        <f>IFERROR(INDEX(InternalTrades!$G$2:$G$461,MATCH($A126,InternalTrades!$A$2:$A$461,0)),"")</f>
        <v/>
      </c>
      <c r="J126">
        <f>IFERROR(INDEX(ExchangeConfirms!$G$2:$G$460,MATCH($A126,ExchangeConfirms!$A$2:$A$460,0)),"")</f>
        <v/>
      </c>
      <c r="K126">
        <f>IFERROR(INDEX(InternalTrades!$H$2:$H$461,MATCH($A126,InternalTrades!$A$2:$A$461,0)),"")</f>
        <v/>
      </c>
      <c r="L126">
        <f>IFERROR(INDEX(ExchangeConfirms!$H$2:$H$460,MATCH($A126,ExchangeConfirms!$A$2:$A$460,0)),"")</f>
        <v/>
      </c>
      <c r="M126">
        <f>IFERROR(INDEX(InternalTrades!$J$2:$J$461,MATCH($A126,InternalTrades!$A$2:$A$461,0)),"")</f>
        <v/>
      </c>
      <c r="N126">
        <f>IFERROR(INDEX(ExchangeConfirms!$J$2:$J$460,MATCH($A126,ExchangeConfirms!$A$2:$A$460,0)),"")</f>
        <v/>
      </c>
      <c r="O126">
        <f>IFERROR(INDEX(InternalTrades!$I$2:$I$461,MATCH($A126,InternalTrades!$A$2:$A$461,0)),"")</f>
        <v/>
      </c>
      <c r="P126">
        <f>IFERROR(INDEX(ExchangeConfirms!$I$2:$I$460,MATCH($A126,ExchangeConfirms!$A$2:$A$460,0)),"")</f>
        <v/>
      </c>
      <c r="Q126">
        <f>IF(AND($E126=1,$F126=0),"MISSING IN EXCHANGE",IF(AND($E126=0,$F126=1),"MISSING IN INTERNAL",IF($G126&lt;&gt;$H126,"SIDE BREAK",IF($I126&lt;&gt;$J126,"QTY BREAK",IF(ABS($K126-$L126)&gt;0.005,"PRICE BREAK",IF(ABS($M126-$N126)&gt;0.01,"FEE BREAK","MATCHED"))))))</f>
        <v/>
      </c>
      <c r="R126">
        <f>IF($Q126="MATCHED",0,1)</f>
        <v/>
      </c>
      <c r="S126">
        <f>IF($Q126="MATCHED",0,IF($Q126="MISSING IN EXCHANGE",$O126,IF($Q126="MISSING IN INTERNAL",$P126,ABS(N($O126)-N($P126)))))</f>
        <v/>
      </c>
    </row>
    <row r="127">
      <c r="A127" t="inlineStr">
        <is>
          <t>T100126</t>
        </is>
      </c>
      <c r="B127">
        <f>IFERROR(INDEX(InternalTrades!$D$2:$D$461,MATCH($A127,InternalTrades!$A$2:$A$461,0)),INDEX(ExchangeConfirms!$D$2:$D$460,MATCH($A127,ExchangeConfirms!$A$2:$A$460,0)))</f>
        <v/>
      </c>
      <c r="C127">
        <f>IFERROR(INDEX(InternalTrades!$E$2:$E$461,MATCH($A127,InternalTrades!$A$2:$A$461,0)),INDEX(ExchangeConfirms!$E$2:$E$460,MATCH($A127,ExchangeConfirms!$A$2:$A$460,0)))</f>
        <v/>
      </c>
      <c r="D127">
        <f>IFERROR(INDEX(InternalTrades!$K$2:$K$461,MATCH($A127,InternalTrades!$A$2:$A$461,0)),INDEX(ExchangeConfirms!$K$2:$K$460,MATCH($A127,ExchangeConfirms!$A$2:$A$460,0)))</f>
        <v/>
      </c>
      <c r="E127">
        <f>IF(COUNTIF(InternalTrades!$A$2:$A$461,$A127)&gt;0,1,0)</f>
        <v/>
      </c>
      <c r="F127">
        <f>IF(COUNTIF(ExchangeConfirms!$A$2:$A$460,$A127)&gt;0,1,0)</f>
        <v/>
      </c>
      <c r="G127">
        <f>IFERROR(INDEX(InternalTrades!$F$2:$F$461,MATCH($A127,InternalTrades!$A$2:$A$461,0)),"")</f>
        <v/>
      </c>
      <c r="H127">
        <f>IFERROR(INDEX(ExchangeConfirms!$F$2:$F$460,MATCH($A127,ExchangeConfirms!$A$2:$A$460,0)),"")</f>
        <v/>
      </c>
      <c r="I127">
        <f>IFERROR(INDEX(InternalTrades!$G$2:$G$461,MATCH($A127,InternalTrades!$A$2:$A$461,0)),"")</f>
        <v/>
      </c>
      <c r="J127">
        <f>IFERROR(INDEX(ExchangeConfirms!$G$2:$G$460,MATCH($A127,ExchangeConfirms!$A$2:$A$460,0)),"")</f>
        <v/>
      </c>
      <c r="K127">
        <f>IFERROR(INDEX(InternalTrades!$H$2:$H$461,MATCH($A127,InternalTrades!$A$2:$A$461,0)),"")</f>
        <v/>
      </c>
      <c r="L127">
        <f>IFERROR(INDEX(ExchangeConfirms!$H$2:$H$460,MATCH($A127,ExchangeConfirms!$A$2:$A$460,0)),"")</f>
        <v/>
      </c>
      <c r="M127">
        <f>IFERROR(INDEX(InternalTrades!$J$2:$J$461,MATCH($A127,InternalTrades!$A$2:$A$461,0)),"")</f>
        <v/>
      </c>
      <c r="N127">
        <f>IFERROR(INDEX(ExchangeConfirms!$J$2:$J$460,MATCH($A127,ExchangeConfirms!$A$2:$A$460,0)),"")</f>
        <v/>
      </c>
      <c r="O127">
        <f>IFERROR(INDEX(InternalTrades!$I$2:$I$461,MATCH($A127,InternalTrades!$A$2:$A$461,0)),"")</f>
        <v/>
      </c>
      <c r="P127">
        <f>IFERROR(INDEX(ExchangeConfirms!$I$2:$I$460,MATCH($A127,ExchangeConfirms!$A$2:$A$460,0)),"")</f>
        <v/>
      </c>
      <c r="Q127">
        <f>IF(AND($E127=1,$F127=0),"MISSING IN EXCHANGE",IF(AND($E127=0,$F127=1),"MISSING IN INTERNAL",IF($G127&lt;&gt;$H127,"SIDE BREAK",IF($I127&lt;&gt;$J127,"QTY BREAK",IF(ABS($K127-$L127)&gt;0.005,"PRICE BREAK",IF(ABS($M127-$N127)&gt;0.01,"FEE BREAK","MATCHED"))))))</f>
        <v/>
      </c>
      <c r="R127">
        <f>IF($Q127="MATCHED",0,1)</f>
        <v/>
      </c>
      <c r="S127">
        <f>IF($Q127="MATCHED",0,IF($Q127="MISSING IN EXCHANGE",$O127,IF($Q127="MISSING IN INTERNAL",$P127,ABS(N($O127)-N($P127)))))</f>
        <v/>
      </c>
    </row>
    <row r="128">
      <c r="A128" t="inlineStr">
        <is>
          <t>T100127</t>
        </is>
      </c>
      <c r="B128">
        <f>IFERROR(INDEX(InternalTrades!$D$2:$D$461,MATCH($A128,InternalTrades!$A$2:$A$461,0)),INDEX(ExchangeConfirms!$D$2:$D$460,MATCH($A128,ExchangeConfirms!$A$2:$A$460,0)))</f>
        <v/>
      </c>
      <c r="C128">
        <f>IFERROR(INDEX(InternalTrades!$E$2:$E$461,MATCH($A128,InternalTrades!$A$2:$A$461,0)),INDEX(ExchangeConfirms!$E$2:$E$460,MATCH($A128,ExchangeConfirms!$A$2:$A$460,0)))</f>
        <v/>
      </c>
      <c r="D128">
        <f>IFERROR(INDEX(InternalTrades!$K$2:$K$461,MATCH($A128,InternalTrades!$A$2:$A$461,0)),INDEX(ExchangeConfirms!$K$2:$K$460,MATCH($A128,ExchangeConfirms!$A$2:$A$460,0)))</f>
        <v/>
      </c>
      <c r="E128">
        <f>IF(COUNTIF(InternalTrades!$A$2:$A$461,$A128)&gt;0,1,0)</f>
        <v/>
      </c>
      <c r="F128">
        <f>IF(COUNTIF(ExchangeConfirms!$A$2:$A$460,$A128)&gt;0,1,0)</f>
        <v/>
      </c>
      <c r="G128">
        <f>IFERROR(INDEX(InternalTrades!$F$2:$F$461,MATCH($A128,InternalTrades!$A$2:$A$461,0)),"")</f>
        <v/>
      </c>
      <c r="H128">
        <f>IFERROR(INDEX(ExchangeConfirms!$F$2:$F$460,MATCH($A128,ExchangeConfirms!$A$2:$A$460,0)),"")</f>
        <v/>
      </c>
      <c r="I128">
        <f>IFERROR(INDEX(InternalTrades!$G$2:$G$461,MATCH($A128,InternalTrades!$A$2:$A$461,0)),"")</f>
        <v/>
      </c>
      <c r="J128">
        <f>IFERROR(INDEX(ExchangeConfirms!$G$2:$G$460,MATCH($A128,ExchangeConfirms!$A$2:$A$460,0)),"")</f>
        <v/>
      </c>
      <c r="K128">
        <f>IFERROR(INDEX(InternalTrades!$H$2:$H$461,MATCH($A128,InternalTrades!$A$2:$A$461,0)),"")</f>
        <v/>
      </c>
      <c r="L128">
        <f>IFERROR(INDEX(ExchangeConfirms!$H$2:$H$460,MATCH($A128,ExchangeConfirms!$A$2:$A$460,0)),"")</f>
        <v/>
      </c>
      <c r="M128">
        <f>IFERROR(INDEX(InternalTrades!$J$2:$J$461,MATCH($A128,InternalTrades!$A$2:$A$461,0)),"")</f>
        <v/>
      </c>
      <c r="N128">
        <f>IFERROR(INDEX(ExchangeConfirms!$J$2:$J$460,MATCH($A128,ExchangeConfirms!$A$2:$A$460,0)),"")</f>
        <v/>
      </c>
      <c r="O128">
        <f>IFERROR(INDEX(InternalTrades!$I$2:$I$461,MATCH($A128,InternalTrades!$A$2:$A$461,0)),"")</f>
        <v/>
      </c>
      <c r="P128">
        <f>IFERROR(INDEX(ExchangeConfirms!$I$2:$I$460,MATCH($A128,ExchangeConfirms!$A$2:$A$460,0)),"")</f>
        <v/>
      </c>
      <c r="Q128">
        <f>IF(AND($E128=1,$F128=0),"MISSING IN EXCHANGE",IF(AND($E128=0,$F128=1),"MISSING IN INTERNAL",IF($G128&lt;&gt;$H128,"SIDE BREAK",IF($I128&lt;&gt;$J128,"QTY BREAK",IF(ABS($K128-$L128)&gt;0.005,"PRICE BREAK",IF(ABS($M128-$N128)&gt;0.01,"FEE BREAK","MATCHED"))))))</f>
        <v/>
      </c>
      <c r="R128">
        <f>IF($Q128="MATCHED",0,1)</f>
        <v/>
      </c>
      <c r="S128">
        <f>IF($Q128="MATCHED",0,IF($Q128="MISSING IN EXCHANGE",$O128,IF($Q128="MISSING IN INTERNAL",$P128,ABS(N($O128)-N($P128)))))</f>
        <v/>
      </c>
    </row>
    <row r="129">
      <c r="A129" t="inlineStr">
        <is>
          <t>T100128</t>
        </is>
      </c>
      <c r="B129">
        <f>IFERROR(INDEX(InternalTrades!$D$2:$D$461,MATCH($A129,InternalTrades!$A$2:$A$461,0)),INDEX(ExchangeConfirms!$D$2:$D$460,MATCH($A129,ExchangeConfirms!$A$2:$A$460,0)))</f>
        <v/>
      </c>
      <c r="C129">
        <f>IFERROR(INDEX(InternalTrades!$E$2:$E$461,MATCH($A129,InternalTrades!$A$2:$A$461,0)),INDEX(ExchangeConfirms!$E$2:$E$460,MATCH($A129,ExchangeConfirms!$A$2:$A$460,0)))</f>
        <v/>
      </c>
      <c r="D129">
        <f>IFERROR(INDEX(InternalTrades!$K$2:$K$461,MATCH($A129,InternalTrades!$A$2:$A$461,0)),INDEX(ExchangeConfirms!$K$2:$K$460,MATCH($A129,ExchangeConfirms!$A$2:$A$460,0)))</f>
        <v/>
      </c>
      <c r="E129">
        <f>IF(COUNTIF(InternalTrades!$A$2:$A$461,$A129)&gt;0,1,0)</f>
        <v/>
      </c>
      <c r="F129">
        <f>IF(COUNTIF(ExchangeConfirms!$A$2:$A$460,$A129)&gt;0,1,0)</f>
        <v/>
      </c>
      <c r="G129">
        <f>IFERROR(INDEX(InternalTrades!$F$2:$F$461,MATCH($A129,InternalTrades!$A$2:$A$461,0)),"")</f>
        <v/>
      </c>
      <c r="H129">
        <f>IFERROR(INDEX(ExchangeConfirms!$F$2:$F$460,MATCH($A129,ExchangeConfirms!$A$2:$A$460,0)),"")</f>
        <v/>
      </c>
      <c r="I129">
        <f>IFERROR(INDEX(InternalTrades!$G$2:$G$461,MATCH($A129,InternalTrades!$A$2:$A$461,0)),"")</f>
        <v/>
      </c>
      <c r="J129">
        <f>IFERROR(INDEX(ExchangeConfirms!$G$2:$G$460,MATCH($A129,ExchangeConfirms!$A$2:$A$460,0)),"")</f>
        <v/>
      </c>
      <c r="K129">
        <f>IFERROR(INDEX(InternalTrades!$H$2:$H$461,MATCH($A129,InternalTrades!$A$2:$A$461,0)),"")</f>
        <v/>
      </c>
      <c r="L129">
        <f>IFERROR(INDEX(ExchangeConfirms!$H$2:$H$460,MATCH($A129,ExchangeConfirms!$A$2:$A$460,0)),"")</f>
        <v/>
      </c>
      <c r="M129">
        <f>IFERROR(INDEX(InternalTrades!$J$2:$J$461,MATCH($A129,InternalTrades!$A$2:$A$461,0)),"")</f>
        <v/>
      </c>
      <c r="N129">
        <f>IFERROR(INDEX(ExchangeConfirms!$J$2:$J$460,MATCH($A129,ExchangeConfirms!$A$2:$A$460,0)),"")</f>
        <v/>
      </c>
      <c r="O129">
        <f>IFERROR(INDEX(InternalTrades!$I$2:$I$461,MATCH($A129,InternalTrades!$A$2:$A$461,0)),"")</f>
        <v/>
      </c>
      <c r="P129">
        <f>IFERROR(INDEX(ExchangeConfirms!$I$2:$I$460,MATCH($A129,ExchangeConfirms!$A$2:$A$460,0)),"")</f>
        <v/>
      </c>
      <c r="Q129">
        <f>IF(AND($E129=1,$F129=0),"MISSING IN EXCHANGE",IF(AND($E129=0,$F129=1),"MISSING IN INTERNAL",IF($G129&lt;&gt;$H129,"SIDE BREAK",IF($I129&lt;&gt;$J129,"QTY BREAK",IF(ABS($K129-$L129)&gt;0.005,"PRICE BREAK",IF(ABS($M129-$N129)&gt;0.01,"FEE BREAK","MATCHED"))))))</f>
        <v/>
      </c>
      <c r="R129">
        <f>IF($Q129="MATCHED",0,1)</f>
        <v/>
      </c>
      <c r="S129">
        <f>IF($Q129="MATCHED",0,IF($Q129="MISSING IN EXCHANGE",$O129,IF($Q129="MISSING IN INTERNAL",$P129,ABS(N($O129)-N($P129)))))</f>
        <v/>
      </c>
    </row>
    <row r="130">
      <c r="A130" t="inlineStr">
        <is>
          <t>T100129</t>
        </is>
      </c>
      <c r="B130">
        <f>IFERROR(INDEX(InternalTrades!$D$2:$D$461,MATCH($A130,InternalTrades!$A$2:$A$461,0)),INDEX(ExchangeConfirms!$D$2:$D$460,MATCH($A130,ExchangeConfirms!$A$2:$A$460,0)))</f>
        <v/>
      </c>
      <c r="C130">
        <f>IFERROR(INDEX(InternalTrades!$E$2:$E$461,MATCH($A130,InternalTrades!$A$2:$A$461,0)),INDEX(ExchangeConfirms!$E$2:$E$460,MATCH($A130,ExchangeConfirms!$A$2:$A$460,0)))</f>
        <v/>
      </c>
      <c r="D130">
        <f>IFERROR(INDEX(InternalTrades!$K$2:$K$461,MATCH($A130,InternalTrades!$A$2:$A$461,0)),INDEX(ExchangeConfirms!$K$2:$K$460,MATCH($A130,ExchangeConfirms!$A$2:$A$460,0)))</f>
        <v/>
      </c>
      <c r="E130">
        <f>IF(COUNTIF(InternalTrades!$A$2:$A$461,$A130)&gt;0,1,0)</f>
        <v/>
      </c>
      <c r="F130">
        <f>IF(COUNTIF(ExchangeConfirms!$A$2:$A$460,$A130)&gt;0,1,0)</f>
        <v/>
      </c>
      <c r="G130">
        <f>IFERROR(INDEX(InternalTrades!$F$2:$F$461,MATCH($A130,InternalTrades!$A$2:$A$461,0)),"")</f>
        <v/>
      </c>
      <c r="H130">
        <f>IFERROR(INDEX(ExchangeConfirms!$F$2:$F$460,MATCH($A130,ExchangeConfirms!$A$2:$A$460,0)),"")</f>
        <v/>
      </c>
      <c r="I130">
        <f>IFERROR(INDEX(InternalTrades!$G$2:$G$461,MATCH($A130,InternalTrades!$A$2:$A$461,0)),"")</f>
        <v/>
      </c>
      <c r="J130">
        <f>IFERROR(INDEX(ExchangeConfirms!$G$2:$G$460,MATCH($A130,ExchangeConfirms!$A$2:$A$460,0)),"")</f>
        <v/>
      </c>
      <c r="K130">
        <f>IFERROR(INDEX(InternalTrades!$H$2:$H$461,MATCH($A130,InternalTrades!$A$2:$A$461,0)),"")</f>
        <v/>
      </c>
      <c r="L130">
        <f>IFERROR(INDEX(ExchangeConfirms!$H$2:$H$460,MATCH($A130,ExchangeConfirms!$A$2:$A$460,0)),"")</f>
        <v/>
      </c>
      <c r="M130">
        <f>IFERROR(INDEX(InternalTrades!$J$2:$J$461,MATCH($A130,InternalTrades!$A$2:$A$461,0)),"")</f>
        <v/>
      </c>
      <c r="N130">
        <f>IFERROR(INDEX(ExchangeConfirms!$J$2:$J$460,MATCH($A130,ExchangeConfirms!$A$2:$A$460,0)),"")</f>
        <v/>
      </c>
      <c r="O130">
        <f>IFERROR(INDEX(InternalTrades!$I$2:$I$461,MATCH($A130,InternalTrades!$A$2:$A$461,0)),"")</f>
        <v/>
      </c>
      <c r="P130">
        <f>IFERROR(INDEX(ExchangeConfirms!$I$2:$I$460,MATCH($A130,ExchangeConfirms!$A$2:$A$460,0)),"")</f>
        <v/>
      </c>
      <c r="Q130">
        <f>IF(AND($E130=1,$F130=0),"MISSING IN EXCHANGE",IF(AND($E130=0,$F130=1),"MISSING IN INTERNAL",IF($G130&lt;&gt;$H130,"SIDE BREAK",IF($I130&lt;&gt;$J130,"QTY BREAK",IF(ABS($K130-$L130)&gt;0.005,"PRICE BREAK",IF(ABS($M130-$N130)&gt;0.01,"FEE BREAK","MATCHED"))))))</f>
        <v/>
      </c>
      <c r="R130">
        <f>IF($Q130="MATCHED",0,1)</f>
        <v/>
      </c>
      <c r="S130">
        <f>IF($Q130="MATCHED",0,IF($Q130="MISSING IN EXCHANGE",$O130,IF($Q130="MISSING IN INTERNAL",$P130,ABS(N($O130)-N($P130)))))</f>
        <v/>
      </c>
    </row>
    <row r="131">
      <c r="A131" t="inlineStr">
        <is>
          <t>T100130</t>
        </is>
      </c>
      <c r="B131">
        <f>IFERROR(INDEX(InternalTrades!$D$2:$D$461,MATCH($A131,InternalTrades!$A$2:$A$461,0)),INDEX(ExchangeConfirms!$D$2:$D$460,MATCH($A131,ExchangeConfirms!$A$2:$A$460,0)))</f>
        <v/>
      </c>
      <c r="C131">
        <f>IFERROR(INDEX(InternalTrades!$E$2:$E$461,MATCH($A131,InternalTrades!$A$2:$A$461,0)),INDEX(ExchangeConfirms!$E$2:$E$460,MATCH($A131,ExchangeConfirms!$A$2:$A$460,0)))</f>
        <v/>
      </c>
      <c r="D131">
        <f>IFERROR(INDEX(InternalTrades!$K$2:$K$461,MATCH($A131,InternalTrades!$A$2:$A$461,0)),INDEX(ExchangeConfirms!$K$2:$K$460,MATCH($A131,ExchangeConfirms!$A$2:$A$460,0)))</f>
        <v/>
      </c>
      <c r="E131">
        <f>IF(COUNTIF(InternalTrades!$A$2:$A$461,$A131)&gt;0,1,0)</f>
        <v/>
      </c>
      <c r="F131">
        <f>IF(COUNTIF(ExchangeConfirms!$A$2:$A$460,$A131)&gt;0,1,0)</f>
        <v/>
      </c>
      <c r="G131">
        <f>IFERROR(INDEX(InternalTrades!$F$2:$F$461,MATCH($A131,InternalTrades!$A$2:$A$461,0)),"")</f>
        <v/>
      </c>
      <c r="H131">
        <f>IFERROR(INDEX(ExchangeConfirms!$F$2:$F$460,MATCH($A131,ExchangeConfirms!$A$2:$A$460,0)),"")</f>
        <v/>
      </c>
      <c r="I131">
        <f>IFERROR(INDEX(InternalTrades!$G$2:$G$461,MATCH($A131,InternalTrades!$A$2:$A$461,0)),"")</f>
        <v/>
      </c>
      <c r="J131">
        <f>IFERROR(INDEX(ExchangeConfirms!$G$2:$G$460,MATCH($A131,ExchangeConfirms!$A$2:$A$460,0)),"")</f>
        <v/>
      </c>
      <c r="K131">
        <f>IFERROR(INDEX(InternalTrades!$H$2:$H$461,MATCH($A131,InternalTrades!$A$2:$A$461,0)),"")</f>
        <v/>
      </c>
      <c r="L131">
        <f>IFERROR(INDEX(ExchangeConfirms!$H$2:$H$460,MATCH($A131,ExchangeConfirms!$A$2:$A$460,0)),"")</f>
        <v/>
      </c>
      <c r="M131">
        <f>IFERROR(INDEX(InternalTrades!$J$2:$J$461,MATCH($A131,InternalTrades!$A$2:$A$461,0)),"")</f>
        <v/>
      </c>
      <c r="N131">
        <f>IFERROR(INDEX(ExchangeConfirms!$J$2:$J$460,MATCH($A131,ExchangeConfirms!$A$2:$A$460,0)),"")</f>
        <v/>
      </c>
      <c r="O131">
        <f>IFERROR(INDEX(InternalTrades!$I$2:$I$461,MATCH($A131,InternalTrades!$A$2:$A$461,0)),"")</f>
        <v/>
      </c>
      <c r="P131">
        <f>IFERROR(INDEX(ExchangeConfirms!$I$2:$I$460,MATCH($A131,ExchangeConfirms!$A$2:$A$460,0)),"")</f>
        <v/>
      </c>
      <c r="Q131">
        <f>IF(AND($E131=1,$F131=0),"MISSING IN EXCHANGE",IF(AND($E131=0,$F131=1),"MISSING IN INTERNAL",IF($G131&lt;&gt;$H131,"SIDE BREAK",IF($I131&lt;&gt;$J131,"QTY BREAK",IF(ABS($K131-$L131)&gt;0.005,"PRICE BREAK",IF(ABS($M131-$N131)&gt;0.01,"FEE BREAK","MATCHED"))))))</f>
        <v/>
      </c>
      <c r="R131">
        <f>IF($Q131="MATCHED",0,1)</f>
        <v/>
      </c>
      <c r="S131">
        <f>IF($Q131="MATCHED",0,IF($Q131="MISSING IN EXCHANGE",$O131,IF($Q131="MISSING IN INTERNAL",$P131,ABS(N($O131)-N($P131)))))</f>
        <v/>
      </c>
    </row>
    <row r="132">
      <c r="A132" t="inlineStr">
        <is>
          <t>T100131</t>
        </is>
      </c>
      <c r="B132">
        <f>IFERROR(INDEX(InternalTrades!$D$2:$D$461,MATCH($A132,InternalTrades!$A$2:$A$461,0)),INDEX(ExchangeConfirms!$D$2:$D$460,MATCH($A132,ExchangeConfirms!$A$2:$A$460,0)))</f>
        <v/>
      </c>
      <c r="C132">
        <f>IFERROR(INDEX(InternalTrades!$E$2:$E$461,MATCH($A132,InternalTrades!$A$2:$A$461,0)),INDEX(ExchangeConfirms!$E$2:$E$460,MATCH($A132,ExchangeConfirms!$A$2:$A$460,0)))</f>
        <v/>
      </c>
      <c r="D132">
        <f>IFERROR(INDEX(InternalTrades!$K$2:$K$461,MATCH($A132,InternalTrades!$A$2:$A$461,0)),INDEX(ExchangeConfirms!$K$2:$K$460,MATCH($A132,ExchangeConfirms!$A$2:$A$460,0)))</f>
        <v/>
      </c>
      <c r="E132">
        <f>IF(COUNTIF(InternalTrades!$A$2:$A$461,$A132)&gt;0,1,0)</f>
        <v/>
      </c>
      <c r="F132">
        <f>IF(COUNTIF(ExchangeConfirms!$A$2:$A$460,$A132)&gt;0,1,0)</f>
        <v/>
      </c>
      <c r="G132">
        <f>IFERROR(INDEX(InternalTrades!$F$2:$F$461,MATCH($A132,InternalTrades!$A$2:$A$461,0)),"")</f>
        <v/>
      </c>
      <c r="H132">
        <f>IFERROR(INDEX(ExchangeConfirms!$F$2:$F$460,MATCH($A132,ExchangeConfirms!$A$2:$A$460,0)),"")</f>
        <v/>
      </c>
      <c r="I132">
        <f>IFERROR(INDEX(InternalTrades!$G$2:$G$461,MATCH($A132,InternalTrades!$A$2:$A$461,0)),"")</f>
        <v/>
      </c>
      <c r="J132">
        <f>IFERROR(INDEX(ExchangeConfirms!$G$2:$G$460,MATCH($A132,ExchangeConfirms!$A$2:$A$460,0)),"")</f>
        <v/>
      </c>
      <c r="K132">
        <f>IFERROR(INDEX(InternalTrades!$H$2:$H$461,MATCH($A132,InternalTrades!$A$2:$A$461,0)),"")</f>
        <v/>
      </c>
      <c r="L132">
        <f>IFERROR(INDEX(ExchangeConfirms!$H$2:$H$460,MATCH($A132,ExchangeConfirms!$A$2:$A$460,0)),"")</f>
        <v/>
      </c>
      <c r="M132">
        <f>IFERROR(INDEX(InternalTrades!$J$2:$J$461,MATCH($A132,InternalTrades!$A$2:$A$461,0)),"")</f>
        <v/>
      </c>
      <c r="N132">
        <f>IFERROR(INDEX(ExchangeConfirms!$J$2:$J$460,MATCH($A132,ExchangeConfirms!$A$2:$A$460,0)),"")</f>
        <v/>
      </c>
      <c r="O132">
        <f>IFERROR(INDEX(InternalTrades!$I$2:$I$461,MATCH($A132,InternalTrades!$A$2:$A$461,0)),"")</f>
        <v/>
      </c>
      <c r="P132">
        <f>IFERROR(INDEX(ExchangeConfirms!$I$2:$I$460,MATCH($A132,ExchangeConfirms!$A$2:$A$460,0)),"")</f>
        <v/>
      </c>
      <c r="Q132">
        <f>IF(AND($E132=1,$F132=0),"MISSING IN EXCHANGE",IF(AND($E132=0,$F132=1),"MISSING IN INTERNAL",IF($G132&lt;&gt;$H132,"SIDE BREAK",IF($I132&lt;&gt;$J132,"QTY BREAK",IF(ABS($K132-$L132)&gt;0.005,"PRICE BREAK",IF(ABS($M132-$N132)&gt;0.01,"FEE BREAK","MATCHED"))))))</f>
        <v/>
      </c>
      <c r="R132">
        <f>IF($Q132="MATCHED",0,1)</f>
        <v/>
      </c>
      <c r="S132">
        <f>IF($Q132="MATCHED",0,IF($Q132="MISSING IN EXCHANGE",$O132,IF($Q132="MISSING IN INTERNAL",$P132,ABS(N($O132)-N($P132)))))</f>
        <v/>
      </c>
    </row>
    <row r="133">
      <c r="A133" t="inlineStr">
        <is>
          <t>T100132</t>
        </is>
      </c>
      <c r="B133">
        <f>IFERROR(INDEX(InternalTrades!$D$2:$D$461,MATCH($A133,InternalTrades!$A$2:$A$461,0)),INDEX(ExchangeConfirms!$D$2:$D$460,MATCH($A133,ExchangeConfirms!$A$2:$A$460,0)))</f>
        <v/>
      </c>
      <c r="C133">
        <f>IFERROR(INDEX(InternalTrades!$E$2:$E$461,MATCH($A133,InternalTrades!$A$2:$A$461,0)),INDEX(ExchangeConfirms!$E$2:$E$460,MATCH($A133,ExchangeConfirms!$A$2:$A$460,0)))</f>
        <v/>
      </c>
      <c r="D133">
        <f>IFERROR(INDEX(InternalTrades!$K$2:$K$461,MATCH($A133,InternalTrades!$A$2:$A$461,0)),INDEX(ExchangeConfirms!$K$2:$K$460,MATCH($A133,ExchangeConfirms!$A$2:$A$460,0)))</f>
        <v/>
      </c>
      <c r="E133">
        <f>IF(COUNTIF(InternalTrades!$A$2:$A$461,$A133)&gt;0,1,0)</f>
        <v/>
      </c>
      <c r="F133">
        <f>IF(COUNTIF(ExchangeConfirms!$A$2:$A$460,$A133)&gt;0,1,0)</f>
        <v/>
      </c>
      <c r="G133">
        <f>IFERROR(INDEX(InternalTrades!$F$2:$F$461,MATCH($A133,InternalTrades!$A$2:$A$461,0)),"")</f>
        <v/>
      </c>
      <c r="H133">
        <f>IFERROR(INDEX(ExchangeConfirms!$F$2:$F$460,MATCH($A133,ExchangeConfirms!$A$2:$A$460,0)),"")</f>
        <v/>
      </c>
      <c r="I133">
        <f>IFERROR(INDEX(InternalTrades!$G$2:$G$461,MATCH($A133,InternalTrades!$A$2:$A$461,0)),"")</f>
        <v/>
      </c>
      <c r="J133">
        <f>IFERROR(INDEX(ExchangeConfirms!$G$2:$G$460,MATCH($A133,ExchangeConfirms!$A$2:$A$460,0)),"")</f>
        <v/>
      </c>
      <c r="K133">
        <f>IFERROR(INDEX(InternalTrades!$H$2:$H$461,MATCH($A133,InternalTrades!$A$2:$A$461,0)),"")</f>
        <v/>
      </c>
      <c r="L133">
        <f>IFERROR(INDEX(ExchangeConfirms!$H$2:$H$460,MATCH($A133,ExchangeConfirms!$A$2:$A$460,0)),"")</f>
        <v/>
      </c>
      <c r="M133">
        <f>IFERROR(INDEX(InternalTrades!$J$2:$J$461,MATCH($A133,InternalTrades!$A$2:$A$461,0)),"")</f>
        <v/>
      </c>
      <c r="N133">
        <f>IFERROR(INDEX(ExchangeConfirms!$J$2:$J$460,MATCH($A133,ExchangeConfirms!$A$2:$A$460,0)),"")</f>
        <v/>
      </c>
      <c r="O133">
        <f>IFERROR(INDEX(InternalTrades!$I$2:$I$461,MATCH($A133,InternalTrades!$A$2:$A$461,0)),"")</f>
        <v/>
      </c>
      <c r="P133">
        <f>IFERROR(INDEX(ExchangeConfirms!$I$2:$I$460,MATCH($A133,ExchangeConfirms!$A$2:$A$460,0)),"")</f>
        <v/>
      </c>
      <c r="Q133">
        <f>IF(AND($E133=1,$F133=0),"MISSING IN EXCHANGE",IF(AND($E133=0,$F133=1),"MISSING IN INTERNAL",IF($G133&lt;&gt;$H133,"SIDE BREAK",IF($I133&lt;&gt;$J133,"QTY BREAK",IF(ABS($K133-$L133)&gt;0.005,"PRICE BREAK",IF(ABS($M133-$N133)&gt;0.01,"FEE BREAK","MATCHED"))))))</f>
        <v/>
      </c>
      <c r="R133">
        <f>IF($Q133="MATCHED",0,1)</f>
        <v/>
      </c>
      <c r="S133">
        <f>IF($Q133="MATCHED",0,IF($Q133="MISSING IN EXCHANGE",$O133,IF($Q133="MISSING IN INTERNAL",$P133,ABS(N($O133)-N($P133)))))</f>
        <v/>
      </c>
    </row>
    <row r="134">
      <c r="A134" t="inlineStr">
        <is>
          <t>T100133</t>
        </is>
      </c>
      <c r="B134">
        <f>IFERROR(INDEX(InternalTrades!$D$2:$D$461,MATCH($A134,InternalTrades!$A$2:$A$461,0)),INDEX(ExchangeConfirms!$D$2:$D$460,MATCH($A134,ExchangeConfirms!$A$2:$A$460,0)))</f>
        <v/>
      </c>
      <c r="C134">
        <f>IFERROR(INDEX(InternalTrades!$E$2:$E$461,MATCH($A134,InternalTrades!$A$2:$A$461,0)),INDEX(ExchangeConfirms!$E$2:$E$460,MATCH($A134,ExchangeConfirms!$A$2:$A$460,0)))</f>
        <v/>
      </c>
      <c r="D134">
        <f>IFERROR(INDEX(InternalTrades!$K$2:$K$461,MATCH($A134,InternalTrades!$A$2:$A$461,0)),INDEX(ExchangeConfirms!$K$2:$K$460,MATCH($A134,ExchangeConfirms!$A$2:$A$460,0)))</f>
        <v/>
      </c>
      <c r="E134">
        <f>IF(COUNTIF(InternalTrades!$A$2:$A$461,$A134)&gt;0,1,0)</f>
        <v/>
      </c>
      <c r="F134">
        <f>IF(COUNTIF(ExchangeConfirms!$A$2:$A$460,$A134)&gt;0,1,0)</f>
        <v/>
      </c>
      <c r="G134">
        <f>IFERROR(INDEX(InternalTrades!$F$2:$F$461,MATCH($A134,InternalTrades!$A$2:$A$461,0)),"")</f>
        <v/>
      </c>
      <c r="H134">
        <f>IFERROR(INDEX(ExchangeConfirms!$F$2:$F$460,MATCH($A134,ExchangeConfirms!$A$2:$A$460,0)),"")</f>
        <v/>
      </c>
      <c r="I134">
        <f>IFERROR(INDEX(InternalTrades!$G$2:$G$461,MATCH($A134,InternalTrades!$A$2:$A$461,0)),"")</f>
        <v/>
      </c>
      <c r="J134">
        <f>IFERROR(INDEX(ExchangeConfirms!$G$2:$G$460,MATCH($A134,ExchangeConfirms!$A$2:$A$460,0)),"")</f>
        <v/>
      </c>
      <c r="K134">
        <f>IFERROR(INDEX(InternalTrades!$H$2:$H$461,MATCH($A134,InternalTrades!$A$2:$A$461,0)),"")</f>
        <v/>
      </c>
      <c r="L134">
        <f>IFERROR(INDEX(ExchangeConfirms!$H$2:$H$460,MATCH($A134,ExchangeConfirms!$A$2:$A$460,0)),"")</f>
        <v/>
      </c>
      <c r="M134">
        <f>IFERROR(INDEX(InternalTrades!$J$2:$J$461,MATCH($A134,InternalTrades!$A$2:$A$461,0)),"")</f>
        <v/>
      </c>
      <c r="N134">
        <f>IFERROR(INDEX(ExchangeConfirms!$J$2:$J$460,MATCH($A134,ExchangeConfirms!$A$2:$A$460,0)),"")</f>
        <v/>
      </c>
      <c r="O134">
        <f>IFERROR(INDEX(InternalTrades!$I$2:$I$461,MATCH($A134,InternalTrades!$A$2:$A$461,0)),"")</f>
        <v/>
      </c>
      <c r="P134">
        <f>IFERROR(INDEX(ExchangeConfirms!$I$2:$I$460,MATCH($A134,ExchangeConfirms!$A$2:$A$460,0)),"")</f>
        <v/>
      </c>
      <c r="Q134">
        <f>IF(AND($E134=1,$F134=0),"MISSING IN EXCHANGE",IF(AND($E134=0,$F134=1),"MISSING IN INTERNAL",IF($G134&lt;&gt;$H134,"SIDE BREAK",IF($I134&lt;&gt;$J134,"QTY BREAK",IF(ABS($K134-$L134)&gt;0.005,"PRICE BREAK",IF(ABS($M134-$N134)&gt;0.01,"FEE BREAK","MATCHED"))))))</f>
        <v/>
      </c>
      <c r="R134">
        <f>IF($Q134="MATCHED",0,1)</f>
        <v/>
      </c>
      <c r="S134">
        <f>IF($Q134="MATCHED",0,IF($Q134="MISSING IN EXCHANGE",$O134,IF($Q134="MISSING IN INTERNAL",$P134,ABS(N($O134)-N($P134)))))</f>
        <v/>
      </c>
    </row>
    <row r="135">
      <c r="A135" t="inlineStr">
        <is>
          <t>T100134</t>
        </is>
      </c>
      <c r="B135">
        <f>IFERROR(INDEX(InternalTrades!$D$2:$D$461,MATCH($A135,InternalTrades!$A$2:$A$461,0)),INDEX(ExchangeConfirms!$D$2:$D$460,MATCH($A135,ExchangeConfirms!$A$2:$A$460,0)))</f>
        <v/>
      </c>
      <c r="C135">
        <f>IFERROR(INDEX(InternalTrades!$E$2:$E$461,MATCH($A135,InternalTrades!$A$2:$A$461,0)),INDEX(ExchangeConfirms!$E$2:$E$460,MATCH($A135,ExchangeConfirms!$A$2:$A$460,0)))</f>
        <v/>
      </c>
      <c r="D135">
        <f>IFERROR(INDEX(InternalTrades!$K$2:$K$461,MATCH($A135,InternalTrades!$A$2:$A$461,0)),INDEX(ExchangeConfirms!$K$2:$K$460,MATCH($A135,ExchangeConfirms!$A$2:$A$460,0)))</f>
        <v/>
      </c>
      <c r="E135">
        <f>IF(COUNTIF(InternalTrades!$A$2:$A$461,$A135)&gt;0,1,0)</f>
        <v/>
      </c>
      <c r="F135">
        <f>IF(COUNTIF(ExchangeConfirms!$A$2:$A$460,$A135)&gt;0,1,0)</f>
        <v/>
      </c>
      <c r="G135">
        <f>IFERROR(INDEX(InternalTrades!$F$2:$F$461,MATCH($A135,InternalTrades!$A$2:$A$461,0)),"")</f>
        <v/>
      </c>
      <c r="H135">
        <f>IFERROR(INDEX(ExchangeConfirms!$F$2:$F$460,MATCH($A135,ExchangeConfirms!$A$2:$A$460,0)),"")</f>
        <v/>
      </c>
      <c r="I135">
        <f>IFERROR(INDEX(InternalTrades!$G$2:$G$461,MATCH($A135,InternalTrades!$A$2:$A$461,0)),"")</f>
        <v/>
      </c>
      <c r="J135">
        <f>IFERROR(INDEX(ExchangeConfirms!$G$2:$G$460,MATCH($A135,ExchangeConfirms!$A$2:$A$460,0)),"")</f>
        <v/>
      </c>
      <c r="K135">
        <f>IFERROR(INDEX(InternalTrades!$H$2:$H$461,MATCH($A135,InternalTrades!$A$2:$A$461,0)),"")</f>
        <v/>
      </c>
      <c r="L135">
        <f>IFERROR(INDEX(ExchangeConfirms!$H$2:$H$460,MATCH($A135,ExchangeConfirms!$A$2:$A$460,0)),"")</f>
        <v/>
      </c>
      <c r="M135">
        <f>IFERROR(INDEX(InternalTrades!$J$2:$J$461,MATCH($A135,InternalTrades!$A$2:$A$461,0)),"")</f>
        <v/>
      </c>
      <c r="N135">
        <f>IFERROR(INDEX(ExchangeConfirms!$J$2:$J$460,MATCH($A135,ExchangeConfirms!$A$2:$A$460,0)),"")</f>
        <v/>
      </c>
      <c r="O135">
        <f>IFERROR(INDEX(InternalTrades!$I$2:$I$461,MATCH($A135,InternalTrades!$A$2:$A$461,0)),"")</f>
        <v/>
      </c>
      <c r="P135">
        <f>IFERROR(INDEX(ExchangeConfirms!$I$2:$I$460,MATCH($A135,ExchangeConfirms!$A$2:$A$460,0)),"")</f>
        <v/>
      </c>
      <c r="Q135">
        <f>IF(AND($E135=1,$F135=0),"MISSING IN EXCHANGE",IF(AND($E135=0,$F135=1),"MISSING IN INTERNAL",IF($G135&lt;&gt;$H135,"SIDE BREAK",IF($I135&lt;&gt;$J135,"QTY BREAK",IF(ABS($K135-$L135)&gt;0.005,"PRICE BREAK",IF(ABS($M135-$N135)&gt;0.01,"FEE BREAK","MATCHED"))))))</f>
        <v/>
      </c>
      <c r="R135">
        <f>IF($Q135="MATCHED",0,1)</f>
        <v/>
      </c>
      <c r="S135">
        <f>IF($Q135="MATCHED",0,IF($Q135="MISSING IN EXCHANGE",$O135,IF($Q135="MISSING IN INTERNAL",$P135,ABS(N($O135)-N($P135)))))</f>
        <v/>
      </c>
    </row>
    <row r="136">
      <c r="A136" t="inlineStr">
        <is>
          <t>T100135</t>
        </is>
      </c>
      <c r="B136">
        <f>IFERROR(INDEX(InternalTrades!$D$2:$D$461,MATCH($A136,InternalTrades!$A$2:$A$461,0)),INDEX(ExchangeConfirms!$D$2:$D$460,MATCH($A136,ExchangeConfirms!$A$2:$A$460,0)))</f>
        <v/>
      </c>
      <c r="C136">
        <f>IFERROR(INDEX(InternalTrades!$E$2:$E$461,MATCH($A136,InternalTrades!$A$2:$A$461,0)),INDEX(ExchangeConfirms!$E$2:$E$460,MATCH($A136,ExchangeConfirms!$A$2:$A$460,0)))</f>
        <v/>
      </c>
      <c r="D136">
        <f>IFERROR(INDEX(InternalTrades!$K$2:$K$461,MATCH($A136,InternalTrades!$A$2:$A$461,0)),INDEX(ExchangeConfirms!$K$2:$K$460,MATCH($A136,ExchangeConfirms!$A$2:$A$460,0)))</f>
        <v/>
      </c>
      <c r="E136">
        <f>IF(COUNTIF(InternalTrades!$A$2:$A$461,$A136)&gt;0,1,0)</f>
        <v/>
      </c>
      <c r="F136">
        <f>IF(COUNTIF(ExchangeConfirms!$A$2:$A$460,$A136)&gt;0,1,0)</f>
        <v/>
      </c>
      <c r="G136">
        <f>IFERROR(INDEX(InternalTrades!$F$2:$F$461,MATCH($A136,InternalTrades!$A$2:$A$461,0)),"")</f>
        <v/>
      </c>
      <c r="H136">
        <f>IFERROR(INDEX(ExchangeConfirms!$F$2:$F$460,MATCH($A136,ExchangeConfirms!$A$2:$A$460,0)),"")</f>
        <v/>
      </c>
      <c r="I136">
        <f>IFERROR(INDEX(InternalTrades!$G$2:$G$461,MATCH($A136,InternalTrades!$A$2:$A$461,0)),"")</f>
        <v/>
      </c>
      <c r="J136">
        <f>IFERROR(INDEX(ExchangeConfirms!$G$2:$G$460,MATCH($A136,ExchangeConfirms!$A$2:$A$460,0)),"")</f>
        <v/>
      </c>
      <c r="K136">
        <f>IFERROR(INDEX(InternalTrades!$H$2:$H$461,MATCH($A136,InternalTrades!$A$2:$A$461,0)),"")</f>
        <v/>
      </c>
      <c r="L136">
        <f>IFERROR(INDEX(ExchangeConfirms!$H$2:$H$460,MATCH($A136,ExchangeConfirms!$A$2:$A$460,0)),"")</f>
        <v/>
      </c>
      <c r="M136">
        <f>IFERROR(INDEX(InternalTrades!$J$2:$J$461,MATCH($A136,InternalTrades!$A$2:$A$461,0)),"")</f>
        <v/>
      </c>
      <c r="N136">
        <f>IFERROR(INDEX(ExchangeConfirms!$J$2:$J$460,MATCH($A136,ExchangeConfirms!$A$2:$A$460,0)),"")</f>
        <v/>
      </c>
      <c r="O136">
        <f>IFERROR(INDEX(InternalTrades!$I$2:$I$461,MATCH($A136,InternalTrades!$A$2:$A$461,0)),"")</f>
        <v/>
      </c>
      <c r="P136">
        <f>IFERROR(INDEX(ExchangeConfirms!$I$2:$I$460,MATCH($A136,ExchangeConfirms!$A$2:$A$460,0)),"")</f>
        <v/>
      </c>
      <c r="Q136">
        <f>IF(AND($E136=1,$F136=0),"MISSING IN EXCHANGE",IF(AND($E136=0,$F136=1),"MISSING IN INTERNAL",IF($G136&lt;&gt;$H136,"SIDE BREAK",IF($I136&lt;&gt;$J136,"QTY BREAK",IF(ABS($K136-$L136)&gt;0.005,"PRICE BREAK",IF(ABS($M136-$N136)&gt;0.01,"FEE BREAK","MATCHED"))))))</f>
        <v/>
      </c>
      <c r="R136">
        <f>IF($Q136="MATCHED",0,1)</f>
        <v/>
      </c>
      <c r="S136">
        <f>IF($Q136="MATCHED",0,IF($Q136="MISSING IN EXCHANGE",$O136,IF($Q136="MISSING IN INTERNAL",$P136,ABS(N($O136)-N($P136)))))</f>
        <v/>
      </c>
    </row>
    <row r="137">
      <c r="A137" t="inlineStr">
        <is>
          <t>T100136</t>
        </is>
      </c>
      <c r="B137">
        <f>IFERROR(INDEX(InternalTrades!$D$2:$D$461,MATCH($A137,InternalTrades!$A$2:$A$461,0)),INDEX(ExchangeConfirms!$D$2:$D$460,MATCH($A137,ExchangeConfirms!$A$2:$A$460,0)))</f>
        <v/>
      </c>
      <c r="C137">
        <f>IFERROR(INDEX(InternalTrades!$E$2:$E$461,MATCH($A137,InternalTrades!$A$2:$A$461,0)),INDEX(ExchangeConfirms!$E$2:$E$460,MATCH($A137,ExchangeConfirms!$A$2:$A$460,0)))</f>
        <v/>
      </c>
      <c r="D137">
        <f>IFERROR(INDEX(InternalTrades!$K$2:$K$461,MATCH($A137,InternalTrades!$A$2:$A$461,0)),INDEX(ExchangeConfirms!$K$2:$K$460,MATCH($A137,ExchangeConfirms!$A$2:$A$460,0)))</f>
        <v/>
      </c>
      <c r="E137">
        <f>IF(COUNTIF(InternalTrades!$A$2:$A$461,$A137)&gt;0,1,0)</f>
        <v/>
      </c>
      <c r="F137">
        <f>IF(COUNTIF(ExchangeConfirms!$A$2:$A$460,$A137)&gt;0,1,0)</f>
        <v/>
      </c>
      <c r="G137">
        <f>IFERROR(INDEX(InternalTrades!$F$2:$F$461,MATCH($A137,InternalTrades!$A$2:$A$461,0)),"")</f>
        <v/>
      </c>
      <c r="H137">
        <f>IFERROR(INDEX(ExchangeConfirms!$F$2:$F$460,MATCH($A137,ExchangeConfirms!$A$2:$A$460,0)),"")</f>
        <v/>
      </c>
      <c r="I137">
        <f>IFERROR(INDEX(InternalTrades!$G$2:$G$461,MATCH($A137,InternalTrades!$A$2:$A$461,0)),"")</f>
        <v/>
      </c>
      <c r="J137">
        <f>IFERROR(INDEX(ExchangeConfirms!$G$2:$G$460,MATCH($A137,ExchangeConfirms!$A$2:$A$460,0)),"")</f>
        <v/>
      </c>
      <c r="K137">
        <f>IFERROR(INDEX(InternalTrades!$H$2:$H$461,MATCH($A137,InternalTrades!$A$2:$A$461,0)),"")</f>
        <v/>
      </c>
      <c r="L137">
        <f>IFERROR(INDEX(ExchangeConfirms!$H$2:$H$460,MATCH($A137,ExchangeConfirms!$A$2:$A$460,0)),"")</f>
        <v/>
      </c>
      <c r="M137">
        <f>IFERROR(INDEX(InternalTrades!$J$2:$J$461,MATCH($A137,InternalTrades!$A$2:$A$461,0)),"")</f>
        <v/>
      </c>
      <c r="N137">
        <f>IFERROR(INDEX(ExchangeConfirms!$J$2:$J$460,MATCH($A137,ExchangeConfirms!$A$2:$A$460,0)),"")</f>
        <v/>
      </c>
      <c r="O137">
        <f>IFERROR(INDEX(InternalTrades!$I$2:$I$461,MATCH($A137,InternalTrades!$A$2:$A$461,0)),"")</f>
        <v/>
      </c>
      <c r="P137">
        <f>IFERROR(INDEX(ExchangeConfirms!$I$2:$I$460,MATCH($A137,ExchangeConfirms!$A$2:$A$460,0)),"")</f>
        <v/>
      </c>
      <c r="Q137">
        <f>IF(AND($E137=1,$F137=0),"MISSING IN EXCHANGE",IF(AND($E137=0,$F137=1),"MISSING IN INTERNAL",IF($G137&lt;&gt;$H137,"SIDE BREAK",IF($I137&lt;&gt;$J137,"QTY BREAK",IF(ABS($K137-$L137)&gt;0.005,"PRICE BREAK",IF(ABS($M137-$N137)&gt;0.01,"FEE BREAK","MATCHED"))))))</f>
        <v/>
      </c>
      <c r="R137">
        <f>IF($Q137="MATCHED",0,1)</f>
        <v/>
      </c>
      <c r="S137">
        <f>IF($Q137="MATCHED",0,IF($Q137="MISSING IN EXCHANGE",$O137,IF($Q137="MISSING IN INTERNAL",$P137,ABS(N($O137)-N($P137)))))</f>
        <v/>
      </c>
    </row>
    <row r="138">
      <c r="A138" t="inlineStr">
        <is>
          <t>T100137</t>
        </is>
      </c>
      <c r="B138">
        <f>IFERROR(INDEX(InternalTrades!$D$2:$D$461,MATCH($A138,InternalTrades!$A$2:$A$461,0)),INDEX(ExchangeConfirms!$D$2:$D$460,MATCH($A138,ExchangeConfirms!$A$2:$A$460,0)))</f>
        <v/>
      </c>
      <c r="C138">
        <f>IFERROR(INDEX(InternalTrades!$E$2:$E$461,MATCH($A138,InternalTrades!$A$2:$A$461,0)),INDEX(ExchangeConfirms!$E$2:$E$460,MATCH($A138,ExchangeConfirms!$A$2:$A$460,0)))</f>
        <v/>
      </c>
      <c r="D138">
        <f>IFERROR(INDEX(InternalTrades!$K$2:$K$461,MATCH($A138,InternalTrades!$A$2:$A$461,0)),INDEX(ExchangeConfirms!$K$2:$K$460,MATCH($A138,ExchangeConfirms!$A$2:$A$460,0)))</f>
        <v/>
      </c>
      <c r="E138">
        <f>IF(COUNTIF(InternalTrades!$A$2:$A$461,$A138)&gt;0,1,0)</f>
        <v/>
      </c>
      <c r="F138">
        <f>IF(COUNTIF(ExchangeConfirms!$A$2:$A$460,$A138)&gt;0,1,0)</f>
        <v/>
      </c>
      <c r="G138">
        <f>IFERROR(INDEX(InternalTrades!$F$2:$F$461,MATCH($A138,InternalTrades!$A$2:$A$461,0)),"")</f>
        <v/>
      </c>
      <c r="H138">
        <f>IFERROR(INDEX(ExchangeConfirms!$F$2:$F$460,MATCH($A138,ExchangeConfirms!$A$2:$A$460,0)),"")</f>
        <v/>
      </c>
      <c r="I138">
        <f>IFERROR(INDEX(InternalTrades!$G$2:$G$461,MATCH($A138,InternalTrades!$A$2:$A$461,0)),"")</f>
        <v/>
      </c>
      <c r="J138">
        <f>IFERROR(INDEX(ExchangeConfirms!$G$2:$G$460,MATCH($A138,ExchangeConfirms!$A$2:$A$460,0)),"")</f>
        <v/>
      </c>
      <c r="K138">
        <f>IFERROR(INDEX(InternalTrades!$H$2:$H$461,MATCH($A138,InternalTrades!$A$2:$A$461,0)),"")</f>
        <v/>
      </c>
      <c r="L138">
        <f>IFERROR(INDEX(ExchangeConfirms!$H$2:$H$460,MATCH($A138,ExchangeConfirms!$A$2:$A$460,0)),"")</f>
        <v/>
      </c>
      <c r="M138">
        <f>IFERROR(INDEX(InternalTrades!$J$2:$J$461,MATCH($A138,InternalTrades!$A$2:$A$461,0)),"")</f>
        <v/>
      </c>
      <c r="N138">
        <f>IFERROR(INDEX(ExchangeConfirms!$J$2:$J$460,MATCH($A138,ExchangeConfirms!$A$2:$A$460,0)),"")</f>
        <v/>
      </c>
      <c r="O138">
        <f>IFERROR(INDEX(InternalTrades!$I$2:$I$461,MATCH($A138,InternalTrades!$A$2:$A$461,0)),"")</f>
        <v/>
      </c>
      <c r="P138">
        <f>IFERROR(INDEX(ExchangeConfirms!$I$2:$I$460,MATCH($A138,ExchangeConfirms!$A$2:$A$460,0)),"")</f>
        <v/>
      </c>
      <c r="Q138">
        <f>IF(AND($E138=1,$F138=0),"MISSING IN EXCHANGE",IF(AND($E138=0,$F138=1),"MISSING IN INTERNAL",IF($G138&lt;&gt;$H138,"SIDE BREAK",IF($I138&lt;&gt;$J138,"QTY BREAK",IF(ABS($K138-$L138)&gt;0.005,"PRICE BREAK",IF(ABS($M138-$N138)&gt;0.01,"FEE BREAK","MATCHED"))))))</f>
        <v/>
      </c>
      <c r="R138">
        <f>IF($Q138="MATCHED",0,1)</f>
        <v/>
      </c>
      <c r="S138">
        <f>IF($Q138="MATCHED",0,IF($Q138="MISSING IN EXCHANGE",$O138,IF($Q138="MISSING IN INTERNAL",$P138,ABS(N($O138)-N($P138)))))</f>
        <v/>
      </c>
    </row>
    <row r="139">
      <c r="A139" t="inlineStr">
        <is>
          <t>T100138</t>
        </is>
      </c>
      <c r="B139">
        <f>IFERROR(INDEX(InternalTrades!$D$2:$D$461,MATCH($A139,InternalTrades!$A$2:$A$461,0)),INDEX(ExchangeConfirms!$D$2:$D$460,MATCH($A139,ExchangeConfirms!$A$2:$A$460,0)))</f>
        <v/>
      </c>
      <c r="C139">
        <f>IFERROR(INDEX(InternalTrades!$E$2:$E$461,MATCH($A139,InternalTrades!$A$2:$A$461,0)),INDEX(ExchangeConfirms!$E$2:$E$460,MATCH($A139,ExchangeConfirms!$A$2:$A$460,0)))</f>
        <v/>
      </c>
      <c r="D139">
        <f>IFERROR(INDEX(InternalTrades!$K$2:$K$461,MATCH($A139,InternalTrades!$A$2:$A$461,0)),INDEX(ExchangeConfirms!$K$2:$K$460,MATCH($A139,ExchangeConfirms!$A$2:$A$460,0)))</f>
        <v/>
      </c>
      <c r="E139">
        <f>IF(COUNTIF(InternalTrades!$A$2:$A$461,$A139)&gt;0,1,0)</f>
        <v/>
      </c>
      <c r="F139">
        <f>IF(COUNTIF(ExchangeConfirms!$A$2:$A$460,$A139)&gt;0,1,0)</f>
        <v/>
      </c>
      <c r="G139">
        <f>IFERROR(INDEX(InternalTrades!$F$2:$F$461,MATCH($A139,InternalTrades!$A$2:$A$461,0)),"")</f>
        <v/>
      </c>
      <c r="H139">
        <f>IFERROR(INDEX(ExchangeConfirms!$F$2:$F$460,MATCH($A139,ExchangeConfirms!$A$2:$A$460,0)),"")</f>
        <v/>
      </c>
      <c r="I139">
        <f>IFERROR(INDEX(InternalTrades!$G$2:$G$461,MATCH($A139,InternalTrades!$A$2:$A$461,0)),"")</f>
        <v/>
      </c>
      <c r="J139">
        <f>IFERROR(INDEX(ExchangeConfirms!$G$2:$G$460,MATCH($A139,ExchangeConfirms!$A$2:$A$460,0)),"")</f>
        <v/>
      </c>
      <c r="K139">
        <f>IFERROR(INDEX(InternalTrades!$H$2:$H$461,MATCH($A139,InternalTrades!$A$2:$A$461,0)),"")</f>
        <v/>
      </c>
      <c r="L139">
        <f>IFERROR(INDEX(ExchangeConfirms!$H$2:$H$460,MATCH($A139,ExchangeConfirms!$A$2:$A$460,0)),"")</f>
        <v/>
      </c>
      <c r="M139">
        <f>IFERROR(INDEX(InternalTrades!$J$2:$J$461,MATCH($A139,InternalTrades!$A$2:$A$461,0)),"")</f>
        <v/>
      </c>
      <c r="N139">
        <f>IFERROR(INDEX(ExchangeConfirms!$J$2:$J$460,MATCH($A139,ExchangeConfirms!$A$2:$A$460,0)),"")</f>
        <v/>
      </c>
      <c r="O139">
        <f>IFERROR(INDEX(InternalTrades!$I$2:$I$461,MATCH($A139,InternalTrades!$A$2:$A$461,0)),"")</f>
        <v/>
      </c>
      <c r="P139">
        <f>IFERROR(INDEX(ExchangeConfirms!$I$2:$I$460,MATCH($A139,ExchangeConfirms!$A$2:$A$460,0)),"")</f>
        <v/>
      </c>
      <c r="Q139">
        <f>IF(AND($E139=1,$F139=0),"MISSING IN EXCHANGE",IF(AND($E139=0,$F139=1),"MISSING IN INTERNAL",IF($G139&lt;&gt;$H139,"SIDE BREAK",IF($I139&lt;&gt;$J139,"QTY BREAK",IF(ABS($K139-$L139)&gt;0.005,"PRICE BREAK",IF(ABS($M139-$N139)&gt;0.01,"FEE BREAK","MATCHED"))))))</f>
        <v/>
      </c>
      <c r="R139">
        <f>IF($Q139="MATCHED",0,1)</f>
        <v/>
      </c>
      <c r="S139">
        <f>IF($Q139="MATCHED",0,IF($Q139="MISSING IN EXCHANGE",$O139,IF($Q139="MISSING IN INTERNAL",$P139,ABS(N($O139)-N($P139)))))</f>
        <v/>
      </c>
    </row>
    <row r="140">
      <c r="A140" t="inlineStr">
        <is>
          <t>T100139</t>
        </is>
      </c>
      <c r="B140">
        <f>IFERROR(INDEX(InternalTrades!$D$2:$D$461,MATCH($A140,InternalTrades!$A$2:$A$461,0)),INDEX(ExchangeConfirms!$D$2:$D$460,MATCH($A140,ExchangeConfirms!$A$2:$A$460,0)))</f>
        <v/>
      </c>
      <c r="C140">
        <f>IFERROR(INDEX(InternalTrades!$E$2:$E$461,MATCH($A140,InternalTrades!$A$2:$A$461,0)),INDEX(ExchangeConfirms!$E$2:$E$460,MATCH($A140,ExchangeConfirms!$A$2:$A$460,0)))</f>
        <v/>
      </c>
      <c r="D140">
        <f>IFERROR(INDEX(InternalTrades!$K$2:$K$461,MATCH($A140,InternalTrades!$A$2:$A$461,0)),INDEX(ExchangeConfirms!$K$2:$K$460,MATCH($A140,ExchangeConfirms!$A$2:$A$460,0)))</f>
        <v/>
      </c>
      <c r="E140">
        <f>IF(COUNTIF(InternalTrades!$A$2:$A$461,$A140)&gt;0,1,0)</f>
        <v/>
      </c>
      <c r="F140">
        <f>IF(COUNTIF(ExchangeConfirms!$A$2:$A$460,$A140)&gt;0,1,0)</f>
        <v/>
      </c>
      <c r="G140">
        <f>IFERROR(INDEX(InternalTrades!$F$2:$F$461,MATCH($A140,InternalTrades!$A$2:$A$461,0)),"")</f>
        <v/>
      </c>
      <c r="H140">
        <f>IFERROR(INDEX(ExchangeConfirms!$F$2:$F$460,MATCH($A140,ExchangeConfirms!$A$2:$A$460,0)),"")</f>
        <v/>
      </c>
      <c r="I140">
        <f>IFERROR(INDEX(InternalTrades!$G$2:$G$461,MATCH($A140,InternalTrades!$A$2:$A$461,0)),"")</f>
        <v/>
      </c>
      <c r="J140">
        <f>IFERROR(INDEX(ExchangeConfirms!$G$2:$G$460,MATCH($A140,ExchangeConfirms!$A$2:$A$460,0)),"")</f>
        <v/>
      </c>
      <c r="K140">
        <f>IFERROR(INDEX(InternalTrades!$H$2:$H$461,MATCH($A140,InternalTrades!$A$2:$A$461,0)),"")</f>
        <v/>
      </c>
      <c r="L140">
        <f>IFERROR(INDEX(ExchangeConfirms!$H$2:$H$460,MATCH($A140,ExchangeConfirms!$A$2:$A$460,0)),"")</f>
        <v/>
      </c>
      <c r="M140">
        <f>IFERROR(INDEX(InternalTrades!$J$2:$J$461,MATCH($A140,InternalTrades!$A$2:$A$461,0)),"")</f>
        <v/>
      </c>
      <c r="N140">
        <f>IFERROR(INDEX(ExchangeConfirms!$J$2:$J$460,MATCH($A140,ExchangeConfirms!$A$2:$A$460,0)),"")</f>
        <v/>
      </c>
      <c r="O140">
        <f>IFERROR(INDEX(InternalTrades!$I$2:$I$461,MATCH($A140,InternalTrades!$A$2:$A$461,0)),"")</f>
        <v/>
      </c>
      <c r="P140">
        <f>IFERROR(INDEX(ExchangeConfirms!$I$2:$I$460,MATCH($A140,ExchangeConfirms!$A$2:$A$460,0)),"")</f>
        <v/>
      </c>
      <c r="Q140">
        <f>IF(AND($E140=1,$F140=0),"MISSING IN EXCHANGE",IF(AND($E140=0,$F140=1),"MISSING IN INTERNAL",IF($G140&lt;&gt;$H140,"SIDE BREAK",IF($I140&lt;&gt;$J140,"QTY BREAK",IF(ABS($K140-$L140)&gt;0.005,"PRICE BREAK",IF(ABS($M140-$N140)&gt;0.01,"FEE BREAK","MATCHED"))))))</f>
        <v/>
      </c>
      <c r="R140">
        <f>IF($Q140="MATCHED",0,1)</f>
        <v/>
      </c>
      <c r="S140">
        <f>IF($Q140="MATCHED",0,IF($Q140="MISSING IN EXCHANGE",$O140,IF($Q140="MISSING IN INTERNAL",$P140,ABS(N($O140)-N($P140)))))</f>
        <v/>
      </c>
    </row>
    <row r="141">
      <c r="A141" t="inlineStr">
        <is>
          <t>T100140</t>
        </is>
      </c>
      <c r="B141">
        <f>IFERROR(INDEX(InternalTrades!$D$2:$D$461,MATCH($A141,InternalTrades!$A$2:$A$461,0)),INDEX(ExchangeConfirms!$D$2:$D$460,MATCH($A141,ExchangeConfirms!$A$2:$A$460,0)))</f>
        <v/>
      </c>
      <c r="C141">
        <f>IFERROR(INDEX(InternalTrades!$E$2:$E$461,MATCH($A141,InternalTrades!$A$2:$A$461,0)),INDEX(ExchangeConfirms!$E$2:$E$460,MATCH($A141,ExchangeConfirms!$A$2:$A$460,0)))</f>
        <v/>
      </c>
      <c r="D141">
        <f>IFERROR(INDEX(InternalTrades!$K$2:$K$461,MATCH($A141,InternalTrades!$A$2:$A$461,0)),INDEX(ExchangeConfirms!$K$2:$K$460,MATCH($A141,ExchangeConfirms!$A$2:$A$460,0)))</f>
        <v/>
      </c>
      <c r="E141">
        <f>IF(COUNTIF(InternalTrades!$A$2:$A$461,$A141)&gt;0,1,0)</f>
        <v/>
      </c>
      <c r="F141">
        <f>IF(COUNTIF(ExchangeConfirms!$A$2:$A$460,$A141)&gt;0,1,0)</f>
        <v/>
      </c>
      <c r="G141">
        <f>IFERROR(INDEX(InternalTrades!$F$2:$F$461,MATCH($A141,InternalTrades!$A$2:$A$461,0)),"")</f>
        <v/>
      </c>
      <c r="H141">
        <f>IFERROR(INDEX(ExchangeConfirms!$F$2:$F$460,MATCH($A141,ExchangeConfirms!$A$2:$A$460,0)),"")</f>
        <v/>
      </c>
      <c r="I141">
        <f>IFERROR(INDEX(InternalTrades!$G$2:$G$461,MATCH($A141,InternalTrades!$A$2:$A$461,0)),"")</f>
        <v/>
      </c>
      <c r="J141">
        <f>IFERROR(INDEX(ExchangeConfirms!$G$2:$G$460,MATCH($A141,ExchangeConfirms!$A$2:$A$460,0)),"")</f>
        <v/>
      </c>
      <c r="K141">
        <f>IFERROR(INDEX(InternalTrades!$H$2:$H$461,MATCH($A141,InternalTrades!$A$2:$A$461,0)),"")</f>
        <v/>
      </c>
      <c r="L141">
        <f>IFERROR(INDEX(ExchangeConfirms!$H$2:$H$460,MATCH($A141,ExchangeConfirms!$A$2:$A$460,0)),"")</f>
        <v/>
      </c>
      <c r="M141">
        <f>IFERROR(INDEX(InternalTrades!$J$2:$J$461,MATCH($A141,InternalTrades!$A$2:$A$461,0)),"")</f>
        <v/>
      </c>
      <c r="N141">
        <f>IFERROR(INDEX(ExchangeConfirms!$J$2:$J$460,MATCH($A141,ExchangeConfirms!$A$2:$A$460,0)),"")</f>
        <v/>
      </c>
      <c r="O141">
        <f>IFERROR(INDEX(InternalTrades!$I$2:$I$461,MATCH($A141,InternalTrades!$A$2:$A$461,0)),"")</f>
        <v/>
      </c>
      <c r="P141">
        <f>IFERROR(INDEX(ExchangeConfirms!$I$2:$I$460,MATCH($A141,ExchangeConfirms!$A$2:$A$460,0)),"")</f>
        <v/>
      </c>
      <c r="Q141">
        <f>IF(AND($E141=1,$F141=0),"MISSING IN EXCHANGE",IF(AND($E141=0,$F141=1),"MISSING IN INTERNAL",IF($G141&lt;&gt;$H141,"SIDE BREAK",IF($I141&lt;&gt;$J141,"QTY BREAK",IF(ABS($K141-$L141)&gt;0.005,"PRICE BREAK",IF(ABS($M141-$N141)&gt;0.01,"FEE BREAK","MATCHED"))))))</f>
        <v/>
      </c>
      <c r="R141">
        <f>IF($Q141="MATCHED",0,1)</f>
        <v/>
      </c>
      <c r="S141">
        <f>IF($Q141="MATCHED",0,IF($Q141="MISSING IN EXCHANGE",$O141,IF($Q141="MISSING IN INTERNAL",$P141,ABS(N($O141)-N($P141)))))</f>
        <v/>
      </c>
    </row>
    <row r="142">
      <c r="A142" t="inlineStr">
        <is>
          <t>T100141</t>
        </is>
      </c>
      <c r="B142">
        <f>IFERROR(INDEX(InternalTrades!$D$2:$D$461,MATCH($A142,InternalTrades!$A$2:$A$461,0)),INDEX(ExchangeConfirms!$D$2:$D$460,MATCH($A142,ExchangeConfirms!$A$2:$A$460,0)))</f>
        <v/>
      </c>
      <c r="C142">
        <f>IFERROR(INDEX(InternalTrades!$E$2:$E$461,MATCH($A142,InternalTrades!$A$2:$A$461,0)),INDEX(ExchangeConfirms!$E$2:$E$460,MATCH($A142,ExchangeConfirms!$A$2:$A$460,0)))</f>
        <v/>
      </c>
      <c r="D142">
        <f>IFERROR(INDEX(InternalTrades!$K$2:$K$461,MATCH($A142,InternalTrades!$A$2:$A$461,0)),INDEX(ExchangeConfirms!$K$2:$K$460,MATCH($A142,ExchangeConfirms!$A$2:$A$460,0)))</f>
        <v/>
      </c>
      <c r="E142">
        <f>IF(COUNTIF(InternalTrades!$A$2:$A$461,$A142)&gt;0,1,0)</f>
        <v/>
      </c>
      <c r="F142">
        <f>IF(COUNTIF(ExchangeConfirms!$A$2:$A$460,$A142)&gt;0,1,0)</f>
        <v/>
      </c>
      <c r="G142">
        <f>IFERROR(INDEX(InternalTrades!$F$2:$F$461,MATCH($A142,InternalTrades!$A$2:$A$461,0)),"")</f>
        <v/>
      </c>
      <c r="H142">
        <f>IFERROR(INDEX(ExchangeConfirms!$F$2:$F$460,MATCH($A142,ExchangeConfirms!$A$2:$A$460,0)),"")</f>
        <v/>
      </c>
      <c r="I142">
        <f>IFERROR(INDEX(InternalTrades!$G$2:$G$461,MATCH($A142,InternalTrades!$A$2:$A$461,0)),"")</f>
        <v/>
      </c>
      <c r="J142">
        <f>IFERROR(INDEX(ExchangeConfirms!$G$2:$G$460,MATCH($A142,ExchangeConfirms!$A$2:$A$460,0)),"")</f>
        <v/>
      </c>
      <c r="K142">
        <f>IFERROR(INDEX(InternalTrades!$H$2:$H$461,MATCH($A142,InternalTrades!$A$2:$A$461,0)),"")</f>
        <v/>
      </c>
      <c r="L142">
        <f>IFERROR(INDEX(ExchangeConfirms!$H$2:$H$460,MATCH($A142,ExchangeConfirms!$A$2:$A$460,0)),"")</f>
        <v/>
      </c>
      <c r="M142">
        <f>IFERROR(INDEX(InternalTrades!$J$2:$J$461,MATCH($A142,InternalTrades!$A$2:$A$461,0)),"")</f>
        <v/>
      </c>
      <c r="N142">
        <f>IFERROR(INDEX(ExchangeConfirms!$J$2:$J$460,MATCH($A142,ExchangeConfirms!$A$2:$A$460,0)),"")</f>
        <v/>
      </c>
      <c r="O142">
        <f>IFERROR(INDEX(InternalTrades!$I$2:$I$461,MATCH($A142,InternalTrades!$A$2:$A$461,0)),"")</f>
        <v/>
      </c>
      <c r="P142">
        <f>IFERROR(INDEX(ExchangeConfirms!$I$2:$I$460,MATCH($A142,ExchangeConfirms!$A$2:$A$460,0)),"")</f>
        <v/>
      </c>
      <c r="Q142">
        <f>IF(AND($E142=1,$F142=0),"MISSING IN EXCHANGE",IF(AND($E142=0,$F142=1),"MISSING IN INTERNAL",IF($G142&lt;&gt;$H142,"SIDE BREAK",IF($I142&lt;&gt;$J142,"QTY BREAK",IF(ABS($K142-$L142)&gt;0.005,"PRICE BREAK",IF(ABS($M142-$N142)&gt;0.01,"FEE BREAK","MATCHED"))))))</f>
        <v/>
      </c>
      <c r="R142">
        <f>IF($Q142="MATCHED",0,1)</f>
        <v/>
      </c>
      <c r="S142">
        <f>IF($Q142="MATCHED",0,IF($Q142="MISSING IN EXCHANGE",$O142,IF($Q142="MISSING IN INTERNAL",$P142,ABS(N($O142)-N($P142)))))</f>
        <v/>
      </c>
    </row>
    <row r="143">
      <c r="A143" t="inlineStr">
        <is>
          <t>T100142</t>
        </is>
      </c>
      <c r="B143">
        <f>IFERROR(INDEX(InternalTrades!$D$2:$D$461,MATCH($A143,InternalTrades!$A$2:$A$461,0)),INDEX(ExchangeConfirms!$D$2:$D$460,MATCH($A143,ExchangeConfirms!$A$2:$A$460,0)))</f>
        <v/>
      </c>
      <c r="C143">
        <f>IFERROR(INDEX(InternalTrades!$E$2:$E$461,MATCH($A143,InternalTrades!$A$2:$A$461,0)),INDEX(ExchangeConfirms!$E$2:$E$460,MATCH($A143,ExchangeConfirms!$A$2:$A$460,0)))</f>
        <v/>
      </c>
      <c r="D143">
        <f>IFERROR(INDEX(InternalTrades!$K$2:$K$461,MATCH($A143,InternalTrades!$A$2:$A$461,0)),INDEX(ExchangeConfirms!$K$2:$K$460,MATCH($A143,ExchangeConfirms!$A$2:$A$460,0)))</f>
        <v/>
      </c>
      <c r="E143">
        <f>IF(COUNTIF(InternalTrades!$A$2:$A$461,$A143)&gt;0,1,0)</f>
        <v/>
      </c>
      <c r="F143">
        <f>IF(COUNTIF(ExchangeConfirms!$A$2:$A$460,$A143)&gt;0,1,0)</f>
        <v/>
      </c>
      <c r="G143">
        <f>IFERROR(INDEX(InternalTrades!$F$2:$F$461,MATCH($A143,InternalTrades!$A$2:$A$461,0)),"")</f>
        <v/>
      </c>
      <c r="H143">
        <f>IFERROR(INDEX(ExchangeConfirms!$F$2:$F$460,MATCH($A143,ExchangeConfirms!$A$2:$A$460,0)),"")</f>
        <v/>
      </c>
      <c r="I143">
        <f>IFERROR(INDEX(InternalTrades!$G$2:$G$461,MATCH($A143,InternalTrades!$A$2:$A$461,0)),"")</f>
        <v/>
      </c>
      <c r="J143">
        <f>IFERROR(INDEX(ExchangeConfirms!$G$2:$G$460,MATCH($A143,ExchangeConfirms!$A$2:$A$460,0)),"")</f>
        <v/>
      </c>
      <c r="K143">
        <f>IFERROR(INDEX(InternalTrades!$H$2:$H$461,MATCH($A143,InternalTrades!$A$2:$A$461,0)),"")</f>
        <v/>
      </c>
      <c r="L143">
        <f>IFERROR(INDEX(ExchangeConfirms!$H$2:$H$460,MATCH($A143,ExchangeConfirms!$A$2:$A$460,0)),"")</f>
        <v/>
      </c>
      <c r="M143">
        <f>IFERROR(INDEX(InternalTrades!$J$2:$J$461,MATCH($A143,InternalTrades!$A$2:$A$461,0)),"")</f>
        <v/>
      </c>
      <c r="N143">
        <f>IFERROR(INDEX(ExchangeConfirms!$J$2:$J$460,MATCH($A143,ExchangeConfirms!$A$2:$A$460,0)),"")</f>
        <v/>
      </c>
      <c r="O143">
        <f>IFERROR(INDEX(InternalTrades!$I$2:$I$461,MATCH($A143,InternalTrades!$A$2:$A$461,0)),"")</f>
        <v/>
      </c>
      <c r="P143">
        <f>IFERROR(INDEX(ExchangeConfirms!$I$2:$I$460,MATCH($A143,ExchangeConfirms!$A$2:$A$460,0)),"")</f>
        <v/>
      </c>
      <c r="Q143">
        <f>IF(AND($E143=1,$F143=0),"MISSING IN EXCHANGE",IF(AND($E143=0,$F143=1),"MISSING IN INTERNAL",IF($G143&lt;&gt;$H143,"SIDE BREAK",IF($I143&lt;&gt;$J143,"QTY BREAK",IF(ABS($K143-$L143)&gt;0.005,"PRICE BREAK",IF(ABS($M143-$N143)&gt;0.01,"FEE BREAK","MATCHED"))))))</f>
        <v/>
      </c>
      <c r="R143">
        <f>IF($Q143="MATCHED",0,1)</f>
        <v/>
      </c>
      <c r="S143">
        <f>IF($Q143="MATCHED",0,IF($Q143="MISSING IN EXCHANGE",$O143,IF($Q143="MISSING IN INTERNAL",$P143,ABS(N($O143)-N($P143)))))</f>
        <v/>
      </c>
    </row>
    <row r="144">
      <c r="A144" t="inlineStr">
        <is>
          <t>T100143</t>
        </is>
      </c>
      <c r="B144">
        <f>IFERROR(INDEX(InternalTrades!$D$2:$D$461,MATCH($A144,InternalTrades!$A$2:$A$461,0)),INDEX(ExchangeConfirms!$D$2:$D$460,MATCH($A144,ExchangeConfirms!$A$2:$A$460,0)))</f>
        <v/>
      </c>
      <c r="C144">
        <f>IFERROR(INDEX(InternalTrades!$E$2:$E$461,MATCH($A144,InternalTrades!$A$2:$A$461,0)),INDEX(ExchangeConfirms!$E$2:$E$460,MATCH($A144,ExchangeConfirms!$A$2:$A$460,0)))</f>
        <v/>
      </c>
      <c r="D144">
        <f>IFERROR(INDEX(InternalTrades!$K$2:$K$461,MATCH($A144,InternalTrades!$A$2:$A$461,0)),INDEX(ExchangeConfirms!$K$2:$K$460,MATCH($A144,ExchangeConfirms!$A$2:$A$460,0)))</f>
        <v/>
      </c>
      <c r="E144">
        <f>IF(COUNTIF(InternalTrades!$A$2:$A$461,$A144)&gt;0,1,0)</f>
        <v/>
      </c>
      <c r="F144">
        <f>IF(COUNTIF(ExchangeConfirms!$A$2:$A$460,$A144)&gt;0,1,0)</f>
        <v/>
      </c>
      <c r="G144">
        <f>IFERROR(INDEX(InternalTrades!$F$2:$F$461,MATCH($A144,InternalTrades!$A$2:$A$461,0)),"")</f>
        <v/>
      </c>
      <c r="H144">
        <f>IFERROR(INDEX(ExchangeConfirms!$F$2:$F$460,MATCH($A144,ExchangeConfirms!$A$2:$A$460,0)),"")</f>
        <v/>
      </c>
      <c r="I144">
        <f>IFERROR(INDEX(InternalTrades!$G$2:$G$461,MATCH($A144,InternalTrades!$A$2:$A$461,0)),"")</f>
        <v/>
      </c>
      <c r="J144">
        <f>IFERROR(INDEX(ExchangeConfirms!$G$2:$G$460,MATCH($A144,ExchangeConfirms!$A$2:$A$460,0)),"")</f>
        <v/>
      </c>
      <c r="K144">
        <f>IFERROR(INDEX(InternalTrades!$H$2:$H$461,MATCH($A144,InternalTrades!$A$2:$A$461,0)),"")</f>
        <v/>
      </c>
      <c r="L144">
        <f>IFERROR(INDEX(ExchangeConfirms!$H$2:$H$460,MATCH($A144,ExchangeConfirms!$A$2:$A$460,0)),"")</f>
        <v/>
      </c>
      <c r="M144">
        <f>IFERROR(INDEX(InternalTrades!$J$2:$J$461,MATCH($A144,InternalTrades!$A$2:$A$461,0)),"")</f>
        <v/>
      </c>
      <c r="N144">
        <f>IFERROR(INDEX(ExchangeConfirms!$J$2:$J$460,MATCH($A144,ExchangeConfirms!$A$2:$A$460,0)),"")</f>
        <v/>
      </c>
      <c r="O144">
        <f>IFERROR(INDEX(InternalTrades!$I$2:$I$461,MATCH($A144,InternalTrades!$A$2:$A$461,0)),"")</f>
        <v/>
      </c>
      <c r="P144">
        <f>IFERROR(INDEX(ExchangeConfirms!$I$2:$I$460,MATCH($A144,ExchangeConfirms!$A$2:$A$460,0)),"")</f>
        <v/>
      </c>
      <c r="Q144">
        <f>IF(AND($E144=1,$F144=0),"MISSING IN EXCHANGE",IF(AND($E144=0,$F144=1),"MISSING IN INTERNAL",IF($G144&lt;&gt;$H144,"SIDE BREAK",IF($I144&lt;&gt;$J144,"QTY BREAK",IF(ABS($K144-$L144)&gt;0.005,"PRICE BREAK",IF(ABS($M144-$N144)&gt;0.01,"FEE BREAK","MATCHED"))))))</f>
        <v/>
      </c>
      <c r="R144">
        <f>IF($Q144="MATCHED",0,1)</f>
        <v/>
      </c>
      <c r="S144">
        <f>IF($Q144="MATCHED",0,IF($Q144="MISSING IN EXCHANGE",$O144,IF($Q144="MISSING IN INTERNAL",$P144,ABS(N($O144)-N($P144)))))</f>
        <v/>
      </c>
    </row>
    <row r="145">
      <c r="A145" t="inlineStr">
        <is>
          <t>T100144</t>
        </is>
      </c>
      <c r="B145">
        <f>IFERROR(INDEX(InternalTrades!$D$2:$D$461,MATCH($A145,InternalTrades!$A$2:$A$461,0)),INDEX(ExchangeConfirms!$D$2:$D$460,MATCH($A145,ExchangeConfirms!$A$2:$A$460,0)))</f>
        <v/>
      </c>
      <c r="C145">
        <f>IFERROR(INDEX(InternalTrades!$E$2:$E$461,MATCH($A145,InternalTrades!$A$2:$A$461,0)),INDEX(ExchangeConfirms!$E$2:$E$460,MATCH($A145,ExchangeConfirms!$A$2:$A$460,0)))</f>
        <v/>
      </c>
      <c r="D145">
        <f>IFERROR(INDEX(InternalTrades!$K$2:$K$461,MATCH($A145,InternalTrades!$A$2:$A$461,0)),INDEX(ExchangeConfirms!$K$2:$K$460,MATCH($A145,ExchangeConfirms!$A$2:$A$460,0)))</f>
        <v/>
      </c>
      <c r="E145">
        <f>IF(COUNTIF(InternalTrades!$A$2:$A$461,$A145)&gt;0,1,0)</f>
        <v/>
      </c>
      <c r="F145">
        <f>IF(COUNTIF(ExchangeConfirms!$A$2:$A$460,$A145)&gt;0,1,0)</f>
        <v/>
      </c>
      <c r="G145">
        <f>IFERROR(INDEX(InternalTrades!$F$2:$F$461,MATCH($A145,InternalTrades!$A$2:$A$461,0)),"")</f>
        <v/>
      </c>
      <c r="H145">
        <f>IFERROR(INDEX(ExchangeConfirms!$F$2:$F$460,MATCH($A145,ExchangeConfirms!$A$2:$A$460,0)),"")</f>
        <v/>
      </c>
      <c r="I145">
        <f>IFERROR(INDEX(InternalTrades!$G$2:$G$461,MATCH($A145,InternalTrades!$A$2:$A$461,0)),"")</f>
        <v/>
      </c>
      <c r="J145">
        <f>IFERROR(INDEX(ExchangeConfirms!$G$2:$G$460,MATCH($A145,ExchangeConfirms!$A$2:$A$460,0)),"")</f>
        <v/>
      </c>
      <c r="K145">
        <f>IFERROR(INDEX(InternalTrades!$H$2:$H$461,MATCH($A145,InternalTrades!$A$2:$A$461,0)),"")</f>
        <v/>
      </c>
      <c r="L145">
        <f>IFERROR(INDEX(ExchangeConfirms!$H$2:$H$460,MATCH($A145,ExchangeConfirms!$A$2:$A$460,0)),"")</f>
        <v/>
      </c>
      <c r="M145">
        <f>IFERROR(INDEX(InternalTrades!$J$2:$J$461,MATCH($A145,InternalTrades!$A$2:$A$461,0)),"")</f>
        <v/>
      </c>
      <c r="N145">
        <f>IFERROR(INDEX(ExchangeConfirms!$J$2:$J$460,MATCH($A145,ExchangeConfirms!$A$2:$A$460,0)),"")</f>
        <v/>
      </c>
      <c r="O145">
        <f>IFERROR(INDEX(InternalTrades!$I$2:$I$461,MATCH($A145,InternalTrades!$A$2:$A$461,0)),"")</f>
        <v/>
      </c>
      <c r="P145">
        <f>IFERROR(INDEX(ExchangeConfirms!$I$2:$I$460,MATCH($A145,ExchangeConfirms!$A$2:$A$460,0)),"")</f>
        <v/>
      </c>
      <c r="Q145">
        <f>IF(AND($E145=1,$F145=0),"MISSING IN EXCHANGE",IF(AND($E145=0,$F145=1),"MISSING IN INTERNAL",IF($G145&lt;&gt;$H145,"SIDE BREAK",IF($I145&lt;&gt;$J145,"QTY BREAK",IF(ABS($K145-$L145)&gt;0.005,"PRICE BREAK",IF(ABS($M145-$N145)&gt;0.01,"FEE BREAK","MATCHED"))))))</f>
        <v/>
      </c>
      <c r="R145">
        <f>IF($Q145="MATCHED",0,1)</f>
        <v/>
      </c>
      <c r="S145">
        <f>IF($Q145="MATCHED",0,IF($Q145="MISSING IN EXCHANGE",$O145,IF($Q145="MISSING IN INTERNAL",$P145,ABS(N($O145)-N($P145)))))</f>
        <v/>
      </c>
    </row>
    <row r="146">
      <c r="A146" t="inlineStr">
        <is>
          <t>T100145</t>
        </is>
      </c>
      <c r="B146">
        <f>IFERROR(INDEX(InternalTrades!$D$2:$D$461,MATCH($A146,InternalTrades!$A$2:$A$461,0)),INDEX(ExchangeConfirms!$D$2:$D$460,MATCH($A146,ExchangeConfirms!$A$2:$A$460,0)))</f>
        <v/>
      </c>
      <c r="C146">
        <f>IFERROR(INDEX(InternalTrades!$E$2:$E$461,MATCH($A146,InternalTrades!$A$2:$A$461,0)),INDEX(ExchangeConfirms!$E$2:$E$460,MATCH($A146,ExchangeConfirms!$A$2:$A$460,0)))</f>
        <v/>
      </c>
      <c r="D146">
        <f>IFERROR(INDEX(InternalTrades!$K$2:$K$461,MATCH($A146,InternalTrades!$A$2:$A$461,0)),INDEX(ExchangeConfirms!$K$2:$K$460,MATCH($A146,ExchangeConfirms!$A$2:$A$460,0)))</f>
        <v/>
      </c>
      <c r="E146">
        <f>IF(COUNTIF(InternalTrades!$A$2:$A$461,$A146)&gt;0,1,0)</f>
        <v/>
      </c>
      <c r="F146">
        <f>IF(COUNTIF(ExchangeConfirms!$A$2:$A$460,$A146)&gt;0,1,0)</f>
        <v/>
      </c>
      <c r="G146">
        <f>IFERROR(INDEX(InternalTrades!$F$2:$F$461,MATCH($A146,InternalTrades!$A$2:$A$461,0)),"")</f>
        <v/>
      </c>
      <c r="H146">
        <f>IFERROR(INDEX(ExchangeConfirms!$F$2:$F$460,MATCH($A146,ExchangeConfirms!$A$2:$A$460,0)),"")</f>
        <v/>
      </c>
      <c r="I146">
        <f>IFERROR(INDEX(InternalTrades!$G$2:$G$461,MATCH($A146,InternalTrades!$A$2:$A$461,0)),"")</f>
        <v/>
      </c>
      <c r="J146">
        <f>IFERROR(INDEX(ExchangeConfirms!$G$2:$G$460,MATCH($A146,ExchangeConfirms!$A$2:$A$460,0)),"")</f>
        <v/>
      </c>
      <c r="K146">
        <f>IFERROR(INDEX(InternalTrades!$H$2:$H$461,MATCH($A146,InternalTrades!$A$2:$A$461,0)),"")</f>
        <v/>
      </c>
      <c r="L146">
        <f>IFERROR(INDEX(ExchangeConfirms!$H$2:$H$460,MATCH($A146,ExchangeConfirms!$A$2:$A$460,0)),"")</f>
        <v/>
      </c>
      <c r="M146">
        <f>IFERROR(INDEX(InternalTrades!$J$2:$J$461,MATCH($A146,InternalTrades!$A$2:$A$461,0)),"")</f>
        <v/>
      </c>
      <c r="N146">
        <f>IFERROR(INDEX(ExchangeConfirms!$J$2:$J$460,MATCH($A146,ExchangeConfirms!$A$2:$A$460,0)),"")</f>
        <v/>
      </c>
      <c r="O146">
        <f>IFERROR(INDEX(InternalTrades!$I$2:$I$461,MATCH($A146,InternalTrades!$A$2:$A$461,0)),"")</f>
        <v/>
      </c>
      <c r="P146">
        <f>IFERROR(INDEX(ExchangeConfirms!$I$2:$I$460,MATCH($A146,ExchangeConfirms!$A$2:$A$460,0)),"")</f>
        <v/>
      </c>
      <c r="Q146">
        <f>IF(AND($E146=1,$F146=0),"MISSING IN EXCHANGE",IF(AND($E146=0,$F146=1),"MISSING IN INTERNAL",IF($G146&lt;&gt;$H146,"SIDE BREAK",IF($I146&lt;&gt;$J146,"QTY BREAK",IF(ABS($K146-$L146)&gt;0.005,"PRICE BREAK",IF(ABS($M146-$N146)&gt;0.01,"FEE BREAK","MATCHED"))))))</f>
        <v/>
      </c>
      <c r="R146">
        <f>IF($Q146="MATCHED",0,1)</f>
        <v/>
      </c>
      <c r="S146">
        <f>IF($Q146="MATCHED",0,IF($Q146="MISSING IN EXCHANGE",$O146,IF($Q146="MISSING IN INTERNAL",$P146,ABS(N($O146)-N($P146)))))</f>
        <v/>
      </c>
    </row>
    <row r="147">
      <c r="A147" t="inlineStr">
        <is>
          <t>T100146</t>
        </is>
      </c>
      <c r="B147">
        <f>IFERROR(INDEX(InternalTrades!$D$2:$D$461,MATCH($A147,InternalTrades!$A$2:$A$461,0)),INDEX(ExchangeConfirms!$D$2:$D$460,MATCH($A147,ExchangeConfirms!$A$2:$A$460,0)))</f>
        <v/>
      </c>
      <c r="C147">
        <f>IFERROR(INDEX(InternalTrades!$E$2:$E$461,MATCH($A147,InternalTrades!$A$2:$A$461,0)),INDEX(ExchangeConfirms!$E$2:$E$460,MATCH($A147,ExchangeConfirms!$A$2:$A$460,0)))</f>
        <v/>
      </c>
      <c r="D147">
        <f>IFERROR(INDEX(InternalTrades!$K$2:$K$461,MATCH($A147,InternalTrades!$A$2:$A$461,0)),INDEX(ExchangeConfirms!$K$2:$K$460,MATCH($A147,ExchangeConfirms!$A$2:$A$460,0)))</f>
        <v/>
      </c>
      <c r="E147">
        <f>IF(COUNTIF(InternalTrades!$A$2:$A$461,$A147)&gt;0,1,0)</f>
        <v/>
      </c>
      <c r="F147">
        <f>IF(COUNTIF(ExchangeConfirms!$A$2:$A$460,$A147)&gt;0,1,0)</f>
        <v/>
      </c>
      <c r="G147">
        <f>IFERROR(INDEX(InternalTrades!$F$2:$F$461,MATCH($A147,InternalTrades!$A$2:$A$461,0)),"")</f>
        <v/>
      </c>
      <c r="H147">
        <f>IFERROR(INDEX(ExchangeConfirms!$F$2:$F$460,MATCH($A147,ExchangeConfirms!$A$2:$A$460,0)),"")</f>
        <v/>
      </c>
      <c r="I147">
        <f>IFERROR(INDEX(InternalTrades!$G$2:$G$461,MATCH($A147,InternalTrades!$A$2:$A$461,0)),"")</f>
        <v/>
      </c>
      <c r="J147">
        <f>IFERROR(INDEX(ExchangeConfirms!$G$2:$G$460,MATCH($A147,ExchangeConfirms!$A$2:$A$460,0)),"")</f>
        <v/>
      </c>
      <c r="K147">
        <f>IFERROR(INDEX(InternalTrades!$H$2:$H$461,MATCH($A147,InternalTrades!$A$2:$A$461,0)),"")</f>
        <v/>
      </c>
      <c r="L147">
        <f>IFERROR(INDEX(ExchangeConfirms!$H$2:$H$460,MATCH($A147,ExchangeConfirms!$A$2:$A$460,0)),"")</f>
        <v/>
      </c>
      <c r="M147">
        <f>IFERROR(INDEX(InternalTrades!$J$2:$J$461,MATCH($A147,InternalTrades!$A$2:$A$461,0)),"")</f>
        <v/>
      </c>
      <c r="N147">
        <f>IFERROR(INDEX(ExchangeConfirms!$J$2:$J$460,MATCH($A147,ExchangeConfirms!$A$2:$A$460,0)),"")</f>
        <v/>
      </c>
      <c r="O147">
        <f>IFERROR(INDEX(InternalTrades!$I$2:$I$461,MATCH($A147,InternalTrades!$A$2:$A$461,0)),"")</f>
        <v/>
      </c>
      <c r="P147">
        <f>IFERROR(INDEX(ExchangeConfirms!$I$2:$I$460,MATCH($A147,ExchangeConfirms!$A$2:$A$460,0)),"")</f>
        <v/>
      </c>
      <c r="Q147">
        <f>IF(AND($E147=1,$F147=0),"MISSING IN EXCHANGE",IF(AND($E147=0,$F147=1),"MISSING IN INTERNAL",IF($G147&lt;&gt;$H147,"SIDE BREAK",IF($I147&lt;&gt;$J147,"QTY BREAK",IF(ABS($K147-$L147)&gt;0.005,"PRICE BREAK",IF(ABS($M147-$N147)&gt;0.01,"FEE BREAK","MATCHED"))))))</f>
        <v/>
      </c>
      <c r="R147">
        <f>IF($Q147="MATCHED",0,1)</f>
        <v/>
      </c>
      <c r="S147">
        <f>IF($Q147="MATCHED",0,IF($Q147="MISSING IN EXCHANGE",$O147,IF($Q147="MISSING IN INTERNAL",$P147,ABS(N($O147)-N($P147)))))</f>
        <v/>
      </c>
    </row>
    <row r="148">
      <c r="A148" t="inlineStr">
        <is>
          <t>T100147</t>
        </is>
      </c>
      <c r="B148">
        <f>IFERROR(INDEX(InternalTrades!$D$2:$D$461,MATCH($A148,InternalTrades!$A$2:$A$461,0)),INDEX(ExchangeConfirms!$D$2:$D$460,MATCH($A148,ExchangeConfirms!$A$2:$A$460,0)))</f>
        <v/>
      </c>
      <c r="C148">
        <f>IFERROR(INDEX(InternalTrades!$E$2:$E$461,MATCH($A148,InternalTrades!$A$2:$A$461,0)),INDEX(ExchangeConfirms!$E$2:$E$460,MATCH($A148,ExchangeConfirms!$A$2:$A$460,0)))</f>
        <v/>
      </c>
      <c r="D148">
        <f>IFERROR(INDEX(InternalTrades!$K$2:$K$461,MATCH($A148,InternalTrades!$A$2:$A$461,0)),INDEX(ExchangeConfirms!$K$2:$K$460,MATCH($A148,ExchangeConfirms!$A$2:$A$460,0)))</f>
        <v/>
      </c>
      <c r="E148">
        <f>IF(COUNTIF(InternalTrades!$A$2:$A$461,$A148)&gt;0,1,0)</f>
        <v/>
      </c>
      <c r="F148">
        <f>IF(COUNTIF(ExchangeConfirms!$A$2:$A$460,$A148)&gt;0,1,0)</f>
        <v/>
      </c>
      <c r="G148">
        <f>IFERROR(INDEX(InternalTrades!$F$2:$F$461,MATCH($A148,InternalTrades!$A$2:$A$461,0)),"")</f>
        <v/>
      </c>
      <c r="H148">
        <f>IFERROR(INDEX(ExchangeConfirms!$F$2:$F$460,MATCH($A148,ExchangeConfirms!$A$2:$A$460,0)),"")</f>
        <v/>
      </c>
      <c r="I148">
        <f>IFERROR(INDEX(InternalTrades!$G$2:$G$461,MATCH($A148,InternalTrades!$A$2:$A$461,0)),"")</f>
        <v/>
      </c>
      <c r="J148">
        <f>IFERROR(INDEX(ExchangeConfirms!$G$2:$G$460,MATCH($A148,ExchangeConfirms!$A$2:$A$460,0)),"")</f>
        <v/>
      </c>
      <c r="K148">
        <f>IFERROR(INDEX(InternalTrades!$H$2:$H$461,MATCH($A148,InternalTrades!$A$2:$A$461,0)),"")</f>
        <v/>
      </c>
      <c r="L148">
        <f>IFERROR(INDEX(ExchangeConfirms!$H$2:$H$460,MATCH($A148,ExchangeConfirms!$A$2:$A$460,0)),"")</f>
        <v/>
      </c>
      <c r="M148">
        <f>IFERROR(INDEX(InternalTrades!$J$2:$J$461,MATCH($A148,InternalTrades!$A$2:$A$461,0)),"")</f>
        <v/>
      </c>
      <c r="N148">
        <f>IFERROR(INDEX(ExchangeConfirms!$J$2:$J$460,MATCH($A148,ExchangeConfirms!$A$2:$A$460,0)),"")</f>
        <v/>
      </c>
      <c r="O148">
        <f>IFERROR(INDEX(InternalTrades!$I$2:$I$461,MATCH($A148,InternalTrades!$A$2:$A$461,0)),"")</f>
        <v/>
      </c>
      <c r="P148">
        <f>IFERROR(INDEX(ExchangeConfirms!$I$2:$I$460,MATCH($A148,ExchangeConfirms!$A$2:$A$460,0)),"")</f>
        <v/>
      </c>
      <c r="Q148">
        <f>IF(AND($E148=1,$F148=0),"MISSING IN EXCHANGE",IF(AND($E148=0,$F148=1),"MISSING IN INTERNAL",IF($G148&lt;&gt;$H148,"SIDE BREAK",IF($I148&lt;&gt;$J148,"QTY BREAK",IF(ABS($K148-$L148)&gt;0.005,"PRICE BREAK",IF(ABS($M148-$N148)&gt;0.01,"FEE BREAK","MATCHED"))))))</f>
        <v/>
      </c>
      <c r="R148">
        <f>IF($Q148="MATCHED",0,1)</f>
        <v/>
      </c>
      <c r="S148">
        <f>IF($Q148="MATCHED",0,IF($Q148="MISSING IN EXCHANGE",$O148,IF($Q148="MISSING IN INTERNAL",$P148,ABS(N($O148)-N($P148)))))</f>
        <v/>
      </c>
    </row>
    <row r="149">
      <c r="A149" t="inlineStr">
        <is>
          <t>T100148</t>
        </is>
      </c>
      <c r="B149">
        <f>IFERROR(INDEX(InternalTrades!$D$2:$D$461,MATCH($A149,InternalTrades!$A$2:$A$461,0)),INDEX(ExchangeConfirms!$D$2:$D$460,MATCH($A149,ExchangeConfirms!$A$2:$A$460,0)))</f>
        <v/>
      </c>
      <c r="C149">
        <f>IFERROR(INDEX(InternalTrades!$E$2:$E$461,MATCH($A149,InternalTrades!$A$2:$A$461,0)),INDEX(ExchangeConfirms!$E$2:$E$460,MATCH($A149,ExchangeConfirms!$A$2:$A$460,0)))</f>
        <v/>
      </c>
      <c r="D149">
        <f>IFERROR(INDEX(InternalTrades!$K$2:$K$461,MATCH($A149,InternalTrades!$A$2:$A$461,0)),INDEX(ExchangeConfirms!$K$2:$K$460,MATCH($A149,ExchangeConfirms!$A$2:$A$460,0)))</f>
        <v/>
      </c>
      <c r="E149">
        <f>IF(COUNTIF(InternalTrades!$A$2:$A$461,$A149)&gt;0,1,0)</f>
        <v/>
      </c>
      <c r="F149">
        <f>IF(COUNTIF(ExchangeConfirms!$A$2:$A$460,$A149)&gt;0,1,0)</f>
        <v/>
      </c>
      <c r="G149">
        <f>IFERROR(INDEX(InternalTrades!$F$2:$F$461,MATCH($A149,InternalTrades!$A$2:$A$461,0)),"")</f>
        <v/>
      </c>
      <c r="H149">
        <f>IFERROR(INDEX(ExchangeConfirms!$F$2:$F$460,MATCH($A149,ExchangeConfirms!$A$2:$A$460,0)),"")</f>
        <v/>
      </c>
      <c r="I149">
        <f>IFERROR(INDEX(InternalTrades!$G$2:$G$461,MATCH($A149,InternalTrades!$A$2:$A$461,0)),"")</f>
        <v/>
      </c>
      <c r="J149">
        <f>IFERROR(INDEX(ExchangeConfirms!$G$2:$G$460,MATCH($A149,ExchangeConfirms!$A$2:$A$460,0)),"")</f>
        <v/>
      </c>
      <c r="K149">
        <f>IFERROR(INDEX(InternalTrades!$H$2:$H$461,MATCH($A149,InternalTrades!$A$2:$A$461,0)),"")</f>
        <v/>
      </c>
      <c r="L149">
        <f>IFERROR(INDEX(ExchangeConfirms!$H$2:$H$460,MATCH($A149,ExchangeConfirms!$A$2:$A$460,0)),"")</f>
        <v/>
      </c>
      <c r="M149">
        <f>IFERROR(INDEX(InternalTrades!$J$2:$J$461,MATCH($A149,InternalTrades!$A$2:$A$461,0)),"")</f>
        <v/>
      </c>
      <c r="N149">
        <f>IFERROR(INDEX(ExchangeConfirms!$J$2:$J$460,MATCH($A149,ExchangeConfirms!$A$2:$A$460,0)),"")</f>
        <v/>
      </c>
      <c r="O149">
        <f>IFERROR(INDEX(InternalTrades!$I$2:$I$461,MATCH($A149,InternalTrades!$A$2:$A$461,0)),"")</f>
        <v/>
      </c>
      <c r="P149">
        <f>IFERROR(INDEX(ExchangeConfirms!$I$2:$I$460,MATCH($A149,ExchangeConfirms!$A$2:$A$460,0)),"")</f>
        <v/>
      </c>
      <c r="Q149">
        <f>IF(AND($E149=1,$F149=0),"MISSING IN EXCHANGE",IF(AND($E149=0,$F149=1),"MISSING IN INTERNAL",IF($G149&lt;&gt;$H149,"SIDE BREAK",IF($I149&lt;&gt;$J149,"QTY BREAK",IF(ABS($K149-$L149)&gt;0.005,"PRICE BREAK",IF(ABS($M149-$N149)&gt;0.01,"FEE BREAK","MATCHED"))))))</f>
        <v/>
      </c>
      <c r="R149">
        <f>IF($Q149="MATCHED",0,1)</f>
        <v/>
      </c>
      <c r="S149">
        <f>IF($Q149="MATCHED",0,IF($Q149="MISSING IN EXCHANGE",$O149,IF($Q149="MISSING IN INTERNAL",$P149,ABS(N($O149)-N($P149)))))</f>
        <v/>
      </c>
    </row>
    <row r="150">
      <c r="A150" t="inlineStr">
        <is>
          <t>T100149</t>
        </is>
      </c>
      <c r="B150">
        <f>IFERROR(INDEX(InternalTrades!$D$2:$D$461,MATCH($A150,InternalTrades!$A$2:$A$461,0)),INDEX(ExchangeConfirms!$D$2:$D$460,MATCH($A150,ExchangeConfirms!$A$2:$A$460,0)))</f>
        <v/>
      </c>
      <c r="C150">
        <f>IFERROR(INDEX(InternalTrades!$E$2:$E$461,MATCH($A150,InternalTrades!$A$2:$A$461,0)),INDEX(ExchangeConfirms!$E$2:$E$460,MATCH($A150,ExchangeConfirms!$A$2:$A$460,0)))</f>
        <v/>
      </c>
      <c r="D150">
        <f>IFERROR(INDEX(InternalTrades!$K$2:$K$461,MATCH($A150,InternalTrades!$A$2:$A$461,0)),INDEX(ExchangeConfirms!$K$2:$K$460,MATCH($A150,ExchangeConfirms!$A$2:$A$460,0)))</f>
        <v/>
      </c>
      <c r="E150">
        <f>IF(COUNTIF(InternalTrades!$A$2:$A$461,$A150)&gt;0,1,0)</f>
        <v/>
      </c>
      <c r="F150">
        <f>IF(COUNTIF(ExchangeConfirms!$A$2:$A$460,$A150)&gt;0,1,0)</f>
        <v/>
      </c>
      <c r="G150">
        <f>IFERROR(INDEX(InternalTrades!$F$2:$F$461,MATCH($A150,InternalTrades!$A$2:$A$461,0)),"")</f>
        <v/>
      </c>
      <c r="H150">
        <f>IFERROR(INDEX(ExchangeConfirms!$F$2:$F$460,MATCH($A150,ExchangeConfirms!$A$2:$A$460,0)),"")</f>
        <v/>
      </c>
      <c r="I150">
        <f>IFERROR(INDEX(InternalTrades!$G$2:$G$461,MATCH($A150,InternalTrades!$A$2:$A$461,0)),"")</f>
        <v/>
      </c>
      <c r="J150">
        <f>IFERROR(INDEX(ExchangeConfirms!$G$2:$G$460,MATCH($A150,ExchangeConfirms!$A$2:$A$460,0)),"")</f>
        <v/>
      </c>
      <c r="K150">
        <f>IFERROR(INDEX(InternalTrades!$H$2:$H$461,MATCH($A150,InternalTrades!$A$2:$A$461,0)),"")</f>
        <v/>
      </c>
      <c r="L150">
        <f>IFERROR(INDEX(ExchangeConfirms!$H$2:$H$460,MATCH($A150,ExchangeConfirms!$A$2:$A$460,0)),"")</f>
        <v/>
      </c>
      <c r="M150">
        <f>IFERROR(INDEX(InternalTrades!$J$2:$J$461,MATCH($A150,InternalTrades!$A$2:$A$461,0)),"")</f>
        <v/>
      </c>
      <c r="N150">
        <f>IFERROR(INDEX(ExchangeConfirms!$J$2:$J$460,MATCH($A150,ExchangeConfirms!$A$2:$A$460,0)),"")</f>
        <v/>
      </c>
      <c r="O150">
        <f>IFERROR(INDEX(InternalTrades!$I$2:$I$461,MATCH($A150,InternalTrades!$A$2:$A$461,0)),"")</f>
        <v/>
      </c>
      <c r="P150">
        <f>IFERROR(INDEX(ExchangeConfirms!$I$2:$I$460,MATCH($A150,ExchangeConfirms!$A$2:$A$460,0)),"")</f>
        <v/>
      </c>
      <c r="Q150">
        <f>IF(AND($E150=1,$F150=0),"MISSING IN EXCHANGE",IF(AND($E150=0,$F150=1),"MISSING IN INTERNAL",IF($G150&lt;&gt;$H150,"SIDE BREAK",IF($I150&lt;&gt;$J150,"QTY BREAK",IF(ABS($K150-$L150)&gt;0.005,"PRICE BREAK",IF(ABS($M150-$N150)&gt;0.01,"FEE BREAK","MATCHED"))))))</f>
        <v/>
      </c>
      <c r="R150">
        <f>IF($Q150="MATCHED",0,1)</f>
        <v/>
      </c>
      <c r="S150">
        <f>IF($Q150="MATCHED",0,IF($Q150="MISSING IN EXCHANGE",$O150,IF($Q150="MISSING IN INTERNAL",$P150,ABS(N($O150)-N($P150)))))</f>
        <v/>
      </c>
    </row>
    <row r="151">
      <c r="A151" t="inlineStr">
        <is>
          <t>T100150</t>
        </is>
      </c>
      <c r="B151">
        <f>IFERROR(INDEX(InternalTrades!$D$2:$D$461,MATCH($A151,InternalTrades!$A$2:$A$461,0)),INDEX(ExchangeConfirms!$D$2:$D$460,MATCH($A151,ExchangeConfirms!$A$2:$A$460,0)))</f>
        <v/>
      </c>
      <c r="C151">
        <f>IFERROR(INDEX(InternalTrades!$E$2:$E$461,MATCH($A151,InternalTrades!$A$2:$A$461,0)),INDEX(ExchangeConfirms!$E$2:$E$460,MATCH($A151,ExchangeConfirms!$A$2:$A$460,0)))</f>
        <v/>
      </c>
      <c r="D151">
        <f>IFERROR(INDEX(InternalTrades!$K$2:$K$461,MATCH($A151,InternalTrades!$A$2:$A$461,0)),INDEX(ExchangeConfirms!$K$2:$K$460,MATCH($A151,ExchangeConfirms!$A$2:$A$460,0)))</f>
        <v/>
      </c>
      <c r="E151">
        <f>IF(COUNTIF(InternalTrades!$A$2:$A$461,$A151)&gt;0,1,0)</f>
        <v/>
      </c>
      <c r="F151">
        <f>IF(COUNTIF(ExchangeConfirms!$A$2:$A$460,$A151)&gt;0,1,0)</f>
        <v/>
      </c>
      <c r="G151">
        <f>IFERROR(INDEX(InternalTrades!$F$2:$F$461,MATCH($A151,InternalTrades!$A$2:$A$461,0)),"")</f>
        <v/>
      </c>
      <c r="H151">
        <f>IFERROR(INDEX(ExchangeConfirms!$F$2:$F$460,MATCH($A151,ExchangeConfirms!$A$2:$A$460,0)),"")</f>
        <v/>
      </c>
      <c r="I151">
        <f>IFERROR(INDEX(InternalTrades!$G$2:$G$461,MATCH($A151,InternalTrades!$A$2:$A$461,0)),"")</f>
        <v/>
      </c>
      <c r="J151">
        <f>IFERROR(INDEX(ExchangeConfirms!$G$2:$G$460,MATCH($A151,ExchangeConfirms!$A$2:$A$460,0)),"")</f>
        <v/>
      </c>
      <c r="K151">
        <f>IFERROR(INDEX(InternalTrades!$H$2:$H$461,MATCH($A151,InternalTrades!$A$2:$A$461,0)),"")</f>
        <v/>
      </c>
      <c r="L151">
        <f>IFERROR(INDEX(ExchangeConfirms!$H$2:$H$460,MATCH($A151,ExchangeConfirms!$A$2:$A$460,0)),"")</f>
        <v/>
      </c>
      <c r="M151">
        <f>IFERROR(INDEX(InternalTrades!$J$2:$J$461,MATCH($A151,InternalTrades!$A$2:$A$461,0)),"")</f>
        <v/>
      </c>
      <c r="N151">
        <f>IFERROR(INDEX(ExchangeConfirms!$J$2:$J$460,MATCH($A151,ExchangeConfirms!$A$2:$A$460,0)),"")</f>
        <v/>
      </c>
      <c r="O151">
        <f>IFERROR(INDEX(InternalTrades!$I$2:$I$461,MATCH($A151,InternalTrades!$A$2:$A$461,0)),"")</f>
        <v/>
      </c>
      <c r="P151">
        <f>IFERROR(INDEX(ExchangeConfirms!$I$2:$I$460,MATCH($A151,ExchangeConfirms!$A$2:$A$460,0)),"")</f>
        <v/>
      </c>
      <c r="Q151">
        <f>IF(AND($E151=1,$F151=0),"MISSING IN EXCHANGE",IF(AND($E151=0,$F151=1),"MISSING IN INTERNAL",IF($G151&lt;&gt;$H151,"SIDE BREAK",IF($I151&lt;&gt;$J151,"QTY BREAK",IF(ABS($K151-$L151)&gt;0.005,"PRICE BREAK",IF(ABS($M151-$N151)&gt;0.01,"FEE BREAK","MATCHED"))))))</f>
        <v/>
      </c>
      <c r="R151">
        <f>IF($Q151="MATCHED",0,1)</f>
        <v/>
      </c>
      <c r="S151">
        <f>IF($Q151="MATCHED",0,IF($Q151="MISSING IN EXCHANGE",$O151,IF($Q151="MISSING IN INTERNAL",$P151,ABS(N($O151)-N($P151)))))</f>
        <v/>
      </c>
    </row>
    <row r="152">
      <c r="A152" t="inlineStr">
        <is>
          <t>T100151</t>
        </is>
      </c>
      <c r="B152">
        <f>IFERROR(INDEX(InternalTrades!$D$2:$D$461,MATCH($A152,InternalTrades!$A$2:$A$461,0)),INDEX(ExchangeConfirms!$D$2:$D$460,MATCH($A152,ExchangeConfirms!$A$2:$A$460,0)))</f>
        <v/>
      </c>
      <c r="C152">
        <f>IFERROR(INDEX(InternalTrades!$E$2:$E$461,MATCH($A152,InternalTrades!$A$2:$A$461,0)),INDEX(ExchangeConfirms!$E$2:$E$460,MATCH($A152,ExchangeConfirms!$A$2:$A$460,0)))</f>
        <v/>
      </c>
      <c r="D152">
        <f>IFERROR(INDEX(InternalTrades!$K$2:$K$461,MATCH($A152,InternalTrades!$A$2:$A$461,0)),INDEX(ExchangeConfirms!$K$2:$K$460,MATCH($A152,ExchangeConfirms!$A$2:$A$460,0)))</f>
        <v/>
      </c>
      <c r="E152">
        <f>IF(COUNTIF(InternalTrades!$A$2:$A$461,$A152)&gt;0,1,0)</f>
        <v/>
      </c>
      <c r="F152">
        <f>IF(COUNTIF(ExchangeConfirms!$A$2:$A$460,$A152)&gt;0,1,0)</f>
        <v/>
      </c>
      <c r="G152">
        <f>IFERROR(INDEX(InternalTrades!$F$2:$F$461,MATCH($A152,InternalTrades!$A$2:$A$461,0)),"")</f>
        <v/>
      </c>
      <c r="H152">
        <f>IFERROR(INDEX(ExchangeConfirms!$F$2:$F$460,MATCH($A152,ExchangeConfirms!$A$2:$A$460,0)),"")</f>
        <v/>
      </c>
      <c r="I152">
        <f>IFERROR(INDEX(InternalTrades!$G$2:$G$461,MATCH($A152,InternalTrades!$A$2:$A$461,0)),"")</f>
        <v/>
      </c>
      <c r="J152">
        <f>IFERROR(INDEX(ExchangeConfirms!$G$2:$G$460,MATCH($A152,ExchangeConfirms!$A$2:$A$460,0)),"")</f>
        <v/>
      </c>
      <c r="K152">
        <f>IFERROR(INDEX(InternalTrades!$H$2:$H$461,MATCH($A152,InternalTrades!$A$2:$A$461,0)),"")</f>
        <v/>
      </c>
      <c r="L152">
        <f>IFERROR(INDEX(ExchangeConfirms!$H$2:$H$460,MATCH($A152,ExchangeConfirms!$A$2:$A$460,0)),"")</f>
        <v/>
      </c>
      <c r="M152">
        <f>IFERROR(INDEX(InternalTrades!$J$2:$J$461,MATCH($A152,InternalTrades!$A$2:$A$461,0)),"")</f>
        <v/>
      </c>
      <c r="N152">
        <f>IFERROR(INDEX(ExchangeConfirms!$J$2:$J$460,MATCH($A152,ExchangeConfirms!$A$2:$A$460,0)),"")</f>
        <v/>
      </c>
      <c r="O152">
        <f>IFERROR(INDEX(InternalTrades!$I$2:$I$461,MATCH($A152,InternalTrades!$A$2:$A$461,0)),"")</f>
        <v/>
      </c>
      <c r="P152">
        <f>IFERROR(INDEX(ExchangeConfirms!$I$2:$I$460,MATCH($A152,ExchangeConfirms!$A$2:$A$460,0)),"")</f>
        <v/>
      </c>
      <c r="Q152">
        <f>IF(AND($E152=1,$F152=0),"MISSING IN EXCHANGE",IF(AND($E152=0,$F152=1),"MISSING IN INTERNAL",IF($G152&lt;&gt;$H152,"SIDE BREAK",IF($I152&lt;&gt;$J152,"QTY BREAK",IF(ABS($K152-$L152)&gt;0.005,"PRICE BREAK",IF(ABS($M152-$N152)&gt;0.01,"FEE BREAK","MATCHED"))))))</f>
        <v/>
      </c>
      <c r="R152">
        <f>IF($Q152="MATCHED",0,1)</f>
        <v/>
      </c>
      <c r="S152">
        <f>IF($Q152="MATCHED",0,IF($Q152="MISSING IN EXCHANGE",$O152,IF($Q152="MISSING IN INTERNAL",$P152,ABS(N($O152)-N($P152)))))</f>
        <v/>
      </c>
    </row>
    <row r="153">
      <c r="A153" t="inlineStr">
        <is>
          <t>T100152</t>
        </is>
      </c>
      <c r="B153">
        <f>IFERROR(INDEX(InternalTrades!$D$2:$D$461,MATCH($A153,InternalTrades!$A$2:$A$461,0)),INDEX(ExchangeConfirms!$D$2:$D$460,MATCH($A153,ExchangeConfirms!$A$2:$A$460,0)))</f>
        <v/>
      </c>
      <c r="C153">
        <f>IFERROR(INDEX(InternalTrades!$E$2:$E$461,MATCH($A153,InternalTrades!$A$2:$A$461,0)),INDEX(ExchangeConfirms!$E$2:$E$460,MATCH($A153,ExchangeConfirms!$A$2:$A$460,0)))</f>
        <v/>
      </c>
      <c r="D153">
        <f>IFERROR(INDEX(InternalTrades!$K$2:$K$461,MATCH($A153,InternalTrades!$A$2:$A$461,0)),INDEX(ExchangeConfirms!$K$2:$K$460,MATCH($A153,ExchangeConfirms!$A$2:$A$460,0)))</f>
        <v/>
      </c>
      <c r="E153">
        <f>IF(COUNTIF(InternalTrades!$A$2:$A$461,$A153)&gt;0,1,0)</f>
        <v/>
      </c>
      <c r="F153">
        <f>IF(COUNTIF(ExchangeConfirms!$A$2:$A$460,$A153)&gt;0,1,0)</f>
        <v/>
      </c>
      <c r="G153">
        <f>IFERROR(INDEX(InternalTrades!$F$2:$F$461,MATCH($A153,InternalTrades!$A$2:$A$461,0)),"")</f>
        <v/>
      </c>
      <c r="H153">
        <f>IFERROR(INDEX(ExchangeConfirms!$F$2:$F$460,MATCH($A153,ExchangeConfirms!$A$2:$A$460,0)),"")</f>
        <v/>
      </c>
      <c r="I153">
        <f>IFERROR(INDEX(InternalTrades!$G$2:$G$461,MATCH($A153,InternalTrades!$A$2:$A$461,0)),"")</f>
        <v/>
      </c>
      <c r="J153">
        <f>IFERROR(INDEX(ExchangeConfirms!$G$2:$G$460,MATCH($A153,ExchangeConfirms!$A$2:$A$460,0)),"")</f>
        <v/>
      </c>
      <c r="K153">
        <f>IFERROR(INDEX(InternalTrades!$H$2:$H$461,MATCH($A153,InternalTrades!$A$2:$A$461,0)),"")</f>
        <v/>
      </c>
      <c r="L153">
        <f>IFERROR(INDEX(ExchangeConfirms!$H$2:$H$460,MATCH($A153,ExchangeConfirms!$A$2:$A$460,0)),"")</f>
        <v/>
      </c>
      <c r="M153">
        <f>IFERROR(INDEX(InternalTrades!$J$2:$J$461,MATCH($A153,InternalTrades!$A$2:$A$461,0)),"")</f>
        <v/>
      </c>
      <c r="N153">
        <f>IFERROR(INDEX(ExchangeConfirms!$J$2:$J$460,MATCH($A153,ExchangeConfirms!$A$2:$A$460,0)),"")</f>
        <v/>
      </c>
      <c r="O153">
        <f>IFERROR(INDEX(InternalTrades!$I$2:$I$461,MATCH($A153,InternalTrades!$A$2:$A$461,0)),"")</f>
        <v/>
      </c>
      <c r="P153">
        <f>IFERROR(INDEX(ExchangeConfirms!$I$2:$I$460,MATCH($A153,ExchangeConfirms!$A$2:$A$460,0)),"")</f>
        <v/>
      </c>
      <c r="Q153">
        <f>IF(AND($E153=1,$F153=0),"MISSING IN EXCHANGE",IF(AND($E153=0,$F153=1),"MISSING IN INTERNAL",IF($G153&lt;&gt;$H153,"SIDE BREAK",IF($I153&lt;&gt;$J153,"QTY BREAK",IF(ABS($K153-$L153)&gt;0.005,"PRICE BREAK",IF(ABS($M153-$N153)&gt;0.01,"FEE BREAK","MATCHED"))))))</f>
        <v/>
      </c>
      <c r="R153">
        <f>IF($Q153="MATCHED",0,1)</f>
        <v/>
      </c>
      <c r="S153">
        <f>IF($Q153="MATCHED",0,IF($Q153="MISSING IN EXCHANGE",$O153,IF($Q153="MISSING IN INTERNAL",$P153,ABS(N($O153)-N($P153)))))</f>
        <v/>
      </c>
    </row>
    <row r="154">
      <c r="A154" t="inlineStr">
        <is>
          <t>T100153</t>
        </is>
      </c>
      <c r="B154">
        <f>IFERROR(INDEX(InternalTrades!$D$2:$D$461,MATCH($A154,InternalTrades!$A$2:$A$461,0)),INDEX(ExchangeConfirms!$D$2:$D$460,MATCH($A154,ExchangeConfirms!$A$2:$A$460,0)))</f>
        <v/>
      </c>
      <c r="C154">
        <f>IFERROR(INDEX(InternalTrades!$E$2:$E$461,MATCH($A154,InternalTrades!$A$2:$A$461,0)),INDEX(ExchangeConfirms!$E$2:$E$460,MATCH($A154,ExchangeConfirms!$A$2:$A$460,0)))</f>
        <v/>
      </c>
      <c r="D154">
        <f>IFERROR(INDEX(InternalTrades!$K$2:$K$461,MATCH($A154,InternalTrades!$A$2:$A$461,0)),INDEX(ExchangeConfirms!$K$2:$K$460,MATCH($A154,ExchangeConfirms!$A$2:$A$460,0)))</f>
        <v/>
      </c>
      <c r="E154">
        <f>IF(COUNTIF(InternalTrades!$A$2:$A$461,$A154)&gt;0,1,0)</f>
        <v/>
      </c>
      <c r="F154">
        <f>IF(COUNTIF(ExchangeConfirms!$A$2:$A$460,$A154)&gt;0,1,0)</f>
        <v/>
      </c>
      <c r="G154">
        <f>IFERROR(INDEX(InternalTrades!$F$2:$F$461,MATCH($A154,InternalTrades!$A$2:$A$461,0)),"")</f>
        <v/>
      </c>
      <c r="H154">
        <f>IFERROR(INDEX(ExchangeConfirms!$F$2:$F$460,MATCH($A154,ExchangeConfirms!$A$2:$A$460,0)),"")</f>
        <v/>
      </c>
      <c r="I154">
        <f>IFERROR(INDEX(InternalTrades!$G$2:$G$461,MATCH($A154,InternalTrades!$A$2:$A$461,0)),"")</f>
        <v/>
      </c>
      <c r="J154">
        <f>IFERROR(INDEX(ExchangeConfirms!$G$2:$G$460,MATCH($A154,ExchangeConfirms!$A$2:$A$460,0)),"")</f>
        <v/>
      </c>
      <c r="K154">
        <f>IFERROR(INDEX(InternalTrades!$H$2:$H$461,MATCH($A154,InternalTrades!$A$2:$A$461,0)),"")</f>
        <v/>
      </c>
      <c r="L154">
        <f>IFERROR(INDEX(ExchangeConfirms!$H$2:$H$460,MATCH($A154,ExchangeConfirms!$A$2:$A$460,0)),"")</f>
        <v/>
      </c>
      <c r="M154">
        <f>IFERROR(INDEX(InternalTrades!$J$2:$J$461,MATCH($A154,InternalTrades!$A$2:$A$461,0)),"")</f>
        <v/>
      </c>
      <c r="N154">
        <f>IFERROR(INDEX(ExchangeConfirms!$J$2:$J$460,MATCH($A154,ExchangeConfirms!$A$2:$A$460,0)),"")</f>
        <v/>
      </c>
      <c r="O154">
        <f>IFERROR(INDEX(InternalTrades!$I$2:$I$461,MATCH($A154,InternalTrades!$A$2:$A$461,0)),"")</f>
        <v/>
      </c>
      <c r="P154">
        <f>IFERROR(INDEX(ExchangeConfirms!$I$2:$I$460,MATCH($A154,ExchangeConfirms!$A$2:$A$460,0)),"")</f>
        <v/>
      </c>
      <c r="Q154">
        <f>IF(AND($E154=1,$F154=0),"MISSING IN EXCHANGE",IF(AND($E154=0,$F154=1),"MISSING IN INTERNAL",IF($G154&lt;&gt;$H154,"SIDE BREAK",IF($I154&lt;&gt;$J154,"QTY BREAK",IF(ABS($K154-$L154)&gt;0.005,"PRICE BREAK",IF(ABS($M154-$N154)&gt;0.01,"FEE BREAK","MATCHED"))))))</f>
        <v/>
      </c>
      <c r="R154">
        <f>IF($Q154="MATCHED",0,1)</f>
        <v/>
      </c>
      <c r="S154">
        <f>IF($Q154="MATCHED",0,IF($Q154="MISSING IN EXCHANGE",$O154,IF($Q154="MISSING IN INTERNAL",$P154,ABS(N($O154)-N($P154)))))</f>
        <v/>
      </c>
    </row>
    <row r="155">
      <c r="A155" t="inlineStr">
        <is>
          <t>T100154</t>
        </is>
      </c>
      <c r="B155">
        <f>IFERROR(INDEX(InternalTrades!$D$2:$D$461,MATCH($A155,InternalTrades!$A$2:$A$461,0)),INDEX(ExchangeConfirms!$D$2:$D$460,MATCH($A155,ExchangeConfirms!$A$2:$A$460,0)))</f>
        <v/>
      </c>
      <c r="C155">
        <f>IFERROR(INDEX(InternalTrades!$E$2:$E$461,MATCH($A155,InternalTrades!$A$2:$A$461,0)),INDEX(ExchangeConfirms!$E$2:$E$460,MATCH($A155,ExchangeConfirms!$A$2:$A$460,0)))</f>
        <v/>
      </c>
      <c r="D155">
        <f>IFERROR(INDEX(InternalTrades!$K$2:$K$461,MATCH($A155,InternalTrades!$A$2:$A$461,0)),INDEX(ExchangeConfirms!$K$2:$K$460,MATCH($A155,ExchangeConfirms!$A$2:$A$460,0)))</f>
        <v/>
      </c>
      <c r="E155">
        <f>IF(COUNTIF(InternalTrades!$A$2:$A$461,$A155)&gt;0,1,0)</f>
        <v/>
      </c>
      <c r="F155">
        <f>IF(COUNTIF(ExchangeConfirms!$A$2:$A$460,$A155)&gt;0,1,0)</f>
        <v/>
      </c>
      <c r="G155">
        <f>IFERROR(INDEX(InternalTrades!$F$2:$F$461,MATCH($A155,InternalTrades!$A$2:$A$461,0)),"")</f>
        <v/>
      </c>
      <c r="H155">
        <f>IFERROR(INDEX(ExchangeConfirms!$F$2:$F$460,MATCH($A155,ExchangeConfirms!$A$2:$A$460,0)),"")</f>
        <v/>
      </c>
      <c r="I155">
        <f>IFERROR(INDEX(InternalTrades!$G$2:$G$461,MATCH($A155,InternalTrades!$A$2:$A$461,0)),"")</f>
        <v/>
      </c>
      <c r="J155">
        <f>IFERROR(INDEX(ExchangeConfirms!$G$2:$G$460,MATCH($A155,ExchangeConfirms!$A$2:$A$460,0)),"")</f>
        <v/>
      </c>
      <c r="K155">
        <f>IFERROR(INDEX(InternalTrades!$H$2:$H$461,MATCH($A155,InternalTrades!$A$2:$A$461,0)),"")</f>
        <v/>
      </c>
      <c r="L155">
        <f>IFERROR(INDEX(ExchangeConfirms!$H$2:$H$460,MATCH($A155,ExchangeConfirms!$A$2:$A$460,0)),"")</f>
        <v/>
      </c>
      <c r="M155">
        <f>IFERROR(INDEX(InternalTrades!$J$2:$J$461,MATCH($A155,InternalTrades!$A$2:$A$461,0)),"")</f>
        <v/>
      </c>
      <c r="N155">
        <f>IFERROR(INDEX(ExchangeConfirms!$J$2:$J$460,MATCH($A155,ExchangeConfirms!$A$2:$A$460,0)),"")</f>
        <v/>
      </c>
      <c r="O155">
        <f>IFERROR(INDEX(InternalTrades!$I$2:$I$461,MATCH($A155,InternalTrades!$A$2:$A$461,0)),"")</f>
        <v/>
      </c>
      <c r="P155">
        <f>IFERROR(INDEX(ExchangeConfirms!$I$2:$I$460,MATCH($A155,ExchangeConfirms!$A$2:$A$460,0)),"")</f>
        <v/>
      </c>
      <c r="Q155">
        <f>IF(AND($E155=1,$F155=0),"MISSING IN EXCHANGE",IF(AND($E155=0,$F155=1),"MISSING IN INTERNAL",IF($G155&lt;&gt;$H155,"SIDE BREAK",IF($I155&lt;&gt;$J155,"QTY BREAK",IF(ABS($K155-$L155)&gt;0.005,"PRICE BREAK",IF(ABS($M155-$N155)&gt;0.01,"FEE BREAK","MATCHED"))))))</f>
        <v/>
      </c>
      <c r="R155">
        <f>IF($Q155="MATCHED",0,1)</f>
        <v/>
      </c>
      <c r="S155">
        <f>IF($Q155="MATCHED",0,IF($Q155="MISSING IN EXCHANGE",$O155,IF($Q155="MISSING IN INTERNAL",$P155,ABS(N($O155)-N($P155)))))</f>
        <v/>
      </c>
    </row>
    <row r="156">
      <c r="A156" t="inlineStr">
        <is>
          <t>T100155</t>
        </is>
      </c>
      <c r="B156">
        <f>IFERROR(INDEX(InternalTrades!$D$2:$D$461,MATCH($A156,InternalTrades!$A$2:$A$461,0)),INDEX(ExchangeConfirms!$D$2:$D$460,MATCH($A156,ExchangeConfirms!$A$2:$A$460,0)))</f>
        <v/>
      </c>
      <c r="C156">
        <f>IFERROR(INDEX(InternalTrades!$E$2:$E$461,MATCH($A156,InternalTrades!$A$2:$A$461,0)),INDEX(ExchangeConfirms!$E$2:$E$460,MATCH($A156,ExchangeConfirms!$A$2:$A$460,0)))</f>
        <v/>
      </c>
      <c r="D156">
        <f>IFERROR(INDEX(InternalTrades!$K$2:$K$461,MATCH($A156,InternalTrades!$A$2:$A$461,0)),INDEX(ExchangeConfirms!$K$2:$K$460,MATCH($A156,ExchangeConfirms!$A$2:$A$460,0)))</f>
        <v/>
      </c>
      <c r="E156">
        <f>IF(COUNTIF(InternalTrades!$A$2:$A$461,$A156)&gt;0,1,0)</f>
        <v/>
      </c>
      <c r="F156">
        <f>IF(COUNTIF(ExchangeConfirms!$A$2:$A$460,$A156)&gt;0,1,0)</f>
        <v/>
      </c>
      <c r="G156">
        <f>IFERROR(INDEX(InternalTrades!$F$2:$F$461,MATCH($A156,InternalTrades!$A$2:$A$461,0)),"")</f>
        <v/>
      </c>
      <c r="H156">
        <f>IFERROR(INDEX(ExchangeConfirms!$F$2:$F$460,MATCH($A156,ExchangeConfirms!$A$2:$A$460,0)),"")</f>
        <v/>
      </c>
      <c r="I156">
        <f>IFERROR(INDEX(InternalTrades!$G$2:$G$461,MATCH($A156,InternalTrades!$A$2:$A$461,0)),"")</f>
        <v/>
      </c>
      <c r="J156">
        <f>IFERROR(INDEX(ExchangeConfirms!$G$2:$G$460,MATCH($A156,ExchangeConfirms!$A$2:$A$460,0)),"")</f>
        <v/>
      </c>
      <c r="K156">
        <f>IFERROR(INDEX(InternalTrades!$H$2:$H$461,MATCH($A156,InternalTrades!$A$2:$A$461,0)),"")</f>
        <v/>
      </c>
      <c r="L156">
        <f>IFERROR(INDEX(ExchangeConfirms!$H$2:$H$460,MATCH($A156,ExchangeConfirms!$A$2:$A$460,0)),"")</f>
        <v/>
      </c>
      <c r="M156">
        <f>IFERROR(INDEX(InternalTrades!$J$2:$J$461,MATCH($A156,InternalTrades!$A$2:$A$461,0)),"")</f>
        <v/>
      </c>
      <c r="N156">
        <f>IFERROR(INDEX(ExchangeConfirms!$J$2:$J$460,MATCH($A156,ExchangeConfirms!$A$2:$A$460,0)),"")</f>
        <v/>
      </c>
      <c r="O156">
        <f>IFERROR(INDEX(InternalTrades!$I$2:$I$461,MATCH($A156,InternalTrades!$A$2:$A$461,0)),"")</f>
        <v/>
      </c>
      <c r="P156">
        <f>IFERROR(INDEX(ExchangeConfirms!$I$2:$I$460,MATCH($A156,ExchangeConfirms!$A$2:$A$460,0)),"")</f>
        <v/>
      </c>
      <c r="Q156">
        <f>IF(AND($E156=1,$F156=0),"MISSING IN EXCHANGE",IF(AND($E156=0,$F156=1),"MISSING IN INTERNAL",IF($G156&lt;&gt;$H156,"SIDE BREAK",IF($I156&lt;&gt;$J156,"QTY BREAK",IF(ABS($K156-$L156)&gt;0.005,"PRICE BREAK",IF(ABS($M156-$N156)&gt;0.01,"FEE BREAK","MATCHED"))))))</f>
        <v/>
      </c>
      <c r="R156">
        <f>IF($Q156="MATCHED",0,1)</f>
        <v/>
      </c>
      <c r="S156">
        <f>IF($Q156="MATCHED",0,IF($Q156="MISSING IN EXCHANGE",$O156,IF($Q156="MISSING IN INTERNAL",$P156,ABS(N($O156)-N($P156)))))</f>
        <v/>
      </c>
    </row>
    <row r="157">
      <c r="A157" t="inlineStr">
        <is>
          <t>T100156</t>
        </is>
      </c>
      <c r="B157">
        <f>IFERROR(INDEX(InternalTrades!$D$2:$D$461,MATCH($A157,InternalTrades!$A$2:$A$461,0)),INDEX(ExchangeConfirms!$D$2:$D$460,MATCH($A157,ExchangeConfirms!$A$2:$A$460,0)))</f>
        <v/>
      </c>
      <c r="C157">
        <f>IFERROR(INDEX(InternalTrades!$E$2:$E$461,MATCH($A157,InternalTrades!$A$2:$A$461,0)),INDEX(ExchangeConfirms!$E$2:$E$460,MATCH($A157,ExchangeConfirms!$A$2:$A$460,0)))</f>
        <v/>
      </c>
      <c r="D157">
        <f>IFERROR(INDEX(InternalTrades!$K$2:$K$461,MATCH($A157,InternalTrades!$A$2:$A$461,0)),INDEX(ExchangeConfirms!$K$2:$K$460,MATCH($A157,ExchangeConfirms!$A$2:$A$460,0)))</f>
        <v/>
      </c>
      <c r="E157">
        <f>IF(COUNTIF(InternalTrades!$A$2:$A$461,$A157)&gt;0,1,0)</f>
        <v/>
      </c>
      <c r="F157">
        <f>IF(COUNTIF(ExchangeConfirms!$A$2:$A$460,$A157)&gt;0,1,0)</f>
        <v/>
      </c>
      <c r="G157">
        <f>IFERROR(INDEX(InternalTrades!$F$2:$F$461,MATCH($A157,InternalTrades!$A$2:$A$461,0)),"")</f>
        <v/>
      </c>
      <c r="H157">
        <f>IFERROR(INDEX(ExchangeConfirms!$F$2:$F$460,MATCH($A157,ExchangeConfirms!$A$2:$A$460,0)),"")</f>
        <v/>
      </c>
      <c r="I157">
        <f>IFERROR(INDEX(InternalTrades!$G$2:$G$461,MATCH($A157,InternalTrades!$A$2:$A$461,0)),"")</f>
        <v/>
      </c>
      <c r="J157">
        <f>IFERROR(INDEX(ExchangeConfirms!$G$2:$G$460,MATCH($A157,ExchangeConfirms!$A$2:$A$460,0)),"")</f>
        <v/>
      </c>
      <c r="K157">
        <f>IFERROR(INDEX(InternalTrades!$H$2:$H$461,MATCH($A157,InternalTrades!$A$2:$A$461,0)),"")</f>
        <v/>
      </c>
      <c r="L157">
        <f>IFERROR(INDEX(ExchangeConfirms!$H$2:$H$460,MATCH($A157,ExchangeConfirms!$A$2:$A$460,0)),"")</f>
        <v/>
      </c>
      <c r="M157">
        <f>IFERROR(INDEX(InternalTrades!$J$2:$J$461,MATCH($A157,InternalTrades!$A$2:$A$461,0)),"")</f>
        <v/>
      </c>
      <c r="N157">
        <f>IFERROR(INDEX(ExchangeConfirms!$J$2:$J$460,MATCH($A157,ExchangeConfirms!$A$2:$A$460,0)),"")</f>
        <v/>
      </c>
      <c r="O157">
        <f>IFERROR(INDEX(InternalTrades!$I$2:$I$461,MATCH($A157,InternalTrades!$A$2:$A$461,0)),"")</f>
        <v/>
      </c>
      <c r="P157">
        <f>IFERROR(INDEX(ExchangeConfirms!$I$2:$I$460,MATCH($A157,ExchangeConfirms!$A$2:$A$460,0)),"")</f>
        <v/>
      </c>
      <c r="Q157">
        <f>IF(AND($E157=1,$F157=0),"MISSING IN EXCHANGE",IF(AND($E157=0,$F157=1),"MISSING IN INTERNAL",IF($G157&lt;&gt;$H157,"SIDE BREAK",IF($I157&lt;&gt;$J157,"QTY BREAK",IF(ABS($K157-$L157)&gt;0.005,"PRICE BREAK",IF(ABS($M157-$N157)&gt;0.01,"FEE BREAK","MATCHED"))))))</f>
        <v/>
      </c>
      <c r="R157">
        <f>IF($Q157="MATCHED",0,1)</f>
        <v/>
      </c>
      <c r="S157">
        <f>IF($Q157="MATCHED",0,IF($Q157="MISSING IN EXCHANGE",$O157,IF($Q157="MISSING IN INTERNAL",$P157,ABS(N($O157)-N($P157)))))</f>
        <v/>
      </c>
    </row>
    <row r="158">
      <c r="A158" t="inlineStr">
        <is>
          <t>T100157</t>
        </is>
      </c>
      <c r="B158">
        <f>IFERROR(INDEX(InternalTrades!$D$2:$D$461,MATCH($A158,InternalTrades!$A$2:$A$461,0)),INDEX(ExchangeConfirms!$D$2:$D$460,MATCH($A158,ExchangeConfirms!$A$2:$A$460,0)))</f>
        <v/>
      </c>
      <c r="C158">
        <f>IFERROR(INDEX(InternalTrades!$E$2:$E$461,MATCH($A158,InternalTrades!$A$2:$A$461,0)),INDEX(ExchangeConfirms!$E$2:$E$460,MATCH($A158,ExchangeConfirms!$A$2:$A$460,0)))</f>
        <v/>
      </c>
      <c r="D158">
        <f>IFERROR(INDEX(InternalTrades!$K$2:$K$461,MATCH($A158,InternalTrades!$A$2:$A$461,0)),INDEX(ExchangeConfirms!$K$2:$K$460,MATCH($A158,ExchangeConfirms!$A$2:$A$460,0)))</f>
        <v/>
      </c>
      <c r="E158">
        <f>IF(COUNTIF(InternalTrades!$A$2:$A$461,$A158)&gt;0,1,0)</f>
        <v/>
      </c>
      <c r="F158">
        <f>IF(COUNTIF(ExchangeConfirms!$A$2:$A$460,$A158)&gt;0,1,0)</f>
        <v/>
      </c>
      <c r="G158">
        <f>IFERROR(INDEX(InternalTrades!$F$2:$F$461,MATCH($A158,InternalTrades!$A$2:$A$461,0)),"")</f>
        <v/>
      </c>
      <c r="H158">
        <f>IFERROR(INDEX(ExchangeConfirms!$F$2:$F$460,MATCH($A158,ExchangeConfirms!$A$2:$A$460,0)),"")</f>
        <v/>
      </c>
      <c r="I158">
        <f>IFERROR(INDEX(InternalTrades!$G$2:$G$461,MATCH($A158,InternalTrades!$A$2:$A$461,0)),"")</f>
        <v/>
      </c>
      <c r="J158">
        <f>IFERROR(INDEX(ExchangeConfirms!$G$2:$G$460,MATCH($A158,ExchangeConfirms!$A$2:$A$460,0)),"")</f>
        <v/>
      </c>
      <c r="K158">
        <f>IFERROR(INDEX(InternalTrades!$H$2:$H$461,MATCH($A158,InternalTrades!$A$2:$A$461,0)),"")</f>
        <v/>
      </c>
      <c r="L158">
        <f>IFERROR(INDEX(ExchangeConfirms!$H$2:$H$460,MATCH($A158,ExchangeConfirms!$A$2:$A$460,0)),"")</f>
        <v/>
      </c>
      <c r="M158">
        <f>IFERROR(INDEX(InternalTrades!$J$2:$J$461,MATCH($A158,InternalTrades!$A$2:$A$461,0)),"")</f>
        <v/>
      </c>
      <c r="N158">
        <f>IFERROR(INDEX(ExchangeConfirms!$J$2:$J$460,MATCH($A158,ExchangeConfirms!$A$2:$A$460,0)),"")</f>
        <v/>
      </c>
      <c r="O158">
        <f>IFERROR(INDEX(InternalTrades!$I$2:$I$461,MATCH($A158,InternalTrades!$A$2:$A$461,0)),"")</f>
        <v/>
      </c>
      <c r="P158">
        <f>IFERROR(INDEX(ExchangeConfirms!$I$2:$I$460,MATCH($A158,ExchangeConfirms!$A$2:$A$460,0)),"")</f>
        <v/>
      </c>
      <c r="Q158">
        <f>IF(AND($E158=1,$F158=0),"MISSING IN EXCHANGE",IF(AND($E158=0,$F158=1),"MISSING IN INTERNAL",IF($G158&lt;&gt;$H158,"SIDE BREAK",IF($I158&lt;&gt;$J158,"QTY BREAK",IF(ABS($K158-$L158)&gt;0.005,"PRICE BREAK",IF(ABS($M158-$N158)&gt;0.01,"FEE BREAK","MATCHED"))))))</f>
        <v/>
      </c>
      <c r="R158">
        <f>IF($Q158="MATCHED",0,1)</f>
        <v/>
      </c>
      <c r="S158">
        <f>IF($Q158="MATCHED",0,IF($Q158="MISSING IN EXCHANGE",$O158,IF($Q158="MISSING IN INTERNAL",$P158,ABS(N($O158)-N($P158)))))</f>
        <v/>
      </c>
    </row>
    <row r="159">
      <c r="A159" t="inlineStr">
        <is>
          <t>T100158</t>
        </is>
      </c>
      <c r="B159">
        <f>IFERROR(INDEX(InternalTrades!$D$2:$D$461,MATCH($A159,InternalTrades!$A$2:$A$461,0)),INDEX(ExchangeConfirms!$D$2:$D$460,MATCH($A159,ExchangeConfirms!$A$2:$A$460,0)))</f>
        <v/>
      </c>
      <c r="C159">
        <f>IFERROR(INDEX(InternalTrades!$E$2:$E$461,MATCH($A159,InternalTrades!$A$2:$A$461,0)),INDEX(ExchangeConfirms!$E$2:$E$460,MATCH($A159,ExchangeConfirms!$A$2:$A$460,0)))</f>
        <v/>
      </c>
      <c r="D159">
        <f>IFERROR(INDEX(InternalTrades!$K$2:$K$461,MATCH($A159,InternalTrades!$A$2:$A$461,0)),INDEX(ExchangeConfirms!$K$2:$K$460,MATCH($A159,ExchangeConfirms!$A$2:$A$460,0)))</f>
        <v/>
      </c>
      <c r="E159">
        <f>IF(COUNTIF(InternalTrades!$A$2:$A$461,$A159)&gt;0,1,0)</f>
        <v/>
      </c>
      <c r="F159">
        <f>IF(COUNTIF(ExchangeConfirms!$A$2:$A$460,$A159)&gt;0,1,0)</f>
        <v/>
      </c>
      <c r="G159">
        <f>IFERROR(INDEX(InternalTrades!$F$2:$F$461,MATCH($A159,InternalTrades!$A$2:$A$461,0)),"")</f>
        <v/>
      </c>
      <c r="H159">
        <f>IFERROR(INDEX(ExchangeConfirms!$F$2:$F$460,MATCH($A159,ExchangeConfirms!$A$2:$A$460,0)),"")</f>
        <v/>
      </c>
      <c r="I159">
        <f>IFERROR(INDEX(InternalTrades!$G$2:$G$461,MATCH($A159,InternalTrades!$A$2:$A$461,0)),"")</f>
        <v/>
      </c>
      <c r="J159">
        <f>IFERROR(INDEX(ExchangeConfirms!$G$2:$G$460,MATCH($A159,ExchangeConfirms!$A$2:$A$460,0)),"")</f>
        <v/>
      </c>
      <c r="K159">
        <f>IFERROR(INDEX(InternalTrades!$H$2:$H$461,MATCH($A159,InternalTrades!$A$2:$A$461,0)),"")</f>
        <v/>
      </c>
      <c r="L159">
        <f>IFERROR(INDEX(ExchangeConfirms!$H$2:$H$460,MATCH($A159,ExchangeConfirms!$A$2:$A$460,0)),"")</f>
        <v/>
      </c>
      <c r="M159">
        <f>IFERROR(INDEX(InternalTrades!$J$2:$J$461,MATCH($A159,InternalTrades!$A$2:$A$461,0)),"")</f>
        <v/>
      </c>
      <c r="N159">
        <f>IFERROR(INDEX(ExchangeConfirms!$J$2:$J$460,MATCH($A159,ExchangeConfirms!$A$2:$A$460,0)),"")</f>
        <v/>
      </c>
      <c r="O159">
        <f>IFERROR(INDEX(InternalTrades!$I$2:$I$461,MATCH($A159,InternalTrades!$A$2:$A$461,0)),"")</f>
        <v/>
      </c>
      <c r="P159">
        <f>IFERROR(INDEX(ExchangeConfirms!$I$2:$I$460,MATCH($A159,ExchangeConfirms!$A$2:$A$460,0)),"")</f>
        <v/>
      </c>
      <c r="Q159">
        <f>IF(AND($E159=1,$F159=0),"MISSING IN EXCHANGE",IF(AND($E159=0,$F159=1),"MISSING IN INTERNAL",IF($G159&lt;&gt;$H159,"SIDE BREAK",IF($I159&lt;&gt;$J159,"QTY BREAK",IF(ABS($K159-$L159)&gt;0.005,"PRICE BREAK",IF(ABS($M159-$N159)&gt;0.01,"FEE BREAK","MATCHED"))))))</f>
        <v/>
      </c>
      <c r="R159">
        <f>IF($Q159="MATCHED",0,1)</f>
        <v/>
      </c>
      <c r="S159">
        <f>IF($Q159="MATCHED",0,IF($Q159="MISSING IN EXCHANGE",$O159,IF($Q159="MISSING IN INTERNAL",$P159,ABS(N($O159)-N($P159)))))</f>
        <v/>
      </c>
    </row>
    <row r="160">
      <c r="A160" t="inlineStr">
        <is>
          <t>T100159</t>
        </is>
      </c>
      <c r="B160">
        <f>IFERROR(INDEX(InternalTrades!$D$2:$D$461,MATCH($A160,InternalTrades!$A$2:$A$461,0)),INDEX(ExchangeConfirms!$D$2:$D$460,MATCH($A160,ExchangeConfirms!$A$2:$A$460,0)))</f>
        <v/>
      </c>
      <c r="C160">
        <f>IFERROR(INDEX(InternalTrades!$E$2:$E$461,MATCH($A160,InternalTrades!$A$2:$A$461,0)),INDEX(ExchangeConfirms!$E$2:$E$460,MATCH($A160,ExchangeConfirms!$A$2:$A$460,0)))</f>
        <v/>
      </c>
      <c r="D160">
        <f>IFERROR(INDEX(InternalTrades!$K$2:$K$461,MATCH($A160,InternalTrades!$A$2:$A$461,0)),INDEX(ExchangeConfirms!$K$2:$K$460,MATCH($A160,ExchangeConfirms!$A$2:$A$460,0)))</f>
        <v/>
      </c>
      <c r="E160">
        <f>IF(COUNTIF(InternalTrades!$A$2:$A$461,$A160)&gt;0,1,0)</f>
        <v/>
      </c>
      <c r="F160">
        <f>IF(COUNTIF(ExchangeConfirms!$A$2:$A$460,$A160)&gt;0,1,0)</f>
        <v/>
      </c>
      <c r="G160">
        <f>IFERROR(INDEX(InternalTrades!$F$2:$F$461,MATCH($A160,InternalTrades!$A$2:$A$461,0)),"")</f>
        <v/>
      </c>
      <c r="H160">
        <f>IFERROR(INDEX(ExchangeConfirms!$F$2:$F$460,MATCH($A160,ExchangeConfirms!$A$2:$A$460,0)),"")</f>
        <v/>
      </c>
      <c r="I160">
        <f>IFERROR(INDEX(InternalTrades!$G$2:$G$461,MATCH($A160,InternalTrades!$A$2:$A$461,0)),"")</f>
        <v/>
      </c>
      <c r="J160">
        <f>IFERROR(INDEX(ExchangeConfirms!$G$2:$G$460,MATCH($A160,ExchangeConfirms!$A$2:$A$460,0)),"")</f>
        <v/>
      </c>
      <c r="K160">
        <f>IFERROR(INDEX(InternalTrades!$H$2:$H$461,MATCH($A160,InternalTrades!$A$2:$A$461,0)),"")</f>
        <v/>
      </c>
      <c r="L160">
        <f>IFERROR(INDEX(ExchangeConfirms!$H$2:$H$460,MATCH($A160,ExchangeConfirms!$A$2:$A$460,0)),"")</f>
        <v/>
      </c>
      <c r="M160">
        <f>IFERROR(INDEX(InternalTrades!$J$2:$J$461,MATCH($A160,InternalTrades!$A$2:$A$461,0)),"")</f>
        <v/>
      </c>
      <c r="N160">
        <f>IFERROR(INDEX(ExchangeConfirms!$J$2:$J$460,MATCH($A160,ExchangeConfirms!$A$2:$A$460,0)),"")</f>
        <v/>
      </c>
      <c r="O160">
        <f>IFERROR(INDEX(InternalTrades!$I$2:$I$461,MATCH($A160,InternalTrades!$A$2:$A$461,0)),"")</f>
        <v/>
      </c>
      <c r="P160">
        <f>IFERROR(INDEX(ExchangeConfirms!$I$2:$I$460,MATCH($A160,ExchangeConfirms!$A$2:$A$460,0)),"")</f>
        <v/>
      </c>
      <c r="Q160">
        <f>IF(AND($E160=1,$F160=0),"MISSING IN EXCHANGE",IF(AND($E160=0,$F160=1),"MISSING IN INTERNAL",IF($G160&lt;&gt;$H160,"SIDE BREAK",IF($I160&lt;&gt;$J160,"QTY BREAK",IF(ABS($K160-$L160)&gt;0.005,"PRICE BREAK",IF(ABS($M160-$N160)&gt;0.01,"FEE BREAK","MATCHED"))))))</f>
        <v/>
      </c>
      <c r="R160">
        <f>IF($Q160="MATCHED",0,1)</f>
        <v/>
      </c>
      <c r="S160">
        <f>IF($Q160="MATCHED",0,IF($Q160="MISSING IN EXCHANGE",$O160,IF($Q160="MISSING IN INTERNAL",$P160,ABS(N($O160)-N($P160)))))</f>
        <v/>
      </c>
    </row>
    <row r="161">
      <c r="A161" t="inlineStr">
        <is>
          <t>T100160</t>
        </is>
      </c>
      <c r="B161">
        <f>IFERROR(INDEX(InternalTrades!$D$2:$D$461,MATCH($A161,InternalTrades!$A$2:$A$461,0)),INDEX(ExchangeConfirms!$D$2:$D$460,MATCH($A161,ExchangeConfirms!$A$2:$A$460,0)))</f>
        <v/>
      </c>
      <c r="C161">
        <f>IFERROR(INDEX(InternalTrades!$E$2:$E$461,MATCH($A161,InternalTrades!$A$2:$A$461,0)),INDEX(ExchangeConfirms!$E$2:$E$460,MATCH($A161,ExchangeConfirms!$A$2:$A$460,0)))</f>
        <v/>
      </c>
      <c r="D161">
        <f>IFERROR(INDEX(InternalTrades!$K$2:$K$461,MATCH($A161,InternalTrades!$A$2:$A$461,0)),INDEX(ExchangeConfirms!$K$2:$K$460,MATCH($A161,ExchangeConfirms!$A$2:$A$460,0)))</f>
        <v/>
      </c>
      <c r="E161">
        <f>IF(COUNTIF(InternalTrades!$A$2:$A$461,$A161)&gt;0,1,0)</f>
        <v/>
      </c>
      <c r="F161">
        <f>IF(COUNTIF(ExchangeConfirms!$A$2:$A$460,$A161)&gt;0,1,0)</f>
        <v/>
      </c>
      <c r="G161">
        <f>IFERROR(INDEX(InternalTrades!$F$2:$F$461,MATCH($A161,InternalTrades!$A$2:$A$461,0)),"")</f>
        <v/>
      </c>
      <c r="H161">
        <f>IFERROR(INDEX(ExchangeConfirms!$F$2:$F$460,MATCH($A161,ExchangeConfirms!$A$2:$A$460,0)),"")</f>
        <v/>
      </c>
      <c r="I161">
        <f>IFERROR(INDEX(InternalTrades!$G$2:$G$461,MATCH($A161,InternalTrades!$A$2:$A$461,0)),"")</f>
        <v/>
      </c>
      <c r="J161">
        <f>IFERROR(INDEX(ExchangeConfirms!$G$2:$G$460,MATCH($A161,ExchangeConfirms!$A$2:$A$460,0)),"")</f>
        <v/>
      </c>
      <c r="K161">
        <f>IFERROR(INDEX(InternalTrades!$H$2:$H$461,MATCH($A161,InternalTrades!$A$2:$A$461,0)),"")</f>
        <v/>
      </c>
      <c r="L161">
        <f>IFERROR(INDEX(ExchangeConfirms!$H$2:$H$460,MATCH($A161,ExchangeConfirms!$A$2:$A$460,0)),"")</f>
        <v/>
      </c>
      <c r="M161">
        <f>IFERROR(INDEX(InternalTrades!$J$2:$J$461,MATCH($A161,InternalTrades!$A$2:$A$461,0)),"")</f>
        <v/>
      </c>
      <c r="N161">
        <f>IFERROR(INDEX(ExchangeConfirms!$J$2:$J$460,MATCH($A161,ExchangeConfirms!$A$2:$A$460,0)),"")</f>
        <v/>
      </c>
      <c r="O161">
        <f>IFERROR(INDEX(InternalTrades!$I$2:$I$461,MATCH($A161,InternalTrades!$A$2:$A$461,0)),"")</f>
        <v/>
      </c>
      <c r="P161">
        <f>IFERROR(INDEX(ExchangeConfirms!$I$2:$I$460,MATCH($A161,ExchangeConfirms!$A$2:$A$460,0)),"")</f>
        <v/>
      </c>
      <c r="Q161">
        <f>IF(AND($E161=1,$F161=0),"MISSING IN EXCHANGE",IF(AND($E161=0,$F161=1),"MISSING IN INTERNAL",IF($G161&lt;&gt;$H161,"SIDE BREAK",IF($I161&lt;&gt;$J161,"QTY BREAK",IF(ABS($K161-$L161)&gt;0.005,"PRICE BREAK",IF(ABS($M161-$N161)&gt;0.01,"FEE BREAK","MATCHED"))))))</f>
        <v/>
      </c>
      <c r="R161">
        <f>IF($Q161="MATCHED",0,1)</f>
        <v/>
      </c>
      <c r="S161">
        <f>IF($Q161="MATCHED",0,IF($Q161="MISSING IN EXCHANGE",$O161,IF($Q161="MISSING IN INTERNAL",$P161,ABS(N($O161)-N($P161)))))</f>
        <v/>
      </c>
    </row>
    <row r="162">
      <c r="A162" t="inlineStr">
        <is>
          <t>T100161</t>
        </is>
      </c>
      <c r="B162">
        <f>IFERROR(INDEX(InternalTrades!$D$2:$D$461,MATCH($A162,InternalTrades!$A$2:$A$461,0)),INDEX(ExchangeConfirms!$D$2:$D$460,MATCH($A162,ExchangeConfirms!$A$2:$A$460,0)))</f>
        <v/>
      </c>
      <c r="C162">
        <f>IFERROR(INDEX(InternalTrades!$E$2:$E$461,MATCH($A162,InternalTrades!$A$2:$A$461,0)),INDEX(ExchangeConfirms!$E$2:$E$460,MATCH($A162,ExchangeConfirms!$A$2:$A$460,0)))</f>
        <v/>
      </c>
      <c r="D162">
        <f>IFERROR(INDEX(InternalTrades!$K$2:$K$461,MATCH($A162,InternalTrades!$A$2:$A$461,0)),INDEX(ExchangeConfirms!$K$2:$K$460,MATCH($A162,ExchangeConfirms!$A$2:$A$460,0)))</f>
        <v/>
      </c>
      <c r="E162">
        <f>IF(COUNTIF(InternalTrades!$A$2:$A$461,$A162)&gt;0,1,0)</f>
        <v/>
      </c>
      <c r="F162">
        <f>IF(COUNTIF(ExchangeConfirms!$A$2:$A$460,$A162)&gt;0,1,0)</f>
        <v/>
      </c>
      <c r="G162">
        <f>IFERROR(INDEX(InternalTrades!$F$2:$F$461,MATCH($A162,InternalTrades!$A$2:$A$461,0)),"")</f>
        <v/>
      </c>
      <c r="H162">
        <f>IFERROR(INDEX(ExchangeConfirms!$F$2:$F$460,MATCH($A162,ExchangeConfirms!$A$2:$A$460,0)),"")</f>
        <v/>
      </c>
      <c r="I162">
        <f>IFERROR(INDEX(InternalTrades!$G$2:$G$461,MATCH($A162,InternalTrades!$A$2:$A$461,0)),"")</f>
        <v/>
      </c>
      <c r="J162">
        <f>IFERROR(INDEX(ExchangeConfirms!$G$2:$G$460,MATCH($A162,ExchangeConfirms!$A$2:$A$460,0)),"")</f>
        <v/>
      </c>
      <c r="K162">
        <f>IFERROR(INDEX(InternalTrades!$H$2:$H$461,MATCH($A162,InternalTrades!$A$2:$A$461,0)),"")</f>
        <v/>
      </c>
      <c r="L162">
        <f>IFERROR(INDEX(ExchangeConfirms!$H$2:$H$460,MATCH($A162,ExchangeConfirms!$A$2:$A$460,0)),"")</f>
        <v/>
      </c>
      <c r="M162">
        <f>IFERROR(INDEX(InternalTrades!$J$2:$J$461,MATCH($A162,InternalTrades!$A$2:$A$461,0)),"")</f>
        <v/>
      </c>
      <c r="N162">
        <f>IFERROR(INDEX(ExchangeConfirms!$J$2:$J$460,MATCH($A162,ExchangeConfirms!$A$2:$A$460,0)),"")</f>
        <v/>
      </c>
      <c r="O162">
        <f>IFERROR(INDEX(InternalTrades!$I$2:$I$461,MATCH($A162,InternalTrades!$A$2:$A$461,0)),"")</f>
        <v/>
      </c>
      <c r="P162">
        <f>IFERROR(INDEX(ExchangeConfirms!$I$2:$I$460,MATCH($A162,ExchangeConfirms!$A$2:$A$460,0)),"")</f>
        <v/>
      </c>
      <c r="Q162">
        <f>IF(AND($E162=1,$F162=0),"MISSING IN EXCHANGE",IF(AND($E162=0,$F162=1),"MISSING IN INTERNAL",IF($G162&lt;&gt;$H162,"SIDE BREAK",IF($I162&lt;&gt;$J162,"QTY BREAK",IF(ABS($K162-$L162)&gt;0.005,"PRICE BREAK",IF(ABS($M162-$N162)&gt;0.01,"FEE BREAK","MATCHED"))))))</f>
        <v/>
      </c>
      <c r="R162">
        <f>IF($Q162="MATCHED",0,1)</f>
        <v/>
      </c>
      <c r="S162">
        <f>IF($Q162="MATCHED",0,IF($Q162="MISSING IN EXCHANGE",$O162,IF($Q162="MISSING IN INTERNAL",$P162,ABS(N($O162)-N($P162)))))</f>
        <v/>
      </c>
    </row>
    <row r="163">
      <c r="A163" t="inlineStr">
        <is>
          <t>T100162</t>
        </is>
      </c>
      <c r="B163">
        <f>IFERROR(INDEX(InternalTrades!$D$2:$D$461,MATCH($A163,InternalTrades!$A$2:$A$461,0)),INDEX(ExchangeConfirms!$D$2:$D$460,MATCH($A163,ExchangeConfirms!$A$2:$A$460,0)))</f>
        <v/>
      </c>
      <c r="C163">
        <f>IFERROR(INDEX(InternalTrades!$E$2:$E$461,MATCH($A163,InternalTrades!$A$2:$A$461,0)),INDEX(ExchangeConfirms!$E$2:$E$460,MATCH($A163,ExchangeConfirms!$A$2:$A$460,0)))</f>
        <v/>
      </c>
      <c r="D163">
        <f>IFERROR(INDEX(InternalTrades!$K$2:$K$461,MATCH($A163,InternalTrades!$A$2:$A$461,0)),INDEX(ExchangeConfirms!$K$2:$K$460,MATCH($A163,ExchangeConfirms!$A$2:$A$460,0)))</f>
        <v/>
      </c>
      <c r="E163">
        <f>IF(COUNTIF(InternalTrades!$A$2:$A$461,$A163)&gt;0,1,0)</f>
        <v/>
      </c>
      <c r="F163">
        <f>IF(COUNTIF(ExchangeConfirms!$A$2:$A$460,$A163)&gt;0,1,0)</f>
        <v/>
      </c>
      <c r="G163">
        <f>IFERROR(INDEX(InternalTrades!$F$2:$F$461,MATCH($A163,InternalTrades!$A$2:$A$461,0)),"")</f>
        <v/>
      </c>
      <c r="H163">
        <f>IFERROR(INDEX(ExchangeConfirms!$F$2:$F$460,MATCH($A163,ExchangeConfirms!$A$2:$A$460,0)),"")</f>
        <v/>
      </c>
      <c r="I163">
        <f>IFERROR(INDEX(InternalTrades!$G$2:$G$461,MATCH($A163,InternalTrades!$A$2:$A$461,0)),"")</f>
        <v/>
      </c>
      <c r="J163">
        <f>IFERROR(INDEX(ExchangeConfirms!$G$2:$G$460,MATCH($A163,ExchangeConfirms!$A$2:$A$460,0)),"")</f>
        <v/>
      </c>
      <c r="K163">
        <f>IFERROR(INDEX(InternalTrades!$H$2:$H$461,MATCH($A163,InternalTrades!$A$2:$A$461,0)),"")</f>
        <v/>
      </c>
      <c r="L163">
        <f>IFERROR(INDEX(ExchangeConfirms!$H$2:$H$460,MATCH($A163,ExchangeConfirms!$A$2:$A$460,0)),"")</f>
        <v/>
      </c>
      <c r="M163">
        <f>IFERROR(INDEX(InternalTrades!$J$2:$J$461,MATCH($A163,InternalTrades!$A$2:$A$461,0)),"")</f>
        <v/>
      </c>
      <c r="N163">
        <f>IFERROR(INDEX(ExchangeConfirms!$J$2:$J$460,MATCH($A163,ExchangeConfirms!$A$2:$A$460,0)),"")</f>
        <v/>
      </c>
      <c r="O163">
        <f>IFERROR(INDEX(InternalTrades!$I$2:$I$461,MATCH($A163,InternalTrades!$A$2:$A$461,0)),"")</f>
        <v/>
      </c>
      <c r="P163">
        <f>IFERROR(INDEX(ExchangeConfirms!$I$2:$I$460,MATCH($A163,ExchangeConfirms!$A$2:$A$460,0)),"")</f>
        <v/>
      </c>
      <c r="Q163">
        <f>IF(AND($E163=1,$F163=0),"MISSING IN EXCHANGE",IF(AND($E163=0,$F163=1),"MISSING IN INTERNAL",IF($G163&lt;&gt;$H163,"SIDE BREAK",IF($I163&lt;&gt;$J163,"QTY BREAK",IF(ABS($K163-$L163)&gt;0.005,"PRICE BREAK",IF(ABS($M163-$N163)&gt;0.01,"FEE BREAK","MATCHED"))))))</f>
        <v/>
      </c>
      <c r="R163">
        <f>IF($Q163="MATCHED",0,1)</f>
        <v/>
      </c>
      <c r="S163">
        <f>IF($Q163="MATCHED",0,IF($Q163="MISSING IN EXCHANGE",$O163,IF($Q163="MISSING IN INTERNAL",$P163,ABS(N($O163)-N($P163)))))</f>
        <v/>
      </c>
    </row>
    <row r="164">
      <c r="A164" t="inlineStr">
        <is>
          <t>T100163</t>
        </is>
      </c>
      <c r="B164">
        <f>IFERROR(INDEX(InternalTrades!$D$2:$D$461,MATCH($A164,InternalTrades!$A$2:$A$461,0)),INDEX(ExchangeConfirms!$D$2:$D$460,MATCH($A164,ExchangeConfirms!$A$2:$A$460,0)))</f>
        <v/>
      </c>
      <c r="C164">
        <f>IFERROR(INDEX(InternalTrades!$E$2:$E$461,MATCH($A164,InternalTrades!$A$2:$A$461,0)),INDEX(ExchangeConfirms!$E$2:$E$460,MATCH($A164,ExchangeConfirms!$A$2:$A$460,0)))</f>
        <v/>
      </c>
      <c r="D164">
        <f>IFERROR(INDEX(InternalTrades!$K$2:$K$461,MATCH($A164,InternalTrades!$A$2:$A$461,0)),INDEX(ExchangeConfirms!$K$2:$K$460,MATCH($A164,ExchangeConfirms!$A$2:$A$460,0)))</f>
        <v/>
      </c>
      <c r="E164">
        <f>IF(COUNTIF(InternalTrades!$A$2:$A$461,$A164)&gt;0,1,0)</f>
        <v/>
      </c>
      <c r="F164">
        <f>IF(COUNTIF(ExchangeConfirms!$A$2:$A$460,$A164)&gt;0,1,0)</f>
        <v/>
      </c>
      <c r="G164">
        <f>IFERROR(INDEX(InternalTrades!$F$2:$F$461,MATCH($A164,InternalTrades!$A$2:$A$461,0)),"")</f>
        <v/>
      </c>
      <c r="H164">
        <f>IFERROR(INDEX(ExchangeConfirms!$F$2:$F$460,MATCH($A164,ExchangeConfirms!$A$2:$A$460,0)),"")</f>
        <v/>
      </c>
      <c r="I164">
        <f>IFERROR(INDEX(InternalTrades!$G$2:$G$461,MATCH($A164,InternalTrades!$A$2:$A$461,0)),"")</f>
        <v/>
      </c>
      <c r="J164">
        <f>IFERROR(INDEX(ExchangeConfirms!$G$2:$G$460,MATCH($A164,ExchangeConfirms!$A$2:$A$460,0)),"")</f>
        <v/>
      </c>
      <c r="K164">
        <f>IFERROR(INDEX(InternalTrades!$H$2:$H$461,MATCH($A164,InternalTrades!$A$2:$A$461,0)),"")</f>
        <v/>
      </c>
      <c r="L164">
        <f>IFERROR(INDEX(ExchangeConfirms!$H$2:$H$460,MATCH($A164,ExchangeConfirms!$A$2:$A$460,0)),"")</f>
        <v/>
      </c>
      <c r="M164">
        <f>IFERROR(INDEX(InternalTrades!$J$2:$J$461,MATCH($A164,InternalTrades!$A$2:$A$461,0)),"")</f>
        <v/>
      </c>
      <c r="N164">
        <f>IFERROR(INDEX(ExchangeConfirms!$J$2:$J$460,MATCH($A164,ExchangeConfirms!$A$2:$A$460,0)),"")</f>
        <v/>
      </c>
      <c r="O164">
        <f>IFERROR(INDEX(InternalTrades!$I$2:$I$461,MATCH($A164,InternalTrades!$A$2:$A$461,0)),"")</f>
        <v/>
      </c>
      <c r="P164">
        <f>IFERROR(INDEX(ExchangeConfirms!$I$2:$I$460,MATCH($A164,ExchangeConfirms!$A$2:$A$460,0)),"")</f>
        <v/>
      </c>
      <c r="Q164">
        <f>IF(AND($E164=1,$F164=0),"MISSING IN EXCHANGE",IF(AND($E164=0,$F164=1),"MISSING IN INTERNAL",IF($G164&lt;&gt;$H164,"SIDE BREAK",IF($I164&lt;&gt;$J164,"QTY BREAK",IF(ABS($K164-$L164)&gt;0.005,"PRICE BREAK",IF(ABS($M164-$N164)&gt;0.01,"FEE BREAK","MATCHED"))))))</f>
        <v/>
      </c>
      <c r="R164">
        <f>IF($Q164="MATCHED",0,1)</f>
        <v/>
      </c>
      <c r="S164">
        <f>IF($Q164="MATCHED",0,IF($Q164="MISSING IN EXCHANGE",$O164,IF($Q164="MISSING IN INTERNAL",$P164,ABS(N($O164)-N($P164)))))</f>
        <v/>
      </c>
    </row>
    <row r="165">
      <c r="A165" t="inlineStr">
        <is>
          <t>T100164</t>
        </is>
      </c>
      <c r="B165">
        <f>IFERROR(INDEX(InternalTrades!$D$2:$D$461,MATCH($A165,InternalTrades!$A$2:$A$461,0)),INDEX(ExchangeConfirms!$D$2:$D$460,MATCH($A165,ExchangeConfirms!$A$2:$A$460,0)))</f>
        <v/>
      </c>
      <c r="C165">
        <f>IFERROR(INDEX(InternalTrades!$E$2:$E$461,MATCH($A165,InternalTrades!$A$2:$A$461,0)),INDEX(ExchangeConfirms!$E$2:$E$460,MATCH($A165,ExchangeConfirms!$A$2:$A$460,0)))</f>
        <v/>
      </c>
      <c r="D165">
        <f>IFERROR(INDEX(InternalTrades!$K$2:$K$461,MATCH($A165,InternalTrades!$A$2:$A$461,0)),INDEX(ExchangeConfirms!$K$2:$K$460,MATCH($A165,ExchangeConfirms!$A$2:$A$460,0)))</f>
        <v/>
      </c>
      <c r="E165">
        <f>IF(COUNTIF(InternalTrades!$A$2:$A$461,$A165)&gt;0,1,0)</f>
        <v/>
      </c>
      <c r="F165">
        <f>IF(COUNTIF(ExchangeConfirms!$A$2:$A$460,$A165)&gt;0,1,0)</f>
        <v/>
      </c>
      <c r="G165">
        <f>IFERROR(INDEX(InternalTrades!$F$2:$F$461,MATCH($A165,InternalTrades!$A$2:$A$461,0)),"")</f>
        <v/>
      </c>
      <c r="H165">
        <f>IFERROR(INDEX(ExchangeConfirms!$F$2:$F$460,MATCH($A165,ExchangeConfirms!$A$2:$A$460,0)),"")</f>
        <v/>
      </c>
      <c r="I165">
        <f>IFERROR(INDEX(InternalTrades!$G$2:$G$461,MATCH($A165,InternalTrades!$A$2:$A$461,0)),"")</f>
        <v/>
      </c>
      <c r="J165">
        <f>IFERROR(INDEX(ExchangeConfirms!$G$2:$G$460,MATCH($A165,ExchangeConfirms!$A$2:$A$460,0)),"")</f>
        <v/>
      </c>
      <c r="K165">
        <f>IFERROR(INDEX(InternalTrades!$H$2:$H$461,MATCH($A165,InternalTrades!$A$2:$A$461,0)),"")</f>
        <v/>
      </c>
      <c r="L165">
        <f>IFERROR(INDEX(ExchangeConfirms!$H$2:$H$460,MATCH($A165,ExchangeConfirms!$A$2:$A$460,0)),"")</f>
        <v/>
      </c>
      <c r="M165">
        <f>IFERROR(INDEX(InternalTrades!$J$2:$J$461,MATCH($A165,InternalTrades!$A$2:$A$461,0)),"")</f>
        <v/>
      </c>
      <c r="N165">
        <f>IFERROR(INDEX(ExchangeConfirms!$J$2:$J$460,MATCH($A165,ExchangeConfirms!$A$2:$A$460,0)),"")</f>
        <v/>
      </c>
      <c r="O165">
        <f>IFERROR(INDEX(InternalTrades!$I$2:$I$461,MATCH($A165,InternalTrades!$A$2:$A$461,0)),"")</f>
        <v/>
      </c>
      <c r="P165">
        <f>IFERROR(INDEX(ExchangeConfirms!$I$2:$I$460,MATCH($A165,ExchangeConfirms!$A$2:$A$460,0)),"")</f>
        <v/>
      </c>
      <c r="Q165">
        <f>IF(AND($E165=1,$F165=0),"MISSING IN EXCHANGE",IF(AND($E165=0,$F165=1),"MISSING IN INTERNAL",IF($G165&lt;&gt;$H165,"SIDE BREAK",IF($I165&lt;&gt;$J165,"QTY BREAK",IF(ABS($K165-$L165)&gt;0.005,"PRICE BREAK",IF(ABS($M165-$N165)&gt;0.01,"FEE BREAK","MATCHED"))))))</f>
        <v/>
      </c>
      <c r="R165">
        <f>IF($Q165="MATCHED",0,1)</f>
        <v/>
      </c>
      <c r="S165">
        <f>IF($Q165="MATCHED",0,IF($Q165="MISSING IN EXCHANGE",$O165,IF($Q165="MISSING IN INTERNAL",$P165,ABS(N($O165)-N($P165)))))</f>
        <v/>
      </c>
    </row>
    <row r="166">
      <c r="A166" t="inlineStr">
        <is>
          <t>T100165</t>
        </is>
      </c>
      <c r="B166">
        <f>IFERROR(INDEX(InternalTrades!$D$2:$D$461,MATCH($A166,InternalTrades!$A$2:$A$461,0)),INDEX(ExchangeConfirms!$D$2:$D$460,MATCH($A166,ExchangeConfirms!$A$2:$A$460,0)))</f>
        <v/>
      </c>
      <c r="C166">
        <f>IFERROR(INDEX(InternalTrades!$E$2:$E$461,MATCH($A166,InternalTrades!$A$2:$A$461,0)),INDEX(ExchangeConfirms!$E$2:$E$460,MATCH($A166,ExchangeConfirms!$A$2:$A$460,0)))</f>
        <v/>
      </c>
      <c r="D166">
        <f>IFERROR(INDEX(InternalTrades!$K$2:$K$461,MATCH($A166,InternalTrades!$A$2:$A$461,0)),INDEX(ExchangeConfirms!$K$2:$K$460,MATCH($A166,ExchangeConfirms!$A$2:$A$460,0)))</f>
        <v/>
      </c>
      <c r="E166">
        <f>IF(COUNTIF(InternalTrades!$A$2:$A$461,$A166)&gt;0,1,0)</f>
        <v/>
      </c>
      <c r="F166">
        <f>IF(COUNTIF(ExchangeConfirms!$A$2:$A$460,$A166)&gt;0,1,0)</f>
        <v/>
      </c>
      <c r="G166">
        <f>IFERROR(INDEX(InternalTrades!$F$2:$F$461,MATCH($A166,InternalTrades!$A$2:$A$461,0)),"")</f>
        <v/>
      </c>
      <c r="H166">
        <f>IFERROR(INDEX(ExchangeConfirms!$F$2:$F$460,MATCH($A166,ExchangeConfirms!$A$2:$A$460,0)),"")</f>
        <v/>
      </c>
      <c r="I166">
        <f>IFERROR(INDEX(InternalTrades!$G$2:$G$461,MATCH($A166,InternalTrades!$A$2:$A$461,0)),"")</f>
        <v/>
      </c>
      <c r="J166">
        <f>IFERROR(INDEX(ExchangeConfirms!$G$2:$G$460,MATCH($A166,ExchangeConfirms!$A$2:$A$460,0)),"")</f>
        <v/>
      </c>
      <c r="K166">
        <f>IFERROR(INDEX(InternalTrades!$H$2:$H$461,MATCH($A166,InternalTrades!$A$2:$A$461,0)),"")</f>
        <v/>
      </c>
      <c r="L166">
        <f>IFERROR(INDEX(ExchangeConfirms!$H$2:$H$460,MATCH($A166,ExchangeConfirms!$A$2:$A$460,0)),"")</f>
        <v/>
      </c>
      <c r="M166">
        <f>IFERROR(INDEX(InternalTrades!$J$2:$J$461,MATCH($A166,InternalTrades!$A$2:$A$461,0)),"")</f>
        <v/>
      </c>
      <c r="N166">
        <f>IFERROR(INDEX(ExchangeConfirms!$J$2:$J$460,MATCH($A166,ExchangeConfirms!$A$2:$A$460,0)),"")</f>
        <v/>
      </c>
      <c r="O166">
        <f>IFERROR(INDEX(InternalTrades!$I$2:$I$461,MATCH($A166,InternalTrades!$A$2:$A$461,0)),"")</f>
        <v/>
      </c>
      <c r="P166">
        <f>IFERROR(INDEX(ExchangeConfirms!$I$2:$I$460,MATCH($A166,ExchangeConfirms!$A$2:$A$460,0)),"")</f>
        <v/>
      </c>
      <c r="Q166">
        <f>IF(AND($E166=1,$F166=0),"MISSING IN EXCHANGE",IF(AND($E166=0,$F166=1),"MISSING IN INTERNAL",IF($G166&lt;&gt;$H166,"SIDE BREAK",IF($I166&lt;&gt;$J166,"QTY BREAK",IF(ABS($K166-$L166)&gt;0.005,"PRICE BREAK",IF(ABS($M166-$N166)&gt;0.01,"FEE BREAK","MATCHED"))))))</f>
        <v/>
      </c>
      <c r="R166">
        <f>IF($Q166="MATCHED",0,1)</f>
        <v/>
      </c>
      <c r="S166">
        <f>IF($Q166="MATCHED",0,IF($Q166="MISSING IN EXCHANGE",$O166,IF($Q166="MISSING IN INTERNAL",$P166,ABS(N($O166)-N($P166)))))</f>
        <v/>
      </c>
    </row>
    <row r="167">
      <c r="A167" t="inlineStr">
        <is>
          <t>T100166</t>
        </is>
      </c>
      <c r="B167">
        <f>IFERROR(INDEX(InternalTrades!$D$2:$D$461,MATCH($A167,InternalTrades!$A$2:$A$461,0)),INDEX(ExchangeConfirms!$D$2:$D$460,MATCH($A167,ExchangeConfirms!$A$2:$A$460,0)))</f>
        <v/>
      </c>
      <c r="C167">
        <f>IFERROR(INDEX(InternalTrades!$E$2:$E$461,MATCH($A167,InternalTrades!$A$2:$A$461,0)),INDEX(ExchangeConfirms!$E$2:$E$460,MATCH($A167,ExchangeConfirms!$A$2:$A$460,0)))</f>
        <v/>
      </c>
      <c r="D167">
        <f>IFERROR(INDEX(InternalTrades!$K$2:$K$461,MATCH($A167,InternalTrades!$A$2:$A$461,0)),INDEX(ExchangeConfirms!$K$2:$K$460,MATCH($A167,ExchangeConfirms!$A$2:$A$460,0)))</f>
        <v/>
      </c>
      <c r="E167">
        <f>IF(COUNTIF(InternalTrades!$A$2:$A$461,$A167)&gt;0,1,0)</f>
        <v/>
      </c>
      <c r="F167">
        <f>IF(COUNTIF(ExchangeConfirms!$A$2:$A$460,$A167)&gt;0,1,0)</f>
        <v/>
      </c>
      <c r="G167">
        <f>IFERROR(INDEX(InternalTrades!$F$2:$F$461,MATCH($A167,InternalTrades!$A$2:$A$461,0)),"")</f>
        <v/>
      </c>
      <c r="H167">
        <f>IFERROR(INDEX(ExchangeConfirms!$F$2:$F$460,MATCH($A167,ExchangeConfirms!$A$2:$A$460,0)),"")</f>
        <v/>
      </c>
      <c r="I167">
        <f>IFERROR(INDEX(InternalTrades!$G$2:$G$461,MATCH($A167,InternalTrades!$A$2:$A$461,0)),"")</f>
        <v/>
      </c>
      <c r="J167">
        <f>IFERROR(INDEX(ExchangeConfirms!$G$2:$G$460,MATCH($A167,ExchangeConfirms!$A$2:$A$460,0)),"")</f>
        <v/>
      </c>
      <c r="K167">
        <f>IFERROR(INDEX(InternalTrades!$H$2:$H$461,MATCH($A167,InternalTrades!$A$2:$A$461,0)),"")</f>
        <v/>
      </c>
      <c r="L167">
        <f>IFERROR(INDEX(ExchangeConfirms!$H$2:$H$460,MATCH($A167,ExchangeConfirms!$A$2:$A$460,0)),"")</f>
        <v/>
      </c>
      <c r="M167">
        <f>IFERROR(INDEX(InternalTrades!$J$2:$J$461,MATCH($A167,InternalTrades!$A$2:$A$461,0)),"")</f>
        <v/>
      </c>
      <c r="N167">
        <f>IFERROR(INDEX(ExchangeConfirms!$J$2:$J$460,MATCH($A167,ExchangeConfirms!$A$2:$A$460,0)),"")</f>
        <v/>
      </c>
      <c r="O167">
        <f>IFERROR(INDEX(InternalTrades!$I$2:$I$461,MATCH($A167,InternalTrades!$A$2:$A$461,0)),"")</f>
        <v/>
      </c>
      <c r="P167">
        <f>IFERROR(INDEX(ExchangeConfirms!$I$2:$I$460,MATCH($A167,ExchangeConfirms!$A$2:$A$460,0)),"")</f>
        <v/>
      </c>
      <c r="Q167">
        <f>IF(AND($E167=1,$F167=0),"MISSING IN EXCHANGE",IF(AND($E167=0,$F167=1),"MISSING IN INTERNAL",IF($G167&lt;&gt;$H167,"SIDE BREAK",IF($I167&lt;&gt;$J167,"QTY BREAK",IF(ABS($K167-$L167)&gt;0.005,"PRICE BREAK",IF(ABS($M167-$N167)&gt;0.01,"FEE BREAK","MATCHED"))))))</f>
        <v/>
      </c>
      <c r="R167">
        <f>IF($Q167="MATCHED",0,1)</f>
        <v/>
      </c>
      <c r="S167">
        <f>IF($Q167="MATCHED",0,IF($Q167="MISSING IN EXCHANGE",$O167,IF($Q167="MISSING IN INTERNAL",$P167,ABS(N($O167)-N($P167)))))</f>
        <v/>
      </c>
    </row>
    <row r="168">
      <c r="A168" t="inlineStr">
        <is>
          <t>T100167</t>
        </is>
      </c>
      <c r="B168">
        <f>IFERROR(INDEX(InternalTrades!$D$2:$D$461,MATCH($A168,InternalTrades!$A$2:$A$461,0)),INDEX(ExchangeConfirms!$D$2:$D$460,MATCH($A168,ExchangeConfirms!$A$2:$A$460,0)))</f>
        <v/>
      </c>
      <c r="C168">
        <f>IFERROR(INDEX(InternalTrades!$E$2:$E$461,MATCH($A168,InternalTrades!$A$2:$A$461,0)),INDEX(ExchangeConfirms!$E$2:$E$460,MATCH($A168,ExchangeConfirms!$A$2:$A$460,0)))</f>
        <v/>
      </c>
      <c r="D168">
        <f>IFERROR(INDEX(InternalTrades!$K$2:$K$461,MATCH($A168,InternalTrades!$A$2:$A$461,0)),INDEX(ExchangeConfirms!$K$2:$K$460,MATCH($A168,ExchangeConfirms!$A$2:$A$460,0)))</f>
        <v/>
      </c>
      <c r="E168">
        <f>IF(COUNTIF(InternalTrades!$A$2:$A$461,$A168)&gt;0,1,0)</f>
        <v/>
      </c>
      <c r="F168">
        <f>IF(COUNTIF(ExchangeConfirms!$A$2:$A$460,$A168)&gt;0,1,0)</f>
        <v/>
      </c>
      <c r="G168">
        <f>IFERROR(INDEX(InternalTrades!$F$2:$F$461,MATCH($A168,InternalTrades!$A$2:$A$461,0)),"")</f>
        <v/>
      </c>
      <c r="H168">
        <f>IFERROR(INDEX(ExchangeConfirms!$F$2:$F$460,MATCH($A168,ExchangeConfirms!$A$2:$A$460,0)),"")</f>
        <v/>
      </c>
      <c r="I168">
        <f>IFERROR(INDEX(InternalTrades!$G$2:$G$461,MATCH($A168,InternalTrades!$A$2:$A$461,0)),"")</f>
        <v/>
      </c>
      <c r="J168">
        <f>IFERROR(INDEX(ExchangeConfirms!$G$2:$G$460,MATCH($A168,ExchangeConfirms!$A$2:$A$460,0)),"")</f>
        <v/>
      </c>
      <c r="K168">
        <f>IFERROR(INDEX(InternalTrades!$H$2:$H$461,MATCH($A168,InternalTrades!$A$2:$A$461,0)),"")</f>
        <v/>
      </c>
      <c r="L168">
        <f>IFERROR(INDEX(ExchangeConfirms!$H$2:$H$460,MATCH($A168,ExchangeConfirms!$A$2:$A$460,0)),"")</f>
        <v/>
      </c>
      <c r="M168">
        <f>IFERROR(INDEX(InternalTrades!$J$2:$J$461,MATCH($A168,InternalTrades!$A$2:$A$461,0)),"")</f>
        <v/>
      </c>
      <c r="N168">
        <f>IFERROR(INDEX(ExchangeConfirms!$J$2:$J$460,MATCH($A168,ExchangeConfirms!$A$2:$A$460,0)),"")</f>
        <v/>
      </c>
      <c r="O168">
        <f>IFERROR(INDEX(InternalTrades!$I$2:$I$461,MATCH($A168,InternalTrades!$A$2:$A$461,0)),"")</f>
        <v/>
      </c>
      <c r="P168">
        <f>IFERROR(INDEX(ExchangeConfirms!$I$2:$I$460,MATCH($A168,ExchangeConfirms!$A$2:$A$460,0)),"")</f>
        <v/>
      </c>
      <c r="Q168">
        <f>IF(AND($E168=1,$F168=0),"MISSING IN EXCHANGE",IF(AND($E168=0,$F168=1),"MISSING IN INTERNAL",IF($G168&lt;&gt;$H168,"SIDE BREAK",IF($I168&lt;&gt;$J168,"QTY BREAK",IF(ABS($K168-$L168)&gt;0.005,"PRICE BREAK",IF(ABS($M168-$N168)&gt;0.01,"FEE BREAK","MATCHED"))))))</f>
        <v/>
      </c>
      <c r="R168">
        <f>IF($Q168="MATCHED",0,1)</f>
        <v/>
      </c>
      <c r="S168">
        <f>IF($Q168="MATCHED",0,IF($Q168="MISSING IN EXCHANGE",$O168,IF($Q168="MISSING IN INTERNAL",$P168,ABS(N($O168)-N($P168)))))</f>
        <v/>
      </c>
    </row>
    <row r="169">
      <c r="A169" t="inlineStr">
        <is>
          <t>T100168</t>
        </is>
      </c>
      <c r="B169">
        <f>IFERROR(INDEX(InternalTrades!$D$2:$D$461,MATCH($A169,InternalTrades!$A$2:$A$461,0)),INDEX(ExchangeConfirms!$D$2:$D$460,MATCH($A169,ExchangeConfirms!$A$2:$A$460,0)))</f>
        <v/>
      </c>
      <c r="C169">
        <f>IFERROR(INDEX(InternalTrades!$E$2:$E$461,MATCH($A169,InternalTrades!$A$2:$A$461,0)),INDEX(ExchangeConfirms!$E$2:$E$460,MATCH($A169,ExchangeConfirms!$A$2:$A$460,0)))</f>
        <v/>
      </c>
      <c r="D169">
        <f>IFERROR(INDEX(InternalTrades!$K$2:$K$461,MATCH($A169,InternalTrades!$A$2:$A$461,0)),INDEX(ExchangeConfirms!$K$2:$K$460,MATCH($A169,ExchangeConfirms!$A$2:$A$460,0)))</f>
        <v/>
      </c>
      <c r="E169">
        <f>IF(COUNTIF(InternalTrades!$A$2:$A$461,$A169)&gt;0,1,0)</f>
        <v/>
      </c>
      <c r="F169">
        <f>IF(COUNTIF(ExchangeConfirms!$A$2:$A$460,$A169)&gt;0,1,0)</f>
        <v/>
      </c>
      <c r="G169">
        <f>IFERROR(INDEX(InternalTrades!$F$2:$F$461,MATCH($A169,InternalTrades!$A$2:$A$461,0)),"")</f>
        <v/>
      </c>
      <c r="H169">
        <f>IFERROR(INDEX(ExchangeConfirms!$F$2:$F$460,MATCH($A169,ExchangeConfirms!$A$2:$A$460,0)),"")</f>
        <v/>
      </c>
      <c r="I169">
        <f>IFERROR(INDEX(InternalTrades!$G$2:$G$461,MATCH($A169,InternalTrades!$A$2:$A$461,0)),"")</f>
        <v/>
      </c>
      <c r="J169">
        <f>IFERROR(INDEX(ExchangeConfirms!$G$2:$G$460,MATCH($A169,ExchangeConfirms!$A$2:$A$460,0)),"")</f>
        <v/>
      </c>
      <c r="K169">
        <f>IFERROR(INDEX(InternalTrades!$H$2:$H$461,MATCH($A169,InternalTrades!$A$2:$A$461,0)),"")</f>
        <v/>
      </c>
      <c r="L169">
        <f>IFERROR(INDEX(ExchangeConfirms!$H$2:$H$460,MATCH($A169,ExchangeConfirms!$A$2:$A$460,0)),"")</f>
        <v/>
      </c>
      <c r="M169">
        <f>IFERROR(INDEX(InternalTrades!$J$2:$J$461,MATCH($A169,InternalTrades!$A$2:$A$461,0)),"")</f>
        <v/>
      </c>
      <c r="N169">
        <f>IFERROR(INDEX(ExchangeConfirms!$J$2:$J$460,MATCH($A169,ExchangeConfirms!$A$2:$A$460,0)),"")</f>
        <v/>
      </c>
      <c r="O169">
        <f>IFERROR(INDEX(InternalTrades!$I$2:$I$461,MATCH($A169,InternalTrades!$A$2:$A$461,0)),"")</f>
        <v/>
      </c>
      <c r="P169">
        <f>IFERROR(INDEX(ExchangeConfirms!$I$2:$I$460,MATCH($A169,ExchangeConfirms!$A$2:$A$460,0)),"")</f>
        <v/>
      </c>
      <c r="Q169">
        <f>IF(AND($E169=1,$F169=0),"MISSING IN EXCHANGE",IF(AND($E169=0,$F169=1),"MISSING IN INTERNAL",IF($G169&lt;&gt;$H169,"SIDE BREAK",IF($I169&lt;&gt;$J169,"QTY BREAK",IF(ABS($K169-$L169)&gt;0.005,"PRICE BREAK",IF(ABS($M169-$N169)&gt;0.01,"FEE BREAK","MATCHED"))))))</f>
        <v/>
      </c>
      <c r="R169">
        <f>IF($Q169="MATCHED",0,1)</f>
        <v/>
      </c>
      <c r="S169">
        <f>IF($Q169="MATCHED",0,IF($Q169="MISSING IN EXCHANGE",$O169,IF($Q169="MISSING IN INTERNAL",$P169,ABS(N($O169)-N($P169)))))</f>
        <v/>
      </c>
    </row>
    <row r="170">
      <c r="A170" t="inlineStr">
        <is>
          <t>T100169</t>
        </is>
      </c>
      <c r="B170">
        <f>IFERROR(INDEX(InternalTrades!$D$2:$D$461,MATCH($A170,InternalTrades!$A$2:$A$461,0)),INDEX(ExchangeConfirms!$D$2:$D$460,MATCH($A170,ExchangeConfirms!$A$2:$A$460,0)))</f>
        <v/>
      </c>
      <c r="C170">
        <f>IFERROR(INDEX(InternalTrades!$E$2:$E$461,MATCH($A170,InternalTrades!$A$2:$A$461,0)),INDEX(ExchangeConfirms!$E$2:$E$460,MATCH($A170,ExchangeConfirms!$A$2:$A$460,0)))</f>
        <v/>
      </c>
      <c r="D170">
        <f>IFERROR(INDEX(InternalTrades!$K$2:$K$461,MATCH($A170,InternalTrades!$A$2:$A$461,0)),INDEX(ExchangeConfirms!$K$2:$K$460,MATCH($A170,ExchangeConfirms!$A$2:$A$460,0)))</f>
        <v/>
      </c>
      <c r="E170">
        <f>IF(COUNTIF(InternalTrades!$A$2:$A$461,$A170)&gt;0,1,0)</f>
        <v/>
      </c>
      <c r="F170">
        <f>IF(COUNTIF(ExchangeConfirms!$A$2:$A$460,$A170)&gt;0,1,0)</f>
        <v/>
      </c>
      <c r="G170">
        <f>IFERROR(INDEX(InternalTrades!$F$2:$F$461,MATCH($A170,InternalTrades!$A$2:$A$461,0)),"")</f>
        <v/>
      </c>
      <c r="H170">
        <f>IFERROR(INDEX(ExchangeConfirms!$F$2:$F$460,MATCH($A170,ExchangeConfirms!$A$2:$A$460,0)),"")</f>
        <v/>
      </c>
      <c r="I170">
        <f>IFERROR(INDEX(InternalTrades!$G$2:$G$461,MATCH($A170,InternalTrades!$A$2:$A$461,0)),"")</f>
        <v/>
      </c>
      <c r="J170">
        <f>IFERROR(INDEX(ExchangeConfirms!$G$2:$G$460,MATCH($A170,ExchangeConfirms!$A$2:$A$460,0)),"")</f>
        <v/>
      </c>
      <c r="K170">
        <f>IFERROR(INDEX(InternalTrades!$H$2:$H$461,MATCH($A170,InternalTrades!$A$2:$A$461,0)),"")</f>
        <v/>
      </c>
      <c r="L170">
        <f>IFERROR(INDEX(ExchangeConfirms!$H$2:$H$460,MATCH($A170,ExchangeConfirms!$A$2:$A$460,0)),"")</f>
        <v/>
      </c>
      <c r="M170">
        <f>IFERROR(INDEX(InternalTrades!$J$2:$J$461,MATCH($A170,InternalTrades!$A$2:$A$461,0)),"")</f>
        <v/>
      </c>
      <c r="N170">
        <f>IFERROR(INDEX(ExchangeConfirms!$J$2:$J$460,MATCH($A170,ExchangeConfirms!$A$2:$A$460,0)),"")</f>
        <v/>
      </c>
      <c r="O170">
        <f>IFERROR(INDEX(InternalTrades!$I$2:$I$461,MATCH($A170,InternalTrades!$A$2:$A$461,0)),"")</f>
        <v/>
      </c>
      <c r="P170">
        <f>IFERROR(INDEX(ExchangeConfirms!$I$2:$I$460,MATCH($A170,ExchangeConfirms!$A$2:$A$460,0)),"")</f>
        <v/>
      </c>
      <c r="Q170">
        <f>IF(AND($E170=1,$F170=0),"MISSING IN EXCHANGE",IF(AND($E170=0,$F170=1),"MISSING IN INTERNAL",IF($G170&lt;&gt;$H170,"SIDE BREAK",IF($I170&lt;&gt;$J170,"QTY BREAK",IF(ABS($K170-$L170)&gt;0.005,"PRICE BREAK",IF(ABS($M170-$N170)&gt;0.01,"FEE BREAK","MATCHED"))))))</f>
        <v/>
      </c>
      <c r="R170">
        <f>IF($Q170="MATCHED",0,1)</f>
        <v/>
      </c>
      <c r="S170">
        <f>IF($Q170="MATCHED",0,IF($Q170="MISSING IN EXCHANGE",$O170,IF($Q170="MISSING IN INTERNAL",$P170,ABS(N($O170)-N($P170)))))</f>
        <v/>
      </c>
    </row>
    <row r="171">
      <c r="A171" t="inlineStr">
        <is>
          <t>T100170</t>
        </is>
      </c>
      <c r="B171">
        <f>IFERROR(INDEX(InternalTrades!$D$2:$D$461,MATCH($A171,InternalTrades!$A$2:$A$461,0)),INDEX(ExchangeConfirms!$D$2:$D$460,MATCH($A171,ExchangeConfirms!$A$2:$A$460,0)))</f>
        <v/>
      </c>
      <c r="C171">
        <f>IFERROR(INDEX(InternalTrades!$E$2:$E$461,MATCH($A171,InternalTrades!$A$2:$A$461,0)),INDEX(ExchangeConfirms!$E$2:$E$460,MATCH($A171,ExchangeConfirms!$A$2:$A$460,0)))</f>
        <v/>
      </c>
      <c r="D171">
        <f>IFERROR(INDEX(InternalTrades!$K$2:$K$461,MATCH($A171,InternalTrades!$A$2:$A$461,0)),INDEX(ExchangeConfirms!$K$2:$K$460,MATCH($A171,ExchangeConfirms!$A$2:$A$460,0)))</f>
        <v/>
      </c>
      <c r="E171">
        <f>IF(COUNTIF(InternalTrades!$A$2:$A$461,$A171)&gt;0,1,0)</f>
        <v/>
      </c>
      <c r="F171">
        <f>IF(COUNTIF(ExchangeConfirms!$A$2:$A$460,$A171)&gt;0,1,0)</f>
        <v/>
      </c>
      <c r="G171">
        <f>IFERROR(INDEX(InternalTrades!$F$2:$F$461,MATCH($A171,InternalTrades!$A$2:$A$461,0)),"")</f>
        <v/>
      </c>
      <c r="H171">
        <f>IFERROR(INDEX(ExchangeConfirms!$F$2:$F$460,MATCH($A171,ExchangeConfirms!$A$2:$A$460,0)),"")</f>
        <v/>
      </c>
      <c r="I171">
        <f>IFERROR(INDEX(InternalTrades!$G$2:$G$461,MATCH($A171,InternalTrades!$A$2:$A$461,0)),"")</f>
        <v/>
      </c>
      <c r="J171">
        <f>IFERROR(INDEX(ExchangeConfirms!$G$2:$G$460,MATCH($A171,ExchangeConfirms!$A$2:$A$460,0)),"")</f>
        <v/>
      </c>
      <c r="K171">
        <f>IFERROR(INDEX(InternalTrades!$H$2:$H$461,MATCH($A171,InternalTrades!$A$2:$A$461,0)),"")</f>
        <v/>
      </c>
      <c r="L171">
        <f>IFERROR(INDEX(ExchangeConfirms!$H$2:$H$460,MATCH($A171,ExchangeConfirms!$A$2:$A$460,0)),"")</f>
        <v/>
      </c>
      <c r="M171">
        <f>IFERROR(INDEX(InternalTrades!$J$2:$J$461,MATCH($A171,InternalTrades!$A$2:$A$461,0)),"")</f>
        <v/>
      </c>
      <c r="N171">
        <f>IFERROR(INDEX(ExchangeConfirms!$J$2:$J$460,MATCH($A171,ExchangeConfirms!$A$2:$A$460,0)),"")</f>
        <v/>
      </c>
      <c r="O171">
        <f>IFERROR(INDEX(InternalTrades!$I$2:$I$461,MATCH($A171,InternalTrades!$A$2:$A$461,0)),"")</f>
        <v/>
      </c>
      <c r="P171">
        <f>IFERROR(INDEX(ExchangeConfirms!$I$2:$I$460,MATCH($A171,ExchangeConfirms!$A$2:$A$460,0)),"")</f>
        <v/>
      </c>
      <c r="Q171">
        <f>IF(AND($E171=1,$F171=0),"MISSING IN EXCHANGE",IF(AND($E171=0,$F171=1),"MISSING IN INTERNAL",IF($G171&lt;&gt;$H171,"SIDE BREAK",IF($I171&lt;&gt;$J171,"QTY BREAK",IF(ABS($K171-$L171)&gt;0.005,"PRICE BREAK",IF(ABS($M171-$N171)&gt;0.01,"FEE BREAK","MATCHED"))))))</f>
        <v/>
      </c>
      <c r="R171">
        <f>IF($Q171="MATCHED",0,1)</f>
        <v/>
      </c>
      <c r="S171">
        <f>IF($Q171="MATCHED",0,IF($Q171="MISSING IN EXCHANGE",$O171,IF($Q171="MISSING IN INTERNAL",$P171,ABS(N($O171)-N($P171)))))</f>
        <v/>
      </c>
    </row>
    <row r="172">
      <c r="A172" t="inlineStr">
        <is>
          <t>T100171</t>
        </is>
      </c>
      <c r="B172">
        <f>IFERROR(INDEX(InternalTrades!$D$2:$D$461,MATCH($A172,InternalTrades!$A$2:$A$461,0)),INDEX(ExchangeConfirms!$D$2:$D$460,MATCH($A172,ExchangeConfirms!$A$2:$A$460,0)))</f>
        <v/>
      </c>
      <c r="C172">
        <f>IFERROR(INDEX(InternalTrades!$E$2:$E$461,MATCH($A172,InternalTrades!$A$2:$A$461,0)),INDEX(ExchangeConfirms!$E$2:$E$460,MATCH($A172,ExchangeConfirms!$A$2:$A$460,0)))</f>
        <v/>
      </c>
      <c r="D172">
        <f>IFERROR(INDEX(InternalTrades!$K$2:$K$461,MATCH($A172,InternalTrades!$A$2:$A$461,0)),INDEX(ExchangeConfirms!$K$2:$K$460,MATCH($A172,ExchangeConfirms!$A$2:$A$460,0)))</f>
        <v/>
      </c>
      <c r="E172">
        <f>IF(COUNTIF(InternalTrades!$A$2:$A$461,$A172)&gt;0,1,0)</f>
        <v/>
      </c>
      <c r="F172">
        <f>IF(COUNTIF(ExchangeConfirms!$A$2:$A$460,$A172)&gt;0,1,0)</f>
        <v/>
      </c>
      <c r="G172">
        <f>IFERROR(INDEX(InternalTrades!$F$2:$F$461,MATCH($A172,InternalTrades!$A$2:$A$461,0)),"")</f>
        <v/>
      </c>
      <c r="H172">
        <f>IFERROR(INDEX(ExchangeConfirms!$F$2:$F$460,MATCH($A172,ExchangeConfirms!$A$2:$A$460,0)),"")</f>
        <v/>
      </c>
      <c r="I172">
        <f>IFERROR(INDEX(InternalTrades!$G$2:$G$461,MATCH($A172,InternalTrades!$A$2:$A$461,0)),"")</f>
        <v/>
      </c>
      <c r="J172">
        <f>IFERROR(INDEX(ExchangeConfirms!$G$2:$G$460,MATCH($A172,ExchangeConfirms!$A$2:$A$460,0)),"")</f>
        <v/>
      </c>
      <c r="K172">
        <f>IFERROR(INDEX(InternalTrades!$H$2:$H$461,MATCH($A172,InternalTrades!$A$2:$A$461,0)),"")</f>
        <v/>
      </c>
      <c r="L172">
        <f>IFERROR(INDEX(ExchangeConfirms!$H$2:$H$460,MATCH($A172,ExchangeConfirms!$A$2:$A$460,0)),"")</f>
        <v/>
      </c>
      <c r="M172">
        <f>IFERROR(INDEX(InternalTrades!$J$2:$J$461,MATCH($A172,InternalTrades!$A$2:$A$461,0)),"")</f>
        <v/>
      </c>
      <c r="N172">
        <f>IFERROR(INDEX(ExchangeConfirms!$J$2:$J$460,MATCH($A172,ExchangeConfirms!$A$2:$A$460,0)),"")</f>
        <v/>
      </c>
      <c r="O172">
        <f>IFERROR(INDEX(InternalTrades!$I$2:$I$461,MATCH($A172,InternalTrades!$A$2:$A$461,0)),"")</f>
        <v/>
      </c>
      <c r="P172">
        <f>IFERROR(INDEX(ExchangeConfirms!$I$2:$I$460,MATCH($A172,ExchangeConfirms!$A$2:$A$460,0)),"")</f>
        <v/>
      </c>
      <c r="Q172">
        <f>IF(AND($E172=1,$F172=0),"MISSING IN EXCHANGE",IF(AND($E172=0,$F172=1),"MISSING IN INTERNAL",IF($G172&lt;&gt;$H172,"SIDE BREAK",IF($I172&lt;&gt;$J172,"QTY BREAK",IF(ABS($K172-$L172)&gt;0.005,"PRICE BREAK",IF(ABS($M172-$N172)&gt;0.01,"FEE BREAK","MATCHED"))))))</f>
        <v/>
      </c>
      <c r="R172">
        <f>IF($Q172="MATCHED",0,1)</f>
        <v/>
      </c>
      <c r="S172">
        <f>IF($Q172="MATCHED",0,IF($Q172="MISSING IN EXCHANGE",$O172,IF($Q172="MISSING IN INTERNAL",$P172,ABS(N($O172)-N($P172)))))</f>
        <v/>
      </c>
    </row>
    <row r="173">
      <c r="A173" t="inlineStr">
        <is>
          <t>T100172</t>
        </is>
      </c>
      <c r="B173">
        <f>IFERROR(INDEX(InternalTrades!$D$2:$D$461,MATCH($A173,InternalTrades!$A$2:$A$461,0)),INDEX(ExchangeConfirms!$D$2:$D$460,MATCH($A173,ExchangeConfirms!$A$2:$A$460,0)))</f>
        <v/>
      </c>
      <c r="C173">
        <f>IFERROR(INDEX(InternalTrades!$E$2:$E$461,MATCH($A173,InternalTrades!$A$2:$A$461,0)),INDEX(ExchangeConfirms!$E$2:$E$460,MATCH($A173,ExchangeConfirms!$A$2:$A$460,0)))</f>
        <v/>
      </c>
      <c r="D173">
        <f>IFERROR(INDEX(InternalTrades!$K$2:$K$461,MATCH($A173,InternalTrades!$A$2:$A$461,0)),INDEX(ExchangeConfirms!$K$2:$K$460,MATCH($A173,ExchangeConfirms!$A$2:$A$460,0)))</f>
        <v/>
      </c>
      <c r="E173">
        <f>IF(COUNTIF(InternalTrades!$A$2:$A$461,$A173)&gt;0,1,0)</f>
        <v/>
      </c>
      <c r="F173">
        <f>IF(COUNTIF(ExchangeConfirms!$A$2:$A$460,$A173)&gt;0,1,0)</f>
        <v/>
      </c>
      <c r="G173">
        <f>IFERROR(INDEX(InternalTrades!$F$2:$F$461,MATCH($A173,InternalTrades!$A$2:$A$461,0)),"")</f>
        <v/>
      </c>
      <c r="H173">
        <f>IFERROR(INDEX(ExchangeConfirms!$F$2:$F$460,MATCH($A173,ExchangeConfirms!$A$2:$A$460,0)),"")</f>
        <v/>
      </c>
      <c r="I173">
        <f>IFERROR(INDEX(InternalTrades!$G$2:$G$461,MATCH($A173,InternalTrades!$A$2:$A$461,0)),"")</f>
        <v/>
      </c>
      <c r="J173">
        <f>IFERROR(INDEX(ExchangeConfirms!$G$2:$G$460,MATCH($A173,ExchangeConfirms!$A$2:$A$460,0)),"")</f>
        <v/>
      </c>
      <c r="K173">
        <f>IFERROR(INDEX(InternalTrades!$H$2:$H$461,MATCH($A173,InternalTrades!$A$2:$A$461,0)),"")</f>
        <v/>
      </c>
      <c r="L173">
        <f>IFERROR(INDEX(ExchangeConfirms!$H$2:$H$460,MATCH($A173,ExchangeConfirms!$A$2:$A$460,0)),"")</f>
        <v/>
      </c>
      <c r="M173">
        <f>IFERROR(INDEX(InternalTrades!$J$2:$J$461,MATCH($A173,InternalTrades!$A$2:$A$461,0)),"")</f>
        <v/>
      </c>
      <c r="N173">
        <f>IFERROR(INDEX(ExchangeConfirms!$J$2:$J$460,MATCH($A173,ExchangeConfirms!$A$2:$A$460,0)),"")</f>
        <v/>
      </c>
      <c r="O173">
        <f>IFERROR(INDEX(InternalTrades!$I$2:$I$461,MATCH($A173,InternalTrades!$A$2:$A$461,0)),"")</f>
        <v/>
      </c>
      <c r="P173">
        <f>IFERROR(INDEX(ExchangeConfirms!$I$2:$I$460,MATCH($A173,ExchangeConfirms!$A$2:$A$460,0)),"")</f>
        <v/>
      </c>
      <c r="Q173">
        <f>IF(AND($E173=1,$F173=0),"MISSING IN EXCHANGE",IF(AND($E173=0,$F173=1),"MISSING IN INTERNAL",IF($G173&lt;&gt;$H173,"SIDE BREAK",IF($I173&lt;&gt;$J173,"QTY BREAK",IF(ABS($K173-$L173)&gt;0.005,"PRICE BREAK",IF(ABS($M173-$N173)&gt;0.01,"FEE BREAK","MATCHED"))))))</f>
        <v/>
      </c>
      <c r="R173">
        <f>IF($Q173="MATCHED",0,1)</f>
        <v/>
      </c>
      <c r="S173">
        <f>IF($Q173="MATCHED",0,IF($Q173="MISSING IN EXCHANGE",$O173,IF($Q173="MISSING IN INTERNAL",$P173,ABS(N($O173)-N($P173)))))</f>
        <v/>
      </c>
    </row>
    <row r="174">
      <c r="A174" t="inlineStr">
        <is>
          <t>T100173</t>
        </is>
      </c>
      <c r="B174">
        <f>IFERROR(INDEX(InternalTrades!$D$2:$D$461,MATCH($A174,InternalTrades!$A$2:$A$461,0)),INDEX(ExchangeConfirms!$D$2:$D$460,MATCH($A174,ExchangeConfirms!$A$2:$A$460,0)))</f>
        <v/>
      </c>
      <c r="C174">
        <f>IFERROR(INDEX(InternalTrades!$E$2:$E$461,MATCH($A174,InternalTrades!$A$2:$A$461,0)),INDEX(ExchangeConfirms!$E$2:$E$460,MATCH($A174,ExchangeConfirms!$A$2:$A$460,0)))</f>
        <v/>
      </c>
      <c r="D174">
        <f>IFERROR(INDEX(InternalTrades!$K$2:$K$461,MATCH($A174,InternalTrades!$A$2:$A$461,0)),INDEX(ExchangeConfirms!$K$2:$K$460,MATCH($A174,ExchangeConfirms!$A$2:$A$460,0)))</f>
        <v/>
      </c>
      <c r="E174">
        <f>IF(COUNTIF(InternalTrades!$A$2:$A$461,$A174)&gt;0,1,0)</f>
        <v/>
      </c>
      <c r="F174">
        <f>IF(COUNTIF(ExchangeConfirms!$A$2:$A$460,$A174)&gt;0,1,0)</f>
        <v/>
      </c>
      <c r="G174">
        <f>IFERROR(INDEX(InternalTrades!$F$2:$F$461,MATCH($A174,InternalTrades!$A$2:$A$461,0)),"")</f>
        <v/>
      </c>
      <c r="H174">
        <f>IFERROR(INDEX(ExchangeConfirms!$F$2:$F$460,MATCH($A174,ExchangeConfirms!$A$2:$A$460,0)),"")</f>
        <v/>
      </c>
      <c r="I174">
        <f>IFERROR(INDEX(InternalTrades!$G$2:$G$461,MATCH($A174,InternalTrades!$A$2:$A$461,0)),"")</f>
        <v/>
      </c>
      <c r="J174">
        <f>IFERROR(INDEX(ExchangeConfirms!$G$2:$G$460,MATCH($A174,ExchangeConfirms!$A$2:$A$460,0)),"")</f>
        <v/>
      </c>
      <c r="K174">
        <f>IFERROR(INDEX(InternalTrades!$H$2:$H$461,MATCH($A174,InternalTrades!$A$2:$A$461,0)),"")</f>
        <v/>
      </c>
      <c r="L174">
        <f>IFERROR(INDEX(ExchangeConfirms!$H$2:$H$460,MATCH($A174,ExchangeConfirms!$A$2:$A$460,0)),"")</f>
        <v/>
      </c>
      <c r="M174">
        <f>IFERROR(INDEX(InternalTrades!$J$2:$J$461,MATCH($A174,InternalTrades!$A$2:$A$461,0)),"")</f>
        <v/>
      </c>
      <c r="N174">
        <f>IFERROR(INDEX(ExchangeConfirms!$J$2:$J$460,MATCH($A174,ExchangeConfirms!$A$2:$A$460,0)),"")</f>
        <v/>
      </c>
      <c r="O174">
        <f>IFERROR(INDEX(InternalTrades!$I$2:$I$461,MATCH($A174,InternalTrades!$A$2:$A$461,0)),"")</f>
        <v/>
      </c>
      <c r="P174">
        <f>IFERROR(INDEX(ExchangeConfirms!$I$2:$I$460,MATCH($A174,ExchangeConfirms!$A$2:$A$460,0)),"")</f>
        <v/>
      </c>
      <c r="Q174">
        <f>IF(AND($E174=1,$F174=0),"MISSING IN EXCHANGE",IF(AND($E174=0,$F174=1),"MISSING IN INTERNAL",IF($G174&lt;&gt;$H174,"SIDE BREAK",IF($I174&lt;&gt;$J174,"QTY BREAK",IF(ABS($K174-$L174)&gt;0.005,"PRICE BREAK",IF(ABS($M174-$N174)&gt;0.01,"FEE BREAK","MATCHED"))))))</f>
        <v/>
      </c>
      <c r="R174">
        <f>IF($Q174="MATCHED",0,1)</f>
        <v/>
      </c>
      <c r="S174">
        <f>IF($Q174="MATCHED",0,IF($Q174="MISSING IN EXCHANGE",$O174,IF($Q174="MISSING IN INTERNAL",$P174,ABS(N($O174)-N($P174)))))</f>
        <v/>
      </c>
    </row>
    <row r="175">
      <c r="A175" t="inlineStr">
        <is>
          <t>T100174</t>
        </is>
      </c>
      <c r="B175">
        <f>IFERROR(INDEX(InternalTrades!$D$2:$D$461,MATCH($A175,InternalTrades!$A$2:$A$461,0)),INDEX(ExchangeConfirms!$D$2:$D$460,MATCH($A175,ExchangeConfirms!$A$2:$A$460,0)))</f>
        <v/>
      </c>
      <c r="C175">
        <f>IFERROR(INDEX(InternalTrades!$E$2:$E$461,MATCH($A175,InternalTrades!$A$2:$A$461,0)),INDEX(ExchangeConfirms!$E$2:$E$460,MATCH($A175,ExchangeConfirms!$A$2:$A$460,0)))</f>
        <v/>
      </c>
      <c r="D175">
        <f>IFERROR(INDEX(InternalTrades!$K$2:$K$461,MATCH($A175,InternalTrades!$A$2:$A$461,0)),INDEX(ExchangeConfirms!$K$2:$K$460,MATCH($A175,ExchangeConfirms!$A$2:$A$460,0)))</f>
        <v/>
      </c>
      <c r="E175">
        <f>IF(COUNTIF(InternalTrades!$A$2:$A$461,$A175)&gt;0,1,0)</f>
        <v/>
      </c>
      <c r="F175">
        <f>IF(COUNTIF(ExchangeConfirms!$A$2:$A$460,$A175)&gt;0,1,0)</f>
        <v/>
      </c>
      <c r="G175">
        <f>IFERROR(INDEX(InternalTrades!$F$2:$F$461,MATCH($A175,InternalTrades!$A$2:$A$461,0)),"")</f>
        <v/>
      </c>
      <c r="H175">
        <f>IFERROR(INDEX(ExchangeConfirms!$F$2:$F$460,MATCH($A175,ExchangeConfirms!$A$2:$A$460,0)),"")</f>
        <v/>
      </c>
      <c r="I175">
        <f>IFERROR(INDEX(InternalTrades!$G$2:$G$461,MATCH($A175,InternalTrades!$A$2:$A$461,0)),"")</f>
        <v/>
      </c>
      <c r="J175">
        <f>IFERROR(INDEX(ExchangeConfirms!$G$2:$G$460,MATCH($A175,ExchangeConfirms!$A$2:$A$460,0)),"")</f>
        <v/>
      </c>
      <c r="K175">
        <f>IFERROR(INDEX(InternalTrades!$H$2:$H$461,MATCH($A175,InternalTrades!$A$2:$A$461,0)),"")</f>
        <v/>
      </c>
      <c r="L175">
        <f>IFERROR(INDEX(ExchangeConfirms!$H$2:$H$460,MATCH($A175,ExchangeConfirms!$A$2:$A$460,0)),"")</f>
        <v/>
      </c>
      <c r="M175">
        <f>IFERROR(INDEX(InternalTrades!$J$2:$J$461,MATCH($A175,InternalTrades!$A$2:$A$461,0)),"")</f>
        <v/>
      </c>
      <c r="N175">
        <f>IFERROR(INDEX(ExchangeConfirms!$J$2:$J$460,MATCH($A175,ExchangeConfirms!$A$2:$A$460,0)),"")</f>
        <v/>
      </c>
      <c r="O175">
        <f>IFERROR(INDEX(InternalTrades!$I$2:$I$461,MATCH($A175,InternalTrades!$A$2:$A$461,0)),"")</f>
        <v/>
      </c>
      <c r="P175">
        <f>IFERROR(INDEX(ExchangeConfirms!$I$2:$I$460,MATCH($A175,ExchangeConfirms!$A$2:$A$460,0)),"")</f>
        <v/>
      </c>
      <c r="Q175">
        <f>IF(AND($E175=1,$F175=0),"MISSING IN EXCHANGE",IF(AND($E175=0,$F175=1),"MISSING IN INTERNAL",IF($G175&lt;&gt;$H175,"SIDE BREAK",IF($I175&lt;&gt;$J175,"QTY BREAK",IF(ABS($K175-$L175)&gt;0.005,"PRICE BREAK",IF(ABS($M175-$N175)&gt;0.01,"FEE BREAK","MATCHED"))))))</f>
        <v/>
      </c>
      <c r="R175">
        <f>IF($Q175="MATCHED",0,1)</f>
        <v/>
      </c>
      <c r="S175">
        <f>IF($Q175="MATCHED",0,IF($Q175="MISSING IN EXCHANGE",$O175,IF($Q175="MISSING IN INTERNAL",$P175,ABS(N($O175)-N($P175)))))</f>
        <v/>
      </c>
    </row>
    <row r="176">
      <c r="A176" t="inlineStr">
        <is>
          <t>T100175</t>
        </is>
      </c>
      <c r="B176">
        <f>IFERROR(INDEX(InternalTrades!$D$2:$D$461,MATCH($A176,InternalTrades!$A$2:$A$461,0)),INDEX(ExchangeConfirms!$D$2:$D$460,MATCH($A176,ExchangeConfirms!$A$2:$A$460,0)))</f>
        <v/>
      </c>
      <c r="C176">
        <f>IFERROR(INDEX(InternalTrades!$E$2:$E$461,MATCH($A176,InternalTrades!$A$2:$A$461,0)),INDEX(ExchangeConfirms!$E$2:$E$460,MATCH($A176,ExchangeConfirms!$A$2:$A$460,0)))</f>
        <v/>
      </c>
      <c r="D176">
        <f>IFERROR(INDEX(InternalTrades!$K$2:$K$461,MATCH($A176,InternalTrades!$A$2:$A$461,0)),INDEX(ExchangeConfirms!$K$2:$K$460,MATCH($A176,ExchangeConfirms!$A$2:$A$460,0)))</f>
        <v/>
      </c>
      <c r="E176">
        <f>IF(COUNTIF(InternalTrades!$A$2:$A$461,$A176)&gt;0,1,0)</f>
        <v/>
      </c>
      <c r="F176">
        <f>IF(COUNTIF(ExchangeConfirms!$A$2:$A$460,$A176)&gt;0,1,0)</f>
        <v/>
      </c>
      <c r="G176">
        <f>IFERROR(INDEX(InternalTrades!$F$2:$F$461,MATCH($A176,InternalTrades!$A$2:$A$461,0)),"")</f>
        <v/>
      </c>
      <c r="H176">
        <f>IFERROR(INDEX(ExchangeConfirms!$F$2:$F$460,MATCH($A176,ExchangeConfirms!$A$2:$A$460,0)),"")</f>
        <v/>
      </c>
      <c r="I176">
        <f>IFERROR(INDEX(InternalTrades!$G$2:$G$461,MATCH($A176,InternalTrades!$A$2:$A$461,0)),"")</f>
        <v/>
      </c>
      <c r="J176">
        <f>IFERROR(INDEX(ExchangeConfirms!$G$2:$G$460,MATCH($A176,ExchangeConfirms!$A$2:$A$460,0)),"")</f>
        <v/>
      </c>
      <c r="K176">
        <f>IFERROR(INDEX(InternalTrades!$H$2:$H$461,MATCH($A176,InternalTrades!$A$2:$A$461,0)),"")</f>
        <v/>
      </c>
      <c r="L176">
        <f>IFERROR(INDEX(ExchangeConfirms!$H$2:$H$460,MATCH($A176,ExchangeConfirms!$A$2:$A$460,0)),"")</f>
        <v/>
      </c>
      <c r="M176">
        <f>IFERROR(INDEX(InternalTrades!$J$2:$J$461,MATCH($A176,InternalTrades!$A$2:$A$461,0)),"")</f>
        <v/>
      </c>
      <c r="N176">
        <f>IFERROR(INDEX(ExchangeConfirms!$J$2:$J$460,MATCH($A176,ExchangeConfirms!$A$2:$A$460,0)),"")</f>
        <v/>
      </c>
      <c r="O176">
        <f>IFERROR(INDEX(InternalTrades!$I$2:$I$461,MATCH($A176,InternalTrades!$A$2:$A$461,0)),"")</f>
        <v/>
      </c>
      <c r="P176">
        <f>IFERROR(INDEX(ExchangeConfirms!$I$2:$I$460,MATCH($A176,ExchangeConfirms!$A$2:$A$460,0)),"")</f>
        <v/>
      </c>
      <c r="Q176">
        <f>IF(AND($E176=1,$F176=0),"MISSING IN EXCHANGE",IF(AND($E176=0,$F176=1),"MISSING IN INTERNAL",IF($G176&lt;&gt;$H176,"SIDE BREAK",IF($I176&lt;&gt;$J176,"QTY BREAK",IF(ABS($K176-$L176)&gt;0.005,"PRICE BREAK",IF(ABS($M176-$N176)&gt;0.01,"FEE BREAK","MATCHED"))))))</f>
        <v/>
      </c>
      <c r="R176">
        <f>IF($Q176="MATCHED",0,1)</f>
        <v/>
      </c>
      <c r="S176">
        <f>IF($Q176="MATCHED",0,IF($Q176="MISSING IN EXCHANGE",$O176,IF($Q176="MISSING IN INTERNAL",$P176,ABS(N($O176)-N($P176)))))</f>
        <v/>
      </c>
    </row>
    <row r="177">
      <c r="A177" t="inlineStr">
        <is>
          <t>T100176</t>
        </is>
      </c>
      <c r="B177">
        <f>IFERROR(INDEX(InternalTrades!$D$2:$D$461,MATCH($A177,InternalTrades!$A$2:$A$461,0)),INDEX(ExchangeConfirms!$D$2:$D$460,MATCH($A177,ExchangeConfirms!$A$2:$A$460,0)))</f>
        <v/>
      </c>
      <c r="C177">
        <f>IFERROR(INDEX(InternalTrades!$E$2:$E$461,MATCH($A177,InternalTrades!$A$2:$A$461,0)),INDEX(ExchangeConfirms!$E$2:$E$460,MATCH($A177,ExchangeConfirms!$A$2:$A$460,0)))</f>
        <v/>
      </c>
      <c r="D177">
        <f>IFERROR(INDEX(InternalTrades!$K$2:$K$461,MATCH($A177,InternalTrades!$A$2:$A$461,0)),INDEX(ExchangeConfirms!$K$2:$K$460,MATCH($A177,ExchangeConfirms!$A$2:$A$460,0)))</f>
        <v/>
      </c>
      <c r="E177">
        <f>IF(COUNTIF(InternalTrades!$A$2:$A$461,$A177)&gt;0,1,0)</f>
        <v/>
      </c>
      <c r="F177">
        <f>IF(COUNTIF(ExchangeConfirms!$A$2:$A$460,$A177)&gt;0,1,0)</f>
        <v/>
      </c>
      <c r="G177">
        <f>IFERROR(INDEX(InternalTrades!$F$2:$F$461,MATCH($A177,InternalTrades!$A$2:$A$461,0)),"")</f>
        <v/>
      </c>
      <c r="H177">
        <f>IFERROR(INDEX(ExchangeConfirms!$F$2:$F$460,MATCH($A177,ExchangeConfirms!$A$2:$A$460,0)),"")</f>
        <v/>
      </c>
      <c r="I177">
        <f>IFERROR(INDEX(InternalTrades!$G$2:$G$461,MATCH($A177,InternalTrades!$A$2:$A$461,0)),"")</f>
        <v/>
      </c>
      <c r="J177">
        <f>IFERROR(INDEX(ExchangeConfirms!$G$2:$G$460,MATCH($A177,ExchangeConfirms!$A$2:$A$460,0)),"")</f>
        <v/>
      </c>
      <c r="K177">
        <f>IFERROR(INDEX(InternalTrades!$H$2:$H$461,MATCH($A177,InternalTrades!$A$2:$A$461,0)),"")</f>
        <v/>
      </c>
      <c r="L177">
        <f>IFERROR(INDEX(ExchangeConfirms!$H$2:$H$460,MATCH($A177,ExchangeConfirms!$A$2:$A$460,0)),"")</f>
        <v/>
      </c>
      <c r="M177">
        <f>IFERROR(INDEX(InternalTrades!$J$2:$J$461,MATCH($A177,InternalTrades!$A$2:$A$461,0)),"")</f>
        <v/>
      </c>
      <c r="N177">
        <f>IFERROR(INDEX(ExchangeConfirms!$J$2:$J$460,MATCH($A177,ExchangeConfirms!$A$2:$A$460,0)),"")</f>
        <v/>
      </c>
      <c r="O177">
        <f>IFERROR(INDEX(InternalTrades!$I$2:$I$461,MATCH($A177,InternalTrades!$A$2:$A$461,0)),"")</f>
        <v/>
      </c>
      <c r="P177">
        <f>IFERROR(INDEX(ExchangeConfirms!$I$2:$I$460,MATCH($A177,ExchangeConfirms!$A$2:$A$460,0)),"")</f>
        <v/>
      </c>
      <c r="Q177">
        <f>IF(AND($E177=1,$F177=0),"MISSING IN EXCHANGE",IF(AND($E177=0,$F177=1),"MISSING IN INTERNAL",IF($G177&lt;&gt;$H177,"SIDE BREAK",IF($I177&lt;&gt;$J177,"QTY BREAK",IF(ABS($K177-$L177)&gt;0.005,"PRICE BREAK",IF(ABS($M177-$N177)&gt;0.01,"FEE BREAK","MATCHED"))))))</f>
        <v/>
      </c>
      <c r="R177">
        <f>IF($Q177="MATCHED",0,1)</f>
        <v/>
      </c>
      <c r="S177">
        <f>IF($Q177="MATCHED",0,IF($Q177="MISSING IN EXCHANGE",$O177,IF($Q177="MISSING IN INTERNAL",$P177,ABS(N($O177)-N($P177)))))</f>
        <v/>
      </c>
    </row>
    <row r="178">
      <c r="A178" t="inlineStr">
        <is>
          <t>T100177</t>
        </is>
      </c>
      <c r="B178">
        <f>IFERROR(INDEX(InternalTrades!$D$2:$D$461,MATCH($A178,InternalTrades!$A$2:$A$461,0)),INDEX(ExchangeConfirms!$D$2:$D$460,MATCH($A178,ExchangeConfirms!$A$2:$A$460,0)))</f>
        <v/>
      </c>
      <c r="C178">
        <f>IFERROR(INDEX(InternalTrades!$E$2:$E$461,MATCH($A178,InternalTrades!$A$2:$A$461,0)),INDEX(ExchangeConfirms!$E$2:$E$460,MATCH($A178,ExchangeConfirms!$A$2:$A$460,0)))</f>
        <v/>
      </c>
      <c r="D178">
        <f>IFERROR(INDEX(InternalTrades!$K$2:$K$461,MATCH($A178,InternalTrades!$A$2:$A$461,0)),INDEX(ExchangeConfirms!$K$2:$K$460,MATCH($A178,ExchangeConfirms!$A$2:$A$460,0)))</f>
        <v/>
      </c>
      <c r="E178">
        <f>IF(COUNTIF(InternalTrades!$A$2:$A$461,$A178)&gt;0,1,0)</f>
        <v/>
      </c>
      <c r="F178">
        <f>IF(COUNTIF(ExchangeConfirms!$A$2:$A$460,$A178)&gt;0,1,0)</f>
        <v/>
      </c>
      <c r="G178">
        <f>IFERROR(INDEX(InternalTrades!$F$2:$F$461,MATCH($A178,InternalTrades!$A$2:$A$461,0)),"")</f>
        <v/>
      </c>
      <c r="H178">
        <f>IFERROR(INDEX(ExchangeConfirms!$F$2:$F$460,MATCH($A178,ExchangeConfirms!$A$2:$A$460,0)),"")</f>
        <v/>
      </c>
      <c r="I178">
        <f>IFERROR(INDEX(InternalTrades!$G$2:$G$461,MATCH($A178,InternalTrades!$A$2:$A$461,0)),"")</f>
        <v/>
      </c>
      <c r="J178">
        <f>IFERROR(INDEX(ExchangeConfirms!$G$2:$G$460,MATCH($A178,ExchangeConfirms!$A$2:$A$460,0)),"")</f>
        <v/>
      </c>
      <c r="K178">
        <f>IFERROR(INDEX(InternalTrades!$H$2:$H$461,MATCH($A178,InternalTrades!$A$2:$A$461,0)),"")</f>
        <v/>
      </c>
      <c r="L178">
        <f>IFERROR(INDEX(ExchangeConfirms!$H$2:$H$460,MATCH($A178,ExchangeConfirms!$A$2:$A$460,0)),"")</f>
        <v/>
      </c>
      <c r="M178">
        <f>IFERROR(INDEX(InternalTrades!$J$2:$J$461,MATCH($A178,InternalTrades!$A$2:$A$461,0)),"")</f>
        <v/>
      </c>
      <c r="N178">
        <f>IFERROR(INDEX(ExchangeConfirms!$J$2:$J$460,MATCH($A178,ExchangeConfirms!$A$2:$A$460,0)),"")</f>
        <v/>
      </c>
      <c r="O178">
        <f>IFERROR(INDEX(InternalTrades!$I$2:$I$461,MATCH($A178,InternalTrades!$A$2:$A$461,0)),"")</f>
        <v/>
      </c>
      <c r="P178">
        <f>IFERROR(INDEX(ExchangeConfirms!$I$2:$I$460,MATCH($A178,ExchangeConfirms!$A$2:$A$460,0)),"")</f>
        <v/>
      </c>
      <c r="Q178">
        <f>IF(AND($E178=1,$F178=0),"MISSING IN EXCHANGE",IF(AND($E178=0,$F178=1),"MISSING IN INTERNAL",IF($G178&lt;&gt;$H178,"SIDE BREAK",IF($I178&lt;&gt;$J178,"QTY BREAK",IF(ABS($K178-$L178)&gt;0.005,"PRICE BREAK",IF(ABS($M178-$N178)&gt;0.01,"FEE BREAK","MATCHED"))))))</f>
        <v/>
      </c>
      <c r="R178">
        <f>IF($Q178="MATCHED",0,1)</f>
        <v/>
      </c>
      <c r="S178">
        <f>IF($Q178="MATCHED",0,IF($Q178="MISSING IN EXCHANGE",$O178,IF($Q178="MISSING IN INTERNAL",$P178,ABS(N($O178)-N($P178)))))</f>
        <v/>
      </c>
    </row>
    <row r="179">
      <c r="A179" t="inlineStr">
        <is>
          <t>T100178</t>
        </is>
      </c>
      <c r="B179">
        <f>IFERROR(INDEX(InternalTrades!$D$2:$D$461,MATCH($A179,InternalTrades!$A$2:$A$461,0)),INDEX(ExchangeConfirms!$D$2:$D$460,MATCH($A179,ExchangeConfirms!$A$2:$A$460,0)))</f>
        <v/>
      </c>
      <c r="C179">
        <f>IFERROR(INDEX(InternalTrades!$E$2:$E$461,MATCH($A179,InternalTrades!$A$2:$A$461,0)),INDEX(ExchangeConfirms!$E$2:$E$460,MATCH($A179,ExchangeConfirms!$A$2:$A$460,0)))</f>
        <v/>
      </c>
      <c r="D179">
        <f>IFERROR(INDEX(InternalTrades!$K$2:$K$461,MATCH($A179,InternalTrades!$A$2:$A$461,0)),INDEX(ExchangeConfirms!$K$2:$K$460,MATCH($A179,ExchangeConfirms!$A$2:$A$460,0)))</f>
        <v/>
      </c>
      <c r="E179">
        <f>IF(COUNTIF(InternalTrades!$A$2:$A$461,$A179)&gt;0,1,0)</f>
        <v/>
      </c>
      <c r="F179">
        <f>IF(COUNTIF(ExchangeConfirms!$A$2:$A$460,$A179)&gt;0,1,0)</f>
        <v/>
      </c>
      <c r="G179">
        <f>IFERROR(INDEX(InternalTrades!$F$2:$F$461,MATCH($A179,InternalTrades!$A$2:$A$461,0)),"")</f>
        <v/>
      </c>
      <c r="H179">
        <f>IFERROR(INDEX(ExchangeConfirms!$F$2:$F$460,MATCH($A179,ExchangeConfirms!$A$2:$A$460,0)),"")</f>
        <v/>
      </c>
      <c r="I179">
        <f>IFERROR(INDEX(InternalTrades!$G$2:$G$461,MATCH($A179,InternalTrades!$A$2:$A$461,0)),"")</f>
        <v/>
      </c>
      <c r="J179">
        <f>IFERROR(INDEX(ExchangeConfirms!$G$2:$G$460,MATCH($A179,ExchangeConfirms!$A$2:$A$460,0)),"")</f>
        <v/>
      </c>
      <c r="K179">
        <f>IFERROR(INDEX(InternalTrades!$H$2:$H$461,MATCH($A179,InternalTrades!$A$2:$A$461,0)),"")</f>
        <v/>
      </c>
      <c r="L179">
        <f>IFERROR(INDEX(ExchangeConfirms!$H$2:$H$460,MATCH($A179,ExchangeConfirms!$A$2:$A$460,0)),"")</f>
        <v/>
      </c>
      <c r="M179">
        <f>IFERROR(INDEX(InternalTrades!$J$2:$J$461,MATCH($A179,InternalTrades!$A$2:$A$461,0)),"")</f>
        <v/>
      </c>
      <c r="N179">
        <f>IFERROR(INDEX(ExchangeConfirms!$J$2:$J$460,MATCH($A179,ExchangeConfirms!$A$2:$A$460,0)),"")</f>
        <v/>
      </c>
      <c r="O179">
        <f>IFERROR(INDEX(InternalTrades!$I$2:$I$461,MATCH($A179,InternalTrades!$A$2:$A$461,0)),"")</f>
        <v/>
      </c>
      <c r="P179">
        <f>IFERROR(INDEX(ExchangeConfirms!$I$2:$I$460,MATCH($A179,ExchangeConfirms!$A$2:$A$460,0)),"")</f>
        <v/>
      </c>
      <c r="Q179">
        <f>IF(AND($E179=1,$F179=0),"MISSING IN EXCHANGE",IF(AND($E179=0,$F179=1),"MISSING IN INTERNAL",IF($G179&lt;&gt;$H179,"SIDE BREAK",IF($I179&lt;&gt;$J179,"QTY BREAK",IF(ABS($K179-$L179)&gt;0.005,"PRICE BREAK",IF(ABS($M179-$N179)&gt;0.01,"FEE BREAK","MATCHED"))))))</f>
        <v/>
      </c>
      <c r="R179">
        <f>IF($Q179="MATCHED",0,1)</f>
        <v/>
      </c>
      <c r="S179">
        <f>IF($Q179="MATCHED",0,IF($Q179="MISSING IN EXCHANGE",$O179,IF($Q179="MISSING IN INTERNAL",$P179,ABS(N($O179)-N($P179)))))</f>
        <v/>
      </c>
    </row>
    <row r="180">
      <c r="A180" t="inlineStr">
        <is>
          <t>T100179</t>
        </is>
      </c>
      <c r="B180">
        <f>IFERROR(INDEX(InternalTrades!$D$2:$D$461,MATCH($A180,InternalTrades!$A$2:$A$461,0)),INDEX(ExchangeConfirms!$D$2:$D$460,MATCH($A180,ExchangeConfirms!$A$2:$A$460,0)))</f>
        <v/>
      </c>
      <c r="C180">
        <f>IFERROR(INDEX(InternalTrades!$E$2:$E$461,MATCH($A180,InternalTrades!$A$2:$A$461,0)),INDEX(ExchangeConfirms!$E$2:$E$460,MATCH($A180,ExchangeConfirms!$A$2:$A$460,0)))</f>
        <v/>
      </c>
      <c r="D180">
        <f>IFERROR(INDEX(InternalTrades!$K$2:$K$461,MATCH($A180,InternalTrades!$A$2:$A$461,0)),INDEX(ExchangeConfirms!$K$2:$K$460,MATCH($A180,ExchangeConfirms!$A$2:$A$460,0)))</f>
        <v/>
      </c>
      <c r="E180">
        <f>IF(COUNTIF(InternalTrades!$A$2:$A$461,$A180)&gt;0,1,0)</f>
        <v/>
      </c>
      <c r="F180">
        <f>IF(COUNTIF(ExchangeConfirms!$A$2:$A$460,$A180)&gt;0,1,0)</f>
        <v/>
      </c>
      <c r="G180">
        <f>IFERROR(INDEX(InternalTrades!$F$2:$F$461,MATCH($A180,InternalTrades!$A$2:$A$461,0)),"")</f>
        <v/>
      </c>
      <c r="H180">
        <f>IFERROR(INDEX(ExchangeConfirms!$F$2:$F$460,MATCH($A180,ExchangeConfirms!$A$2:$A$460,0)),"")</f>
        <v/>
      </c>
      <c r="I180">
        <f>IFERROR(INDEX(InternalTrades!$G$2:$G$461,MATCH($A180,InternalTrades!$A$2:$A$461,0)),"")</f>
        <v/>
      </c>
      <c r="J180">
        <f>IFERROR(INDEX(ExchangeConfirms!$G$2:$G$460,MATCH($A180,ExchangeConfirms!$A$2:$A$460,0)),"")</f>
        <v/>
      </c>
      <c r="K180">
        <f>IFERROR(INDEX(InternalTrades!$H$2:$H$461,MATCH($A180,InternalTrades!$A$2:$A$461,0)),"")</f>
        <v/>
      </c>
      <c r="L180">
        <f>IFERROR(INDEX(ExchangeConfirms!$H$2:$H$460,MATCH($A180,ExchangeConfirms!$A$2:$A$460,0)),"")</f>
        <v/>
      </c>
      <c r="M180">
        <f>IFERROR(INDEX(InternalTrades!$J$2:$J$461,MATCH($A180,InternalTrades!$A$2:$A$461,0)),"")</f>
        <v/>
      </c>
      <c r="N180">
        <f>IFERROR(INDEX(ExchangeConfirms!$J$2:$J$460,MATCH($A180,ExchangeConfirms!$A$2:$A$460,0)),"")</f>
        <v/>
      </c>
      <c r="O180">
        <f>IFERROR(INDEX(InternalTrades!$I$2:$I$461,MATCH($A180,InternalTrades!$A$2:$A$461,0)),"")</f>
        <v/>
      </c>
      <c r="P180">
        <f>IFERROR(INDEX(ExchangeConfirms!$I$2:$I$460,MATCH($A180,ExchangeConfirms!$A$2:$A$460,0)),"")</f>
        <v/>
      </c>
      <c r="Q180">
        <f>IF(AND($E180=1,$F180=0),"MISSING IN EXCHANGE",IF(AND($E180=0,$F180=1),"MISSING IN INTERNAL",IF($G180&lt;&gt;$H180,"SIDE BREAK",IF($I180&lt;&gt;$J180,"QTY BREAK",IF(ABS($K180-$L180)&gt;0.005,"PRICE BREAK",IF(ABS($M180-$N180)&gt;0.01,"FEE BREAK","MATCHED"))))))</f>
        <v/>
      </c>
      <c r="R180">
        <f>IF($Q180="MATCHED",0,1)</f>
        <v/>
      </c>
      <c r="S180">
        <f>IF($Q180="MATCHED",0,IF($Q180="MISSING IN EXCHANGE",$O180,IF($Q180="MISSING IN INTERNAL",$P180,ABS(N($O180)-N($P180)))))</f>
        <v/>
      </c>
    </row>
    <row r="181">
      <c r="A181" t="inlineStr">
        <is>
          <t>T100180</t>
        </is>
      </c>
      <c r="B181">
        <f>IFERROR(INDEX(InternalTrades!$D$2:$D$461,MATCH($A181,InternalTrades!$A$2:$A$461,0)),INDEX(ExchangeConfirms!$D$2:$D$460,MATCH($A181,ExchangeConfirms!$A$2:$A$460,0)))</f>
        <v/>
      </c>
      <c r="C181">
        <f>IFERROR(INDEX(InternalTrades!$E$2:$E$461,MATCH($A181,InternalTrades!$A$2:$A$461,0)),INDEX(ExchangeConfirms!$E$2:$E$460,MATCH($A181,ExchangeConfirms!$A$2:$A$460,0)))</f>
        <v/>
      </c>
      <c r="D181">
        <f>IFERROR(INDEX(InternalTrades!$K$2:$K$461,MATCH($A181,InternalTrades!$A$2:$A$461,0)),INDEX(ExchangeConfirms!$K$2:$K$460,MATCH($A181,ExchangeConfirms!$A$2:$A$460,0)))</f>
        <v/>
      </c>
      <c r="E181">
        <f>IF(COUNTIF(InternalTrades!$A$2:$A$461,$A181)&gt;0,1,0)</f>
        <v/>
      </c>
      <c r="F181">
        <f>IF(COUNTIF(ExchangeConfirms!$A$2:$A$460,$A181)&gt;0,1,0)</f>
        <v/>
      </c>
      <c r="G181">
        <f>IFERROR(INDEX(InternalTrades!$F$2:$F$461,MATCH($A181,InternalTrades!$A$2:$A$461,0)),"")</f>
        <v/>
      </c>
      <c r="H181">
        <f>IFERROR(INDEX(ExchangeConfirms!$F$2:$F$460,MATCH($A181,ExchangeConfirms!$A$2:$A$460,0)),"")</f>
        <v/>
      </c>
      <c r="I181">
        <f>IFERROR(INDEX(InternalTrades!$G$2:$G$461,MATCH($A181,InternalTrades!$A$2:$A$461,0)),"")</f>
        <v/>
      </c>
      <c r="J181">
        <f>IFERROR(INDEX(ExchangeConfirms!$G$2:$G$460,MATCH($A181,ExchangeConfirms!$A$2:$A$460,0)),"")</f>
        <v/>
      </c>
      <c r="K181">
        <f>IFERROR(INDEX(InternalTrades!$H$2:$H$461,MATCH($A181,InternalTrades!$A$2:$A$461,0)),"")</f>
        <v/>
      </c>
      <c r="L181">
        <f>IFERROR(INDEX(ExchangeConfirms!$H$2:$H$460,MATCH($A181,ExchangeConfirms!$A$2:$A$460,0)),"")</f>
        <v/>
      </c>
      <c r="M181">
        <f>IFERROR(INDEX(InternalTrades!$J$2:$J$461,MATCH($A181,InternalTrades!$A$2:$A$461,0)),"")</f>
        <v/>
      </c>
      <c r="N181">
        <f>IFERROR(INDEX(ExchangeConfirms!$J$2:$J$460,MATCH($A181,ExchangeConfirms!$A$2:$A$460,0)),"")</f>
        <v/>
      </c>
      <c r="O181">
        <f>IFERROR(INDEX(InternalTrades!$I$2:$I$461,MATCH($A181,InternalTrades!$A$2:$A$461,0)),"")</f>
        <v/>
      </c>
      <c r="P181">
        <f>IFERROR(INDEX(ExchangeConfirms!$I$2:$I$460,MATCH($A181,ExchangeConfirms!$A$2:$A$460,0)),"")</f>
        <v/>
      </c>
      <c r="Q181">
        <f>IF(AND($E181=1,$F181=0),"MISSING IN EXCHANGE",IF(AND($E181=0,$F181=1),"MISSING IN INTERNAL",IF($G181&lt;&gt;$H181,"SIDE BREAK",IF($I181&lt;&gt;$J181,"QTY BREAK",IF(ABS($K181-$L181)&gt;0.005,"PRICE BREAK",IF(ABS($M181-$N181)&gt;0.01,"FEE BREAK","MATCHED"))))))</f>
        <v/>
      </c>
      <c r="R181">
        <f>IF($Q181="MATCHED",0,1)</f>
        <v/>
      </c>
      <c r="S181">
        <f>IF($Q181="MATCHED",0,IF($Q181="MISSING IN EXCHANGE",$O181,IF($Q181="MISSING IN INTERNAL",$P181,ABS(N($O181)-N($P181)))))</f>
        <v/>
      </c>
    </row>
    <row r="182">
      <c r="A182" t="inlineStr">
        <is>
          <t>T100181</t>
        </is>
      </c>
      <c r="B182">
        <f>IFERROR(INDEX(InternalTrades!$D$2:$D$461,MATCH($A182,InternalTrades!$A$2:$A$461,0)),INDEX(ExchangeConfirms!$D$2:$D$460,MATCH($A182,ExchangeConfirms!$A$2:$A$460,0)))</f>
        <v/>
      </c>
      <c r="C182">
        <f>IFERROR(INDEX(InternalTrades!$E$2:$E$461,MATCH($A182,InternalTrades!$A$2:$A$461,0)),INDEX(ExchangeConfirms!$E$2:$E$460,MATCH($A182,ExchangeConfirms!$A$2:$A$460,0)))</f>
        <v/>
      </c>
      <c r="D182">
        <f>IFERROR(INDEX(InternalTrades!$K$2:$K$461,MATCH($A182,InternalTrades!$A$2:$A$461,0)),INDEX(ExchangeConfirms!$K$2:$K$460,MATCH($A182,ExchangeConfirms!$A$2:$A$460,0)))</f>
        <v/>
      </c>
      <c r="E182">
        <f>IF(COUNTIF(InternalTrades!$A$2:$A$461,$A182)&gt;0,1,0)</f>
        <v/>
      </c>
      <c r="F182">
        <f>IF(COUNTIF(ExchangeConfirms!$A$2:$A$460,$A182)&gt;0,1,0)</f>
        <v/>
      </c>
      <c r="G182">
        <f>IFERROR(INDEX(InternalTrades!$F$2:$F$461,MATCH($A182,InternalTrades!$A$2:$A$461,0)),"")</f>
        <v/>
      </c>
      <c r="H182">
        <f>IFERROR(INDEX(ExchangeConfirms!$F$2:$F$460,MATCH($A182,ExchangeConfirms!$A$2:$A$460,0)),"")</f>
        <v/>
      </c>
      <c r="I182">
        <f>IFERROR(INDEX(InternalTrades!$G$2:$G$461,MATCH($A182,InternalTrades!$A$2:$A$461,0)),"")</f>
        <v/>
      </c>
      <c r="J182">
        <f>IFERROR(INDEX(ExchangeConfirms!$G$2:$G$460,MATCH($A182,ExchangeConfirms!$A$2:$A$460,0)),"")</f>
        <v/>
      </c>
      <c r="K182">
        <f>IFERROR(INDEX(InternalTrades!$H$2:$H$461,MATCH($A182,InternalTrades!$A$2:$A$461,0)),"")</f>
        <v/>
      </c>
      <c r="L182">
        <f>IFERROR(INDEX(ExchangeConfirms!$H$2:$H$460,MATCH($A182,ExchangeConfirms!$A$2:$A$460,0)),"")</f>
        <v/>
      </c>
      <c r="M182">
        <f>IFERROR(INDEX(InternalTrades!$J$2:$J$461,MATCH($A182,InternalTrades!$A$2:$A$461,0)),"")</f>
        <v/>
      </c>
      <c r="N182">
        <f>IFERROR(INDEX(ExchangeConfirms!$J$2:$J$460,MATCH($A182,ExchangeConfirms!$A$2:$A$460,0)),"")</f>
        <v/>
      </c>
      <c r="O182">
        <f>IFERROR(INDEX(InternalTrades!$I$2:$I$461,MATCH($A182,InternalTrades!$A$2:$A$461,0)),"")</f>
        <v/>
      </c>
      <c r="P182">
        <f>IFERROR(INDEX(ExchangeConfirms!$I$2:$I$460,MATCH($A182,ExchangeConfirms!$A$2:$A$460,0)),"")</f>
        <v/>
      </c>
      <c r="Q182">
        <f>IF(AND($E182=1,$F182=0),"MISSING IN EXCHANGE",IF(AND($E182=0,$F182=1),"MISSING IN INTERNAL",IF($G182&lt;&gt;$H182,"SIDE BREAK",IF($I182&lt;&gt;$J182,"QTY BREAK",IF(ABS($K182-$L182)&gt;0.005,"PRICE BREAK",IF(ABS($M182-$N182)&gt;0.01,"FEE BREAK","MATCHED"))))))</f>
        <v/>
      </c>
      <c r="R182">
        <f>IF($Q182="MATCHED",0,1)</f>
        <v/>
      </c>
      <c r="S182">
        <f>IF($Q182="MATCHED",0,IF($Q182="MISSING IN EXCHANGE",$O182,IF($Q182="MISSING IN INTERNAL",$P182,ABS(N($O182)-N($P182)))))</f>
        <v/>
      </c>
    </row>
    <row r="183">
      <c r="A183" t="inlineStr">
        <is>
          <t>T100182</t>
        </is>
      </c>
      <c r="B183">
        <f>IFERROR(INDEX(InternalTrades!$D$2:$D$461,MATCH($A183,InternalTrades!$A$2:$A$461,0)),INDEX(ExchangeConfirms!$D$2:$D$460,MATCH($A183,ExchangeConfirms!$A$2:$A$460,0)))</f>
        <v/>
      </c>
      <c r="C183">
        <f>IFERROR(INDEX(InternalTrades!$E$2:$E$461,MATCH($A183,InternalTrades!$A$2:$A$461,0)),INDEX(ExchangeConfirms!$E$2:$E$460,MATCH($A183,ExchangeConfirms!$A$2:$A$460,0)))</f>
        <v/>
      </c>
      <c r="D183">
        <f>IFERROR(INDEX(InternalTrades!$K$2:$K$461,MATCH($A183,InternalTrades!$A$2:$A$461,0)),INDEX(ExchangeConfirms!$K$2:$K$460,MATCH($A183,ExchangeConfirms!$A$2:$A$460,0)))</f>
        <v/>
      </c>
      <c r="E183">
        <f>IF(COUNTIF(InternalTrades!$A$2:$A$461,$A183)&gt;0,1,0)</f>
        <v/>
      </c>
      <c r="F183">
        <f>IF(COUNTIF(ExchangeConfirms!$A$2:$A$460,$A183)&gt;0,1,0)</f>
        <v/>
      </c>
      <c r="G183">
        <f>IFERROR(INDEX(InternalTrades!$F$2:$F$461,MATCH($A183,InternalTrades!$A$2:$A$461,0)),"")</f>
        <v/>
      </c>
      <c r="H183">
        <f>IFERROR(INDEX(ExchangeConfirms!$F$2:$F$460,MATCH($A183,ExchangeConfirms!$A$2:$A$460,0)),"")</f>
        <v/>
      </c>
      <c r="I183">
        <f>IFERROR(INDEX(InternalTrades!$G$2:$G$461,MATCH($A183,InternalTrades!$A$2:$A$461,0)),"")</f>
        <v/>
      </c>
      <c r="J183">
        <f>IFERROR(INDEX(ExchangeConfirms!$G$2:$G$460,MATCH($A183,ExchangeConfirms!$A$2:$A$460,0)),"")</f>
        <v/>
      </c>
      <c r="K183">
        <f>IFERROR(INDEX(InternalTrades!$H$2:$H$461,MATCH($A183,InternalTrades!$A$2:$A$461,0)),"")</f>
        <v/>
      </c>
      <c r="L183">
        <f>IFERROR(INDEX(ExchangeConfirms!$H$2:$H$460,MATCH($A183,ExchangeConfirms!$A$2:$A$460,0)),"")</f>
        <v/>
      </c>
      <c r="M183">
        <f>IFERROR(INDEX(InternalTrades!$J$2:$J$461,MATCH($A183,InternalTrades!$A$2:$A$461,0)),"")</f>
        <v/>
      </c>
      <c r="N183">
        <f>IFERROR(INDEX(ExchangeConfirms!$J$2:$J$460,MATCH($A183,ExchangeConfirms!$A$2:$A$460,0)),"")</f>
        <v/>
      </c>
      <c r="O183">
        <f>IFERROR(INDEX(InternalTrades!$I$2:$I$461,MATCH($A183,InternalTrades!$A$2:$A$461,0)),"")</f>
        <v/>
      </c>
      <c r="P183">
        <f>IFERROR(INDEX(ExchangeConfirms!$I$2:$I$460,MATCH($A183,ExchangeConfirms!$A$2:$A$460,0)),"")</f>
        <v/>
      </c>
      <c r="Q183">
        <f>IF(AND($E183=1,$F183=0),"MISSING IN EXCHANGE",IF(AND($E183=0,$F183=1),"MISSING IN INTERNAL",IF($G183&lt;&gt;$H183,"SIDE BREAK",IF($I183&lt;&gt;$J183,"QTY BREAK",IF(ABS($K183-$L183)&gt;0.005,"PRICE BREAK",IF(ABS($M183-$N183)&gt;0.01,"FEE BREAK","MATCHED"))))))</f>
        <v/>
      </c>
      <c r="R183">
        <f>IF($Q183="MATCHED",0,1)</f>
        <v/>
      </c>
      <c r="S183">
        <f>IF($Q183="MATCHED",0,IF($Q183="MISSING IN EXCHANGE",$O183,IF($Q183="MISSING IN INTERNAL",$P183,ABS(N($O183)-N($P183)))))</f>
        <v/>
      </c>
    </row>
    <row r="184">
      <c r="A184" t="inlineStr">
        <is>
          <t>T100183</t>
        </is>
      </c>
      <c r="B184">
        <f>IFERROR(INDEX(InternalTrades!$D$2:$D$461,MATCH($A184,InternalTrades!$A$2:$A$461,0)),INDEX(ExchangeConfirms!$D$2:$D$460,MATCH($A184,ExchangeConfirms!$A$2:$A$460,0)))</f>
        <v/>
      </c>
      <c r="C184">
        <f>IFERROR(INDEX(InternalTrades!$E$2:$E$461,MATCH($A184,InternalTrades!$A$2:$A$461,0)),INDEX(ExchangeConfirms!$E$2:$E$460,MATCH($A184,ExchangeConfirms!$A$2:$A$460,0)))</f>
        <v/>
      </c>
      <c r="D184">
        <f>IFERROR(INDEX(InternalTrades!$K$2:$K$461,MATCH($A184,InternalTrades!$A$2:$A$461,0)),INDEX(ExchangeConfirms!$K$2:$K$460,MATCH($A184,ExchangeConfirms!$A$2:$A$460,0)))</f>
        <v/>
      </c>
      <c r="E184">
        <f>IF(COUNTIF(InternalTrades!$A$2:$A$461,$A184)&gt;0,1,0)</f>
        <v/>
      </c>
      <c r="F184">
        <f>IF(COUNTIF(ExchangeConfirms!$A$2:$A$460,$A184)&gt;0,1,0)</f>
        <v/>
      </c>
      <c r="G184">
        <f>IFERROR(INDEX(InternalTrades!$F$2:$F$461,MATCH($A184,InternalTrades!$A$2:$A$461,0)),"")</f>
        <v/>
      </c>
      <c r="H184">
        <f>IFERROR(INDEX(ExchangeConfirms!$F$2:$F$460,MATCH($A184,ExchangeConfirms!$A$2:$A$460,0)),"")</f>
        <v/>
      </c>
      <c r="I184">
        <f>IFERROR(INDEX(InternalTrades!$G$2:$G$461,MATCH($A184,InternalTrades!$A$2:$A$461,0)),"")</f>
        <v/>
      </c>
      <c r="J184">
        <f>IFERROR(INDEX(ExchangeConfirms!$G$2:$G$460,MATCH($A184,ExchangeConfirms!$A$2:$A$460,0)),"")</f>
        <v/>
      </c>
      <c r="K184">
        <f>IFERROR(INDEX(InternalTrades!$H$2:$H$461,MATCH($A184,InternalTrades!$A$2:$A$461,0)),"")</f>
        <v/>
      </c>
      <c r="L184">
        <f>IFERROR(INDEX(ExchangeConfirms!$H$2:$H$460,MATCH($A184,ExchangeConfirms!$A$2:$A$460,0)),"")</f>
        <v/>
      </c>
      <c r="M184">
        <f>IFERROR(INDEX(InternalTrades!$J$2:$J$461,MATCH($A184,InternalTrades!$A$2:$A$461,0)),"")</f>
        <v/>
      </c>
      <c r="N184">
        <f>IFERROR(INDEX(ExchangeConfirms!$J$2:$J$460,MATCH($A184,ExchangeConfirms!$A$2:$A$460,0)),"")</f>
        <v/>
      </c>
      <c r="O184">
        <f>IFERROR(INDEX(InternalTrades!$I$2:$I$461,MATCH($A184,InternalTrades!$A$2:$A$461,0)),"")</f>
        <v/>
      </c>
      <c r="P184">
        <f>IFERROR(INDEX(ExchangeConfirms!$I$2:$I$460,MATCH($A184,ExchangeConfirms!$A$2:$A$460,0)),"")</f>
        <v/>
      </c>
      <c r="Q184">
        <f>IF(AND($E184=1,$F184=0),"MISSING IN EXCHANGE",IF(AND($E184=0,$F184=1),"MISSING IN INTERNAL",IF($G184&lt;&gt;$H184,"SIDE BREAK",IF($I184&lt;&gt;$J184,"QTY BREAK",IF(ABS($K184-$L184)&gt;0.005,"PRICE BREAK",IF(ABS($M184-$N184)&gt;0.01,"FEE BREAK","MATCHED"))))))</f>
        <v/>
      </c>
      <c r="R184">
        <f>IF($Q184="MATCHED",0,1)</f>
        <v/>
      </c>
      <c r="S184">
        <f>IF($Q184="MATCHED",0,IF($Q184="MISSING IN EXCHANGE",$O184,IF($Q184="MISSING IN INTERNAL",$P184,ABS(N($O184)-N($P184)))))</f>
        <v/>
      </c>
    </row>
    <row r="185">
      <c r="A185" t="inlineStr">
        <is>
          <t>T100184</t>
        </is>
      </c>
      <c r="B185">
        <f>IFERROR(INDEX(InternalTrades!$D$2:$D$461,MATCH($A185,InternalTrades!$A$2:$A$461,0)),INDEX(ExchangeConfirms!$D$2:$D$460,MATCH($A185,ExchangeConfirms!$A$2:$A$460,0)))</f>
        <v/>
      </c>
      <c r="C185">
        <f>IFERROR(INDEX(InternalTrades!$E$2:$E$461,MATCH($A185,InternalTrades!$A$2:$A$461,0)),INDEX(ExchangeConfirms!$E$2:$E$460,MATCH($A185,ExchangeConfirms!$A$2:$A$460,0)))</f>
        <v/>
      </c>
      <c r="D185">
        <f>IFERROR(INDEX(InternalTrades!$K$2:$K$461,MATCH($A185,InternalTrades!$A$2:$A$461,0)),INDEX(ExchangeConfirms!$K$2:$K$460,MATCH($A185,ExchangeConfirms!$A$2:$A$460,0)))</f>
        <v/>
      </c>
      <c r="E185">
        <f>IF(COUNTIF(InternalTrades!$A$2:$A$461,$A185)&gt;0,1,0)</f>
        <v/>
      </c>
      <c r="F185">
        <f>IF(COUNTIF(ExchangeConfirms!$A$2:$A$460,$A185)&gt;0,1,0)</f>
        <v/>
      </c>
      <c r="G185">
        <f>IFERROR(INDEX(InternalTrades!$F$2:$F$461,MATCH($A185,InternalTrades!$A$2:$A$461,0)),"")</f>
        <v/>
      </c>
      <c r="H185">
        <f>IFERROR(INDEX(ExchangeConfirms!$F$2:$F$460,MATCH($A185,ExchangeConfirms!$A$2:$A$460,0)),"")</f>
        <v/>
      </c>
      <c r="I185">
        <f>IFERROR(INDEX(InternalTrades!$G$2:$G$461,MATCH($A185,InternalTrades!$A$2:$A$461,0)),"")</f>
        <v/>
      </c>
      <c r="J185">
        <f>IFERROR(INDEX(ExchangeConfirms!$G$2:$G$460,MATCH($A185,ExchangeConfirms!$A$2:$A$460,0)),"")</f>
        <v/>
      </c>
      <c r="K185">
        <f>IFERROR(INDEX(InternalTrades!$H$2:$H$461,MATCH($A185,InternalTrades!$A$2:$A$461,0)),"")</f>
        <v/>
      </c>
      <c r="L185">
        <f>IFERROR(INDEX(ExchangeConfirms!$H$2:$H$460,MATCH($A185,ExchangeConfirms!$A$2:$A$460,0)),"")</f>
        <v/>
      </c>
      <c r="M185">
        <f>IFERROR(INDEX(InternalTrades!$J$2:$J$461,MATCH($A185,InternalTrades!$A$2:$A$461,0)),"")</f>
        <v/>
      </c>
      <c r="N185">
        <f>IFERROR(INDEX(ExchangeConfirms!$J$2:$J$460,MATCH($A185,ExchangeConfirms!$A$2:$A$460,0)),"")</f>
        <v/>
      </c>
      <c r="O185">
        <f>IFERROR(INDEX(InternalTrades!$I$2:$I$461,MATCH($A185,InternalTrades!$A$2:$A$461,0)),"")</f>
        <v/>
      </c>
      <c r="P185">
        <f>IFERROR(INDEX(ExchangeConfirms!$I$2:$I$460,MATCH($A185,ExchangeConfirms!$A$2:$A$460,0)),"")</f>
        <v/>
      </c>
      <c r="Q185">
        <f>IF(AND($E185=1,$F185=0),"MISSING IN EXCHANGE",IF(AND($E185=0,$F185=1),"MISSING IN INTERNAL",IF($G185&lt;&gt;$H185,"SIDE BREAK",IF($I185&lt;&gt;$J185,"QTY BREAK",IF(ABS($K185-$L185)&gt;0.005,"PRICE BREAK",IF(ABS($M185-$N185)&gt;0.01,"FEE BREAK","MATCHED"))))))</f>
        <v/>
      </c>
      <c r="R185">
        <f>IF($Q185="MATCHED",0,1)</f>
        <v/>
      </c>
      <c r="S185">
        <f>IF($Q185="MATCHED",0,IF($Q185="MISSING IN EXCHANGE",$O185,IF($Q185="MISSING IN INTERNAL",$P185,ABS(N($O185)-N($P185)))))</f>
        <v/>
      </c>
    </row>
    <row r="186">
      <c r="A186" t="inlineStr">
        <is>
          <t>T100185</t>
        </is>
      </c>
      <c r="B186">
        <f>IFERROR(INDEX(InternalTrades!$D$2:$D$461,MATCH($A186,InternalTrades!$A$2:$A$461,0)),INDEX(ExchangeConfirms!$D$2:$D$460,MATCH($A186,ExchangeConfirms!$A$2:$A$460,0)))</f>
        <v/>
      </c>
      <c r="C186">
        <f>IFERROR(INDEX(InternalTrades!$E$2:$E$461,MATCH($A186,InternalTrades!$A$2:$A$461,0)),INDEX(ExchangeConfirms!$E$2:$E$460,MATCH($A186,ExchangeConfirms!$A$2:$A$460,0)))</f>
        <v/>
      </c>
      <c r="D186">
        <f>IFERROR(INDEX(InternalTrades!$K$2:$K$461,MATCH($A186,InternalTrades!$A$2:$A$461,0)),INDEX(ExchangeConfirms!$K$2:$K$460,MATCH($A186,ExchangeConfirms!$A$2:$A$460,0)))</f>
        <v/>
      </c>
      <c r="E186">
        <f>IF(COUNTIF(InternalTrades!$A$2:$A$461,$A186)&gt;0,1,0)</f>
        <v/>
      </c>
      <c r="F186">
        <f>IF(COUNTIF(ExchangeConfirms!$A$2:$A$460,$A186)&gt;0,1,0)</f>
        <v/>
      </c>
      <c r="G186">
        <f>IFERROR(INDEX(InternalTrades!$F$2:$F$461,MATCH($A186,InternalTrades!$A$2:$A$461,0)),"")</f>
        <v/>
      </c>
      <c r="H186">
        <f>IFERROR(INDEX(ExchangeConfirms!$F$2:$F$460,MATCH($A186,ExchangeConfirms!$A$2:$A$460,0)),"")</f>
        <v/>
      </c>
      <c r="I186">
        <f>IFERROR(INDEX(InternalTrades!$G$2:$G$461,MATCH($A186,InternalTrades!$A$2:$A$461,0)),"")</f>
        <v/>
      </c>
      <c r="J186">
        <f>IFERROR(INDEX(ExchangeConfirms!$G$2:$G$460,MATCH($A186,ExchangeConfirms!$A$2:$A$460,0)),"")</f>
        <v/>
      </c>
      <c r="K186">
        <f>IFERROR(INDEX(InternalTrades!$H$2:$H$461,MATCH($A186,InternalTrades!$A$2:$A$461,0)),"")</f>
        <v/>
      </c>
      <c r="L186">
        <f>IFERROR(INDEX(ExchangeConfirms!$H$2:$H$460,MATCH($A186,ExchangeConfirms!$A$2:$A$460,0)),"")</f>
        <v/>
      </c>
      <c r="M186">
        <f>IFERROR(INDEX(InternalTrades!$J$2:$J$461,MATCH($A186,InternalTrades!$A$2:$A$461,0)),"")</f>
        <v/>
      </c>
      <c r="N186">
        <f>IFERROR(INDEX(ExchangeConfirms!$J$2:$J$460,MATCH($A186,ExchangeConfirms!$A$2:$A$460,0)),"")</f>
        <v/>
      </c>
      <c r="O186">
        <f>IFERROR(INDEX(InternalTrades!$I$2:$I$461,MATCH($A186,InternalTrades!$A$2:$A$461,0)),"")</f>
        <v/>
      </c>
      <c r="P186">
        <f>IFERROR(INDEX(ExchangeConfirms!$I$2:$I$460,MATCH($A186,ExchangeConfirms!$A$2:$A$460,0)),"")</f>
        <v/>
      </c>
      <c r="Q186">
        <f>IF(AND($E186=1,$F186=0),"MISSING IN EXCHANGE",IF(AND($E186=0,$F186=1),"MISSING IN INTERNAL",IF($G186&lt;&gt;$H186,"SIDE BREAK",IF($I186&lt;&gt;$J186,"QTY BREAK",IF(ABS($K186-$L186)&gt;0.005,"PRICE BREAK",IF(ABS($M186-$N186)&gt;0.01,"FEE BREAK","MATCHED"))))))</f>
        <v/>
      </c>
      <c r="R186">
        <f>IF($Q186="MATCHED",0,1)</f>
        <v/>
      </c>
      <c r="S186">
        <f>IF($Q186="MATCHED",0,IF($Q186="MISSING IN EXCHANGE",$O186,IF($Q186="MISSING IN INTERNAL",$P186,ABS(N($O186)-N($P186)))))</f>
        <v/>
      </c>
    </row>
    <row r="187">
      <c r="A187" t="inlineStr">
        <is>
          <t>T100186</t>
        </is>
      </c>
      <c r="B187">
        <f>IFERROR(INDEX(InternalTrades!$D$2:$D$461,MATCH($A187,InternalTrades!$A$2:$A$461,0)),INDEX(ExchangeConfirms!$D$2:$D$460,MATCH($A187,ExchangeConfirms!$A$2:$A$460,0)))</f>
        <v/>
      </c>
      <c r="C187">
        <f>IFERROR(INDEX(InternalTrades!$E$2:$E$461,MATCH($A187,InternalTrades!$A$2:$A$461,0)),INDEX(ExchangeConfirms!$E$2:$E$460,MATCH($A187,ExchangeConfirms!$A$2:$A$460,0)))</f>
        <v/>
      </c>
      <c r="D187">
        <f>IFERROR(INDEX(InternalTrades!$K$2:$K$461,MATCH($A187,InternalTrades!$A$2:$A$461,0)),INDEX(ExchangeConfirms!$K$2:$K$460,MATCH($A187,ExchangeConfirms!$A$2:$A$460,0)))</f>
        <v/>
      </c>
      <c r="E187">
        <f>IF(COUNTIF(InternalTrades!$A$2:$A$461,$A187)&gt;0,1,0)</f>
        <v/>
      </c>
      <c r="F187">
        <f>IF(COUNTIF(ExchangeConfirms!$A$2:$A$460,$A187)&gt;0,1,0)</f>
        <v/>
      </c>
      <c r="G187">
        <f>IFERROR(INDEX(InternalTrades!$F$2:$F$461,MATCH($A187,InternalTrades!$A$2:$A$461,0)),"")</f>
        <v/>
      </c>
      <c r="H187">
        <f>IFERROR(INDEX(ExchangeConfirms!$F$2:$F$460,MATCH($A187,ExchangeConfirms!$A$2:$A$460,0)),"")</f>
        <v/>
      </c>
      <c r="I187">
        <f>IFERROR(INDEX(InternalTrades!$G$2:$G$461,MATCH($A187,InternalTrades!$A$2:$A$461,0)),"")</f>
        <v/>
      </c>
      <c r="J187">
        <f>IFERROR(INDEX(ExchangeConfirms!$G$2:$G$460,MATCH($A187,ExchangeConfirms!$A$2:$A$460,0)),"")</f>
        <v/>
      </c>
      <c r="K187">
        <f>IFERROR(INDEX(InternalTrades!$H$2:$H$461,MATCH($A187,InternalTrades!$A$2:$A$461,0)),"")</f>
        <v/>
      </c>
      <c r="L187">
        <f>IFERROR(INDEX(ExchangeConfirms!$H$2:$H$460,MATCH($A187,ExchangeConfirms!$A$2:$A$460,0)),"")</f>
        <v/>
      </c>
      <c r="M187">
        <f>IFERROR(INDEX(InternalTrades!$J$2:$J$461,MATCH($A187,InternalTrades!$A$2:$A$461,0)),"")</f>
        <v/>
      </c>
      <c r="N187">
        <f>IFERROR(INDEX(ExchangeConfirms!$J$2:$J$460,MATCH($A187,ExchangeConfirms!$A$2:$A$460,0)),"")</f>
        <v/>
      </c>
      <c r="O187">
        <f>IFERROR(INDEX(InternalTrades!$I$2:$I$461,MATCH($A187,InternalTrades!$A$2:$A$461,0)),"")</f>
        <v/>
      </c>
      <c r="P187">
        <f>IFERROR(INDEX(ExchangeConfirms!$I$2:$I$460,MATCH($A187,ExchangeConfirms!$A$2:$A$460,0)),"")</f>
        <v/>
      </c>
      <c r="Q187">
        <f>IF(AND($E187=1,$F187=0),"MISSING IN EXCHANGE",IF(AND($E187=0,$F187=1),"MISSING IN INTERNAL",IF($G187&lt;&gt;$H187,"SIDE BREAK",IF($I187&lt;&gt;$J187,"QTY BREAK",IF(ABS($K187-$L187)&gt;0.005,"PRICE BREAK",IF(ABS($M187-$N187)&gt;0.01,"FEE BREAK","MATCHED"))))))</f>
        <v/>
      </c>
      <c r="R187">
        <f>IF($Q187="MATCHED",0,1)</f>
        <v/>
      </c>
      <c r="S187">
        <f>IF($Q187="MATCHED",0,IF($Q187="MISSING IN EXCHANGE",$O187,IF($Q187="MISSING IN INTERNAL",$P187,ABS(N($O187)-N($P187)))))</f>
        <v/>
      </c>
    </row>
    <row r="188">
      <c r="A188" t="inlineStr">
        <is>
          <t>T100187</t>
        </is>
      </c>
      <c r="B188">
        <f>IFERROR(INDEX(InternalTrades!$D$2:$D$461,MATCH($A188,InternalTrades!$A$2:$A$461,0)),INDEX(ExchangeConfirms!$D$2:$D$460,MATCH($A188,ExchangeConfirms!$A$2:$A$460,0)))</f>
        <v/>
      </c>
      <c r="C188">
        <f>IFERROR(INDEX(InternalTrades!$E$2:$E$461,MATCH($A188,InternalTrades!$A$2:$A$461,0)),INDEX(ExchangeConfirms!$E$2:$E$460,MATCH($A188,ExchangeConfirms!$A$2:$A$460,0)))</f>
        <v/>
      </c>
      <c r="D188">
        <f>IFERROR(INDEX(InternalTrades!$K$2:$K$461,MATCH($A188,InternalTrades!$A$2:$A$461,0)),INDEX(ExchangeConfirms!$K$2:$K$460,MATCH($A188,ExchangeConfirms!$A$2:$A$460,0)))</f>
        <v/>
      </c>
      <c r="E188">
        <f>IF(COUNTIF(InternalTrades!$A$2:$A$461,$A188)&gt;0,1,0)</f>
        <v/>
      </c>
      <c r="F188">
        <f>IF(COUNTIF(ExchangeConfirms!$A$2:$A$460,$A188)&gt;0,1,0)</f>
        <v/>
      </c>
      <c r="G188">
        <f>IFERROR(INDEX(InternalTrades!$F$2:$F$461,MATCH($A188,InternalTrades!$A$2:$A$461,0)),"")</f>
        <v/>
      </c>
      <c r="H188">
        <f>IFERROR(INDEX(ExchangeConfirms!$F$2:$F$460,MATCH($A188,ExchangeConfirms!$A$2:$A$460,0)),"")</f>
        <v/>
      </c>
      <c r="I188">
        <f>IFERROR(INDEX(InternalTrades!$G$2:$G$461,MATCH($A188,InternalTrades!$A$2:$A$461,0)),"")</f>
        <v/>
      </c>
      <c r="J188">
        <f>IFERROR(INDEX(ExchangeConfirms!$G$2:$G$460,MATCH($A188,ExchangeConfirms!$A$2:$A$460,0)),"")</f>
        <v/>
      </c>
      <c r="K188">
        <f>IFERROR(INDEX(InternalTrades!$H$2:$H$461,MATCH($A188,InternalTrades!$A$2:$A$461,0)),"")</f>
        <v/>
      </c>
      <c r="L188">
        <f>IFERROR(INDEX(ExchangeConfirms!$H$2:$H$460,MATCH($A188,ExchangeConfirms!$A$2:$A$460,0)),"")</f>
        <v/>
      </c>
      <c r="M188">
        <f>IFERROR(INDEX(InternalTrades!$J$2:$J$461,MATCH($A188,InternalTrades!$A$2:$A$461,0)),"")</f>
        <v/>
      </c>
      <c r="N188">
        <f>IFERROR(INDEX(ExchangeConfirms!$J$2:$J$460,MATCH($A188,ExchangeConfirms!$A$2:$A$460,0)),"")</f>
        <v/>
      </c>
      <c r="O188">
        <f>IFERROR(INDEX(InternalTrades!$I$2:$I$461,MATCH($A188,InternalTrades!$A$2:$A$461,0)),"")</f>
        <v/>
      </c>
      <c r="P188">
        <f>IFERROR(INDEX(ExchangeConfirms!$I$2:$I$460,MATCH($A188,ExchangeConfirms!$A$2:$A$460,0)),"")</f>
        <v/>
      </c>
      <c r="Q188">
        <f>IF(AND($E188=1,$F188=0),"MISSING IN EXCHANGE",IF(AND($E188=0,$F188=1),"MISSING IN INTERNAL",IF($G188&lt;&gt;$H188,"SIDE BREAK",IF($I188&lt;&gt;$J188,"QTY BREAK",IF(ABS($K188-$L188)&gt;0.005,"PRICE BREAK",IF(ABS($M188-$N188)&gt;0.01,"FEE BREAK","MATCHED"))))))</f>
        <v/>
      </c>
      <c r="R188">
        <f>IF($Q188="MATCHED",0,1)</f>
        <v/>
      </c>
      <c r="S188">
        <f>IF($Q188="MATCHED",0,IF($Q188="MISSING IN EXCHANGE",$O188,IF($Q188="MISSING IN INTERNAL",$P188,ABS(N($O188)-N($P188)))))</f>
        <v/>
      </c>
    </row>
    <row r="189">
      <c r="A189" t="inlineStr">
        <is>
          <t>T100188</t>
        </is>
      </c>
      <c r="B189">
        <f>IFERROR(INDEX(InternalTrades!$D$2:$D$461,MATCH($A189,InternalTrades!$A$2:$A$461,0)),INDEX(ExchangeConfirms!$D$2:$D$460,MATCH($A189,ExchangeConfirms!$A$2:$A$460,0)))</f>
        <v/>
      </c>
      <c r="C189">
        <f>IFERROR(INDEX(InternalTrades!$E$2:$E$461,MATCH($A189,InternalTrades!$A$2:$A$461,0)),INDEX(ExchangeConfirms!$E$2:$E$460,MATCH($A189,ExchangeConfirms!$A$2:$A$460,0)))</f>
        <v/>
      </c>
      <c r="D189">
        <f>IFERROR(INDEX(InternalTrades!$K$2:$K$461,MATCH($A189,InternalTrades!$A$2:$A$461,0)),INDEX(ExchangeConfirms!$K$2:$K$460,MATCH($A189,ExchangeConfirms!$A$2:$A$460,0)))</f>
        <v/>
      </c>
      <c r="E189">
        <f>IF(COUNTIF(InternalTrades!$A$2:$A$461,$A189)&gt;0,1,0)</f>
        <v/>
      </c>
      <c r="F189">
        <f>IF(COUNTIF(ExchangeConfirms!$A$2:$A$460,$A189)&gt;0,1,0)</f>
        <v/>
      </c>
      <c r="G189">
        <f>IFERROR(INDEX(InternalTrades!$F$2:$F$461,MATCH($A189,InternalTrades!$A$2:$A$461,0)),"")</f>
        <v/>
      </c>
      <c r="H189">
        <f>IFERROR(INDEX(ExchangeConfirms!$F$2:$F$460,MATCH($A189,ExchangeConfirms!$A$2:$A$460,0)),"")</f>
        <v/>
      </c>
      <c r="I189">
        <f>IFERROR(INDEX(InternalTrades!$G$2:$G$461,MATCH($A189,InternalTrades!$A$2:$A$461,0)),"")</f>
        <v/>
      </c>
      <c r="J189">
        <f>IFERROR(INDEX(ExchangeConfirms!$G$2:$G$460,MATCH($A189,ExchangeConfirms!$A$2:$A$460,0)),"")</f>
        <v/>
      </c>
      <c r="K189">
        <f>IFERROR(INDEX(InternalTrades!$H$2:$H$461,MATCH($A189,InternalTrades!$A$2:$A$461,0)),"")</f>
        <v/>
      </c>
      <c r="L189">
        <f>IFERROR(INDEX(ExchangeConfirms!$H$2:$H$460,MATCH($A189,ExchangeConfirms!$A$2:$A$460,0)),"")</f>
        <v/>
      </c>
      <c r="M189">
        <f>IFERROR(INDEX(InternalTrades!$J$2:$J$461,MATCH($A189,InternalTrades!$A$2:$A$461,0)),"")</f>
        <v/>
      </c>
      <c r="N189">
        <f>IFERROR(INDEX(ExchangeConfirms!$J$2:$J$460,MATCH($A189,ExchangeConfirms!$A$2:$A$460,0)),"")</f>
        <v/>
      </c>
      <c r="O189">
        <f>IFERROR(INDEX(InternalTrades!$I$2:$I$461,MATCH($A189,InternalTrades!$A$2:$A$461,0)),"")</f>
        <v/>
      </c>
      <c r="P189">
        <f>IFERROR(INDEX(ExchangeConfirms!$I$2:$I$460,MATCH($A189,ExchangeConfirms!$A$2:$A$460,0)),"")</f>
        <v/>
      </c>
      <c r="Q189">
        <f>IF(AND($E189=1,$F189=0),"MISSING IN EXCHANGE",IF(AND($E189=0,$F189=1),"MISSING IN INTERNAL",IF($G189&lt;&gt;$H189,"SIDE BREAK",IF($I189&lt;&gt;$J189,"QTY BREAK",IF(ABS($K189-$L189)&gt;0.005,"PRICE BREAK",IF(ABS($M189-$N189)&gt;0.01,"FEE BREAK","MATCHED"))))))</f>
        <v/>
      </c>
      <c r="R189">
        <f>IF($Q189="MATCHED",0,1)</f>
        <v/>
      </c>
      <c r="S189">
        <f>IF($Q189="MATCHED",0,IF($Q189="MISSING IN EXCHANGE",$O189,IF($Q189="MISSING IN INTERNAL",$P189,ABS(N($O189)-N($P189)))))</f>
        <v/>
      </c>
    </row>
    <row r="190">
      <c r="A190" t="inlineStr">
        <is>
          <t>T100189</t>
        </is>
      </c>
      <c r="B190">
        <f>IFERROR(INDEX(InternalTrades!$D$2:$D$461,MATCH($A190,InternalTrades!$A$2:$A$461,0)),INDEX(ExchangeConfirms!$D$2:$D$460,MATCH($A190,ExchangeConfirms!$A$2:$A$460,0)))</f>
        <v/>
      </c>
      <c r="C190">
        <f>IFERROR(INDEX(InternalTrades!$E$2:$E$461,MATCH($A190,InternalTrades!$A$2:$A$461,0)),INDEX(ExchangeConfirms!$E$2:$E$460,MATCH($A190,ExchangeConfirms!$A$2:$A$460,0)))</f>
        <v/>
      </c>
      <c r="D190">
        <f>IFERROR(INDEX(InternalTrades!$K$2:$K$461,MATCH($A190,InternalTrades!$A$2:$A$461,0)),INDEX(ExchangeConfirms!$K$2:$K$460,MATCH($A190,ExchangeConfirms!$A$2:$A$460,0)))</f>
        <v/>
      </c>
      <c r="E190">
        <f>IF(COUNTIF(InternalTrades!$A$2:$A$461,$A190)&gt;0,1,0)</f>
        <v/>
      </c>
      <c r="F190">
        <f>IF(COUNTIF(ExchangeConfirms!$A$2:$A$460,$A190)&gt;0,1,0)</f>
        <v/>
      </c>
      <c r="G190">
        <f>IFERROR(INDEX(InternalTrades!$F$2:$F$461,MATCH($A190,InternalTrades!$A$2:$A$461,0)),"")</f>
        <v/>
      </c>
      <c r="H190">
        <f>IFERROR(INDEX(ExchangeConfirms!$F$2:$F$460,MATCH($A190,ExchangeConfirms!$A$2:$A$460,0)),"")</f>
        <v/>
      </c>
      <c r="I190">
        <f>IFERROR(INDEX(InternalTrades!$G$2:$G$461,MATCH($A190,InternalTrades!$A$2:$A$461,0)),"")</f>
        <v/>
      </c>
      <c r="J190">
        <f>IFERROR(INDEX(ExchangeConfirms!$G$2:$G$460,MATCH($A190,ExchangeConfirms!$A$2:$A$460,0)),"")</f>
        <v/>
      </c>
      <c r="K190">
        <f>IFERROR(INDEX(InternalTrades!$H$2:$H$461,MATCH($A190,InternalTrades!$A$2:$A$461,0)),"")</f>
        <v/>
      </c>
      <c r="L190">
        <f>IFERROR(INDEX(ExchangeConfirms!$H$2:$H$460,MATCH($A190,ExchangeConfirms!$A$2:$A$460,0)),"")</f>
        <v/>
      </c>
      <c r="M190">
        <f>IFERROR(INDEX(InternalTrades!$J$2:$J$461,MATCH($A190,InternalTrades!$A$2:$A$461,0)),"")</f>
        <v/>
      </c>
      <c r="N190">
        <f>IFERROR(INDEX(ExchangeConfirms!$J$2:$J$460,MATCH($A190,ExchangeConfirms!$A$2:$A$460,0)),"")</f>
        <v/>
      </c>
      <c r="O190">
        <f>IFERROR(INDEX(InternalTrades!$I$2:$I$461,MATCH($A190,InternalTrades!$A$2:$A$461,0)),"")</f>
        <v/>
      </c>
      <c r="P190">
        <f>IFERROR(INDEX(ExchangeConfirms!$I$2:$I$460,MATCH($A190,ExchangeConfirms!$A$2:$A$460,0)),"")</f>
        <v/>
      </c>
      <c r="Q190">
        <f>IF(AND($E190=1,$F190=0),"MISSING IN EXCHANGE",IF(AND($E190=0,$F190=1),"MISSING IN INTERNAL",IF($G190&lt;&gt;$H190,"SIDE BREAK",IF($I190&lt;&gt;$J190,"QTY BREAK",IF(ABS($K190-$L190)&gt;0.005,"PRICE BREAK",IF(ABS($M190-$N190)&gt;0.01,"FEE BREAK","MATCHED"))))))</f>
        <v/>
      </c>
      <c r="R190">
        <f>IF($Q190="MATCHED",0,1)</f>
        <v/>
      </c>
      <c r="S190">
        <f>IF($Q190="MATCHED",0,IF($Q190="MISSING IN EXCHANGE",$O190,IF($Q190="MISSING IN INTERNAL",$P190,ABS(N($O190)-N($P190)))))</f>
        <v/>
      </c>
    </row>
    <row r="191">
      <c r="A191" t="inlineStr">
        <is>
          <t>T100190</t>
        </is>
      </c>
      <c r="B191">
        <f>IFERROR(INDEX(InternalTrades!$D$2:$D$461,MATCH($A191,InternalTrades!$A$2:$A$461,0)),INDEX(ExchangeConfirms!$D$2:$D$460,MATCH($A191,ExchangeConfirms!$A$2:$A$460,0)))</f>
        <v/>
      </c>
      <c r="C191">
        <f>IFERROR(INDEX(InternalTrades!$E$2:$E$461,MATCH($A191,InternalTrades!$A$2:$A$461,0)),INDEX(ExchangeConfirms!$E$2:$E$460,MATCH($A191,ExchangeConfirms!$A$2:$A$460,0)))</f>
        <v/>
      </c>
      <c r="D191">
        <f>IFERROR(INDEX(InternalTrades!$K$2:$K$461,MATCH($A191,InternalTrades!$A$2:$A$461,0)),INDEX(ExchangeConfirms!$K$2:$K$460,MATCH($A191,ExchangeConfirms!$A$2:$A$460,0)))</f>
        <v/>
      </c>
      <c r="E191">
        <f>IF(COUNTIF(InternalTrades!$A$2:$A$461,$A191)&gt;0,1,0)</f>
        <v/>
      </c>
      <c r="F191">
        <f>IF(COUNTIF(ExchangeConfirms!$A$2:$A$460,$A191)&gt;0,1,0)</f>
        <v/>
      </c>
      <c r="G191">
        <f>IFERROR(INDEX(InternalTrades!$F$2:$F$461,MATCH($A191,InternalTrades!$A$2:$A$461,0)),"")</f>
        <v/>
      </c>
      <c r="H191">
        <f>IFERROR(INDEX(ExchangeConfirms!$F$2:$F$460,MATCH($A191,ExchangeConfirms!$A$2:$A$460,0)),"")</f>
        <v/>
      </c>
      <c r="I191">
        <f>IFERROR(INDEX(InternalTrades!$G$2:$G$461,MATCH($A191,InternalTrades!$A$2:$A$461,0)),"")</f>
        <v/>
      </c>
      <c r="J191">
        <f>IFERROR(INDEX(ExchangeConfirms!$G$2:$G$460,MATCH($A191,ExchangeConfirms!$A$2:$A$460,0)),"")</f>
        <v/>
      </c>
      <c r="K191">
        <f>IFERROR(INDEX(InternalTrades!$H$2:$H$461,MATCH($A191,InternalTrades!$A$2:$A$461,0)),"")</f>
        <v/>
      </c>
      <c r="L191">
        <f>IFERROR(INDEX(ExchangeConfirms!$H$2:$H$460,MATCH($A191,ExchangeConfirms!$A$2:$A$460,0)),"")</f>
        <v/>
      </c>
      <c r="M191">
        <f>IFERROR(INDEX(InternalTrades!$J$2:$J$461,MATCH($A191,InternalTrades!$A$2:$A$461,0)),"")</f>
        <v/>
      </c>
      <c r="N191">
        <f>IFERROR(INDEX(ExchangeConfirms!$J$2:$J$460,MATCH($A191,ExchangeConfirms!$A$2:$A$460,0)),"")</f>
        <v/>
      </c>
      <c r="O191">
        <f>IFERROR(INDEX(InternalTrades!$I$2:$I$461,MATCH($A191,InternalTrades!$A$2:$A$461,0)),"")</f>
        <v/>
      </c>
      <c r="P191">
        <f>IFERROR(INDEX(ExchangeConfirms!$I$2:$I$460,MATCH($A191,ExchangeConfirms!$A$2:$A$460,0)),"")</f>
        <v/>
      </c>
      <c r="Q191">
        <f>IF(AND($E191=1,$F191=0),"MISSING IN EXCHANGE",IF(AND($E191=0,$F191=1),"MISSING IN INTERNAL",IF($G191&lt;&gt;$H191,"SIDE BREAK",IF($I191&lt;&gt;$J191,"QTY BREAK",IF(ABS($K191-$L191)&gt;0.005,"PRICE BREAK",IF(ABS($M191-$N191)&gt;0.01,"FEE BREAK","MATCHED"))))))</f>
        <v/>
      </c>
      <c r="R191">
        <f>IF($Q191="MATCHED",0,1)</f>
        <v/>
      </c>
      <c r="S191">
        <f>IF($Q191="MATCHED",0,IF($Q191="MISSING IN EXCHANGE",$O191,IF($Q191="MISSING IN INTERNAL",$P191,ABS(N($O191)-N($P191)))))</f>
        <v/>
      </c>
    </row>
    <row r="192">
      <c r="A192" t="inlineStr">
        <is>
          <t>T100191</t>
        </is>
      </c>
      <c r="B192">
        <f>IFERROR(INDEX(InternalTrades!$D$2:$D$461,MATCH($A192,InternalTrades!$A$2:$A$461,0)),INDEX(ExchangeConfirms!$D$2:$D$460,MATCH($A192,ExchangeConfirms!$A$2:$A$460,0)))</f>
        <v/>
      </c>
      <c r="C192">
        <f>IFERROR(INDEX(InternalTrades!$E$2:$E$461,MATCH($A192,InternalTrades!$A$2:$A$461,0)),INDEX(ExchangeConfirms!$E$2:$E$460,MATCH($A192,ExchangeConfirms!$A$2:$A$460,0)))</f>
        <v/>
      </c>
      <c r="D192">
        <f>IFERROR(INDEX(InternalTrades!$K$2:$K$461,MATCH($A192,InternalTrades!$A$2:$A$461,0)),INDEX(ExchangeConfirms!$K$2:$K$460,MATCH($A192,ExchangeConfirms!$A$2:$A$460,0)))</f>
        <v/>
      </c>
      <c r="E192">
        <f>IF(COUNTIF(InternalTrades!$A$2:$A$461,$A192)&gt;0,1,0)</f>
        <v/>
      </c>
      <c r="F192">
        <f>IF(COUNTIF(ExchangeConfirms!$A$2:$A$460,$A192)&gt;0,1,0)</f>
        <v/>
      </c>
      <c r="G192">
        <f>IFERROR(INDEX(InternalTrades!$F$2:$F$461,MATCH($A192,InternalTrades!$A$2:$A$461,0)),"")</f>
        <v/>
      </c>
      <c r="H192">
        <f>IFERROR(INDEX(ExchangeConfirms!$F$2:$F$460,MATCH($A192,ExchangeConfirms!$A$2:$A$460,0)),"")</f>
        <v/>
      </c>
      <c r="I192">
        <f>IFERROR(INDEX(InternalTrades!$G$2:$G$461,MATCH($A192,InternalTrades!$A$2:$A$461,0)),"")</f>
        <v/>
      </c>
      <c r="J192">
        <f>IFERROR(INDEX(ExchangeConfirms!$G$2:$G$460,MATCH($A192,ExchangeConfirms!$A$2:$A$460,0)),"")</f>
        <v/>
      </c>
      <c r="K192">
        <f>IFERROR(INDEX(InternalTrades!$H$2:$H$461,MATCH($A192,InternalTrades!$A$2:$A$461,0)),"")</f>
        <v/>
      </c>
      <c r="L192">
        <f>IFERROR(INDEX(ExchangeConfirms!$H$2:$H$460,MATCH($A192,ExchangeConfirms!$A$2:$A$460,0)),"")</f>
        <v/>
      </c>
      <c r="M192">
        <f>IFERROR(INDEX(InternalTrades!$J$2:$J$461,MATCH($A192,InternalTrades!$A$2:$A$461,0)),"")</f>
        <v/>
      </c>
      <c r="N192">
        <f>IFERROR(INDEX(ExchangeConfirms!$J$2:$J$460,MATCH($A192,ExchangeConfirms!$A$2:$A$460,0)),"")</f>
        <v/>
      </c>
      <c r="O192">
        <f>IFERROR(INDEX(InternalTrades!$I$2:$I$461,MATCH($A192,InternalTrades!$A$2:$A$461,0)),"")</f>
        <v/>
      </c>
      <c r="P192">
        <f>IFERROR(INDEX(ExchangeConfirms!$I$2:$I$460,MATCH($A192,ExchangeConfirms!$A$2:$A$460,0)),"")</f>
        <v/>
      </c>
      <c r="Q192">
        <f>IF(AND($E192=1,$F192=0),"MISSING IN EXCHANGE",IF(AND($E192=0,$F192=1),"MISSING IN INTERNAL",IF($G192&lt;&gt;$H192,"SIDE BREAK",IF($I192&lt;&gt;$J192,"QTY BREAK",IF(ABS($K192-$L192)&gt;0.005,"PRICE BREAK",IF(ABS($M192-$N192)&gt;0.01,"FEE BREAK","MATCHED"))))))</f>
        <v/>
      </c>
      <c r="R192">
        <f>IF($Q192="MATCHED",0,1)</f>
        <v/>
      </c>
      <c r="S192">
        <f>IF($Q192="MATCHED",0,IF($Q192="MISSING IN EXCHANGE",$O192,IF($Q192="MISSING IN INTERNAL",$P192,ABS(N($O192)-N($P192)))))</f>
        <v/>
      </c>
    </row>
    <row r="193">
      <c r="A193" t="inlineStr">
        <is>
          <t>T100192</t>
        </is>
      </c>
      <c r="B193">
        <f>IFERROR(INDEX(InternalTrades!$D$2:$D$461,MATCH($A193,InternalTrades!$A$2:$A$461,0)),INDEX(ExchangeConfirms!$D$2:$D$460,MATCH($A193,ExchangeConfirms!$A$2:$A$460,0)))</f>
        <v/>
      </c>
      <c r="C193">
        <f>IFERROR(INDEX(InternalTrades!$E$2:$E$461,MATCH($A193,InternalTrades!$A$2:$A$461,0)),INDEX(ExchangeConfirms!$E$2:$E$460,MATCH($A193,ExchangeConfirms!$A$2:$A$460,0)))</f>
        <v/>
      </c>
      <c r="D193">
        <f>IFERROR(INDEX(InternalTrades!$K$2:$K$461,MATCH($A193,InternalTrades!$A$2:$A$461,0)),INDEX(ExchangeConfirms!$K$2:$K$460,MATCH($A193,ExchangeConfirms!$A$2:$A$460,0)))</f>
        <v/>
      </c>
      <c r="E193">
        <f>IF(COUNTIF(InternalTrades!$A$2:$A$461,$A193)&gt;0,1,0)</f>
        <v/>
      </c>
      <c r="F193">
        <f>IF(COUNTIF(ExchangeConfirms!$A$2:$A$460,$A193)&gt;0,1,0)</f>
        <v/>
      </c>
      <c r="G193">
        <f>IFERROR(INDEX(InternalTrades!$F$2:$F$461,MATCH($A193,InternalTrades!$A$2:$A$461,0)),"")</f>
        <v/>
      </c>
      <c r="H193">
        <f>IFERROR(INDEX(ExchangeConfirms!$F$2:$F$460,MATCH($A193,ExchangeConfirms!$A$2:$A$460,0)),"")</f>
        <v/>
      </c>
      <c r="I193">
        <f>IFERROR(INDEX(InternalTrades!$G$2:$G$461,MATCH($A193,InternalTrades!$A$2:$A$461,0)),"")</f>
        <v/>
      </c>
      <c r="J193">
        <f>IFERROR(INDEX(ExchangeConfirms!$G$2:$G$460,MATCH($A193,ExchangeConfirms!$A$2:$A$460,0)),"")</f>
        <v/>
      </c>
      <c r="K193">
        <f>IFERROR(INDEX(InternalTrades!$H$2:$H$461,MATCH($A193,InternalTrades!$A$2:$A$461,0)),"")</f>
        <v/>
      </c>
      <c r="L193">
        <f>IFERROR(INDEX(ExchangeConfirms!$H$2:$H$460,MATCH($A193,ExchangeConfirms!$A$2:$A$460,0)),"")</f>
        <v/>
      </c>
      <c r="M193">
        <f>IFERROR(INDEX(InternalTrades!$J$2:$J$461,MATCH($A193,InternalTrades!$A$2:$A$461,0)),"")</f>
        <v/>
      </c>
      <c r="N193">
        <f>IFERROR(INDEX(ExchangeConfirms!$J$2:$J$460,MATCH($A193,ExchangeConfirms!$A$2:$A$460,0)),"")</f>
        <v/>
      </c>
      <c r="O193">
        <f>IFERROR(INDEX(InternalTrades!$I$2:$I$461,MATCH($A193,InternalTrades!$A$2:$A$461,0)),"")</f>
        <v/>
      </c>
      <c r="P193">
        <f>IFERROR(INDEX(ExchangeConfirms!$I$2:$I$460,MATCH($A193,ExchangeConfirms!$A$2:$A$460,0)),"")</f>
        <v/>
      </c>
      <c r="Q193">
        <f>IF(AND($E193=1,$F193=0),"MISSING IN EXCHANGE",IF(AND($E193=0,$F193=1),"MISSING IN INTERNAL",IF($G193&lt;&gt;$H193,"SIDE BREAK",IF($I193&lt;&gt;$J193,"QTY BREAK",IF(ABS($K193-$L193)&gt;0.005,"PRICE BREAK",IF(ABS($M193-$N193)&gt;0.01,"FEE BREAK","MATCHED"))))))</f>
        <v/>
      </c>
      <c r="R193">
        <f>IF($Q193="MATCHED",0,1)</f>
        <v/>
      </c>
      <c r="S193">
        <f>IF($Q193="MATCHED",0,IF($Q193="MISSING IN EXCHANGE",$O193,IF($Q193="MISSING IN INTERNAL",$P193,ABS(N($O193)-N($P193)))))</f>
        <v/>
      </c>
    </row>
    <row r="194">
      <c r="A194" t="inlineStr">
        <is>
          <t>T100193</t>
        </is>
      </c>
      <c r="B194">
        <f>IFERROR(INDEX(InternalTrades!$D$2:$D$461,MATCH($A194,InternalTrades!$A$2:$A$461,0)),INDEX(ExchangeConfirms!$D$2:$D$460,MATCH($A194,ExchangeConfirms!$A$2:$A$460,0)))</f>
        <v/>
      </c>
      <c r="C194">
        <f>IFERROR(INDEX(InternalTrades!$E$2:$E$461,MATCH($A194,InternalTrades!$A$2:$A$461,0)),INDEX(ExchangeConfirms!$E$2:$E$460,MATCH($A194,ExchangeConfirms!$A$2:$A$460,0)))</f>
        <v/>
      </c>
      <c r="D194">
        <f>IFERROR(INDEX(InternalTrades!$K$2:$K$461,MATCH($A194,InternalTrades!$A$2:$A$461,0)),INDEX(ExchangeConfirms!$K$2:$K$460,MATCH($A194,ExchangeConfirms!$A$2:$A$460,0)))</f>
        <v/>
      </c>
      <c r="E194">
        <f>IF(COUNTIF(InternalTrades!$A$2:$A$461,$A194)&gt;0,1,0)</f>
        <v/>
      </c>
      <c r="F194">
        <f>IF(COUNTIF(ExchangeConfirms!$A$2:$A$460,$A194)&gt;0,1,0)</f>
        <v/>
      </c>
      <c r="G194">
        <f>IFERROR(INDEX(InternalTrades!$F$2:$F$461,MATCH($A194,InternalTrades!$A$2:$A$461,0)),"")</f>
        <v/>
      </c>
      <c r="H194">
        <f>IFERROR(INDEX(ExchangeConfirms!$F$2:$F$460,MATCH($A194,ExchangeConfirms!$A$2:$A$460,0)),"")</f>
        <v/>
      </c>
      <c r="I194">
        <f>IFERROR(INDEX(InternalTrades!$G$2:$G$461,MATCH($A194,InternalTrades!$A$2:$A$461,0)),"")</f>
        <v/>
      </c>
      <c r="J194">
        <f>IFERROR(INDEX(ExchangeConfirms!$G$2:$G$460,MATCH($A194,ExchangeConfirms!$A$2:$A$460,0)),"")</f>
        <v/>
      </c>
      <c r="K194">
        <f>IFERROR(INDEX(InternalTrades!$H$2:$H$461,MATCH($A194,InternalTrades!$A$2:$A$461,0)),"")</f>
        <v/>
      </c>
      <c r="L194">
        <f>IFERROR(INDEX(ExchangeConfirms!$H$2:$H$460,MATCH($A194,ExchangeConfirms!$A$2:$A$460,0)),"")</f>
        <v/>
      </c>
      <c r="M194">
        <f>IFERROR(INDEX(InternalTrades!$J$2:$J$461,MATCH($A194,InternalTrades!$A$2:$A$461,0)),"")</f>
        <v/>
      </c>
      <c r="N194">
        <f>IFERROR(INDEX(ExchangeConfirms!$J$2:$J$460,MATCH($A194,ExchangeConfirms!$A$2:$A$460,0)),"")</f>
        <v/>
      </c>
      <c r="O194">
        <f>IFERROR(INDEX(InternalTrades!$I$2:$I$461,MATCH($A194,InternalTrades!$A$2:$A$461,0)),"")</f>
        <v/>
      </c>
      <c r="P194">
        <f>IFERROR(INDEX(ExchangeConfirms!$I$2:$I$460,MATCH($A194,ExchangeConfirms!$A$2:$A$460,0)),"")</f>
        <v/>
      </c>
      <c r="Q194">
        <f>IF(AND($E194=1,$F194=0),"MISSING IN EXCHANGE",IF(AND($E194=0,$F194=1),"MISSING IN INTERNAL",IF($G194&lt;&gt;$H194,"SIDE BREAK",IF($I194&lt;&gt;$J194,"QTY BREAK",IF(ABS($K194-$L194)&gt;0.005,"PRICE BREAK",IF(ABS($M194-$N194)&gt;0.01,"FEE BREAK","MATCHED"))))))</f>
        <v/>
      </c>
      <c r="R194">
        <f>IF($Q194="MATCHED",0,1)</f>
        <v/>
      </c>
      <c r="S194">
        <f>IF($Q194="MATCHED",0,IF($Q194="MISSING IN EXCHANGE",$O194,IF($Q194="MISSING IN INTERNAL",$P194,ABS(N($O194)-N($P194)))))</f>
        <v/>
      </c>
    </row>
    <row r="195">
      <c r="A195" t="inlineStr">
        <is>
          <t>T100194</t>
        </is>
      </c>
      <c r="B195">
        <f>IFERROR(INDEX(InternalTrades!$D$2:$D$461,MATCH($A195,InternalTrades!$A$2:$A$461,0)),INDEX(ExchangeConfirms!$D$2:$D$460,MATCH($A195,ExchangeConfirms!$A$2:$A$460,0)))</f>
        <v/>
      </c>
      <c r="C195">
        <f>IFERROR(INDEX(InternalTrades!$E$2:$E$461,MATCH($A195,InternalTrades!$A$2:$A$461,0)),INDEX(ExchangeConfirms!$E$2:$E$460,MATCH($A195,ExchangeConfirms!$A$2:$A$460,0)))</f>
        <v/>
      </c>
      <c r="D195">
        <f>IFERROR(INDEX(InternalTrades!$K$2:$K$461,MATCH($A195,InternalTrades!$A$2:$A$461,0)),INDEX(ExchangeConfirms!$K$2:$K$460,MATCH($A195,ExchangeConfirms!$A$2:$A$460,0)))</f>
        <v/>
      </c>
      <c r="E195">
        <f>IF(COUNTIF(InternalTrades!$A$2:$A$461,$A195)&gt;0,1,0)</f>
        <v/>
      </c>
      <c r="F195">
        <f>IF(COUNTIF(ExchangeConfirms!$A$2:$A$460,$A195)&gt;0,1,0)</f>
        <v/>
      </c>
      <c r="G195">
        <f>IFERROR(INDEX(InternalTrades!$F$2:$F$461,MATCH($A195,InternalTrades!$A$2:$A$461,0)),"")</f>
        <v/>
      </c>
      <c r="H195">
        <f>IFERROR(INDEX(ExchangeConfirms!$F$2:$F$460,MATCH($A195,ExchangeConfirms!$A$2:$A$460,0)),"")</f>
        <v/>
      </c>
      <c r="I195">
        <f>IFERROR(INDEX(InternalTrades!$G$2:$G$461,MATCH($A195,InternalTrades!$A$2:$A$461,0)),"")</f>
        <v/>
      </c>
      <c r="J195">
        <f>IFERROR(INDEX(ExchangeConfirms!$G$2:$G$460,MATCH($A195,ExchangeConfirms!$A$2:$A$460,0)),"")</f>
        <v/>
      </c>
      <c r="K195">
        <f>IFERROR(INDEX(InternalTrades!$H$2:$H$461,MATCH($A195,InternalTrades!$A$2:$A$461,0)),"")</f>
        <v/>
      </c>
      <c r="L195">
        <f>IFERROR(INDEX(ExchangeConfirms!$H$2:$H$460,MATCH($A195,ExchangeConfirms!$A$2:$A$460,0)),"")</f>
        <v/>
      </c>
      <c r="M195">
        <f>IFERROR(INDEX(InternalTrades!$J$2:$J$461,MATCH($A195,InternalTrades!$A$2:$A$461,0)),"")</f>
        <v/>
      </c>
      <c r="N195">
        <f>IFERROR(INDEX(ExchangeConfirms!$J$2:$J$460,MATCH($A195,ExchangeConfirms!$A$2:$A$460,0)),"")</f>
        <v/>
      </c>
      <c r="O195">
        <f>IFERROR(INDEX(InternalTrades!$I$2:$I$461,MATCH($A195,InternalTrades!$A$2:$A$461,0)),"")</f>
        <v/>
      </c>
      <c r="P195">
        <f>IFERROR(INDEX(ExchangeConfirms!$I$2:$I$460,MATCH($A195,ExchangeConfirms!$A$2:$A$460,0)),"")</f>
        <v/>
      </c>
      <c r="Q195">
        <f>IF(AND($E195=1,$F195=0),"MISSING IN EXCHANGE",IF(AND($E195=0,$F195=1),"MISSING IN INTERNAL",IF($G195&lt;&gt;$H195,"SIDE BREAK",IF($I195&lt;&gt;$J195,"QTY BREAK",IF(ABS($K195-$L195)&gt;0.005,"PRICE BREAK",IF(ABS($M195-$N195)&gt;0.01,"FEE BREAK","MATCHED"))))))</f>
        <v/>
      </c>
      <c r="R195">
        <f>IF($Q195="MATCHED",0,1)</f>
        <v/>
      </c>
      <c r="S195">
        <f>IF($Q195="MATCHED",0,IF($Q195="MISSING IN EXCHANGE",$O195,IF($Q195="MISSING IN INTERNAL",$P195,ABS(N($O195)-N($P195)))))</f>
        <v/>
      </c>
    </row>
    <row r="196">
      <c r="A196" t="inlineStr">
        <is>
          <t>T100195</t>
        </is>
      </c>
      <c r="B196">
        <f>IFERROR(INDEX(InternalTrades!$D$2:$D$461,MATCH($A196,InternalTrades!$A$2:$A$461,0)),INDEX(ExchangeConfirms!$D$2:$D$460,MATCH($A196,ExchangeConfirms!$A$2:$A$460,0)))</f>
        <v/>
      </c>
      <c r="C196">
        <f>IFERROR(INDEX(InternalTrades!$E$2:$E$461,MATCH($A196,InternalTrades!$A$2:$A$461,0)),INDEX(ExchangeConfirms!$E$2:$E$460,MATCH($A196,ExchangeConfirms!$A$2:$A$460,0)))</f>
        <v/>
      </c>
      <c r="D196">
        <f>IFERROR(INDEX(InternalTrades!$K$2:$K$461,MATCH($A196,InternalTrades!$A$2:$A$461,0)),INDEX(ExchangeConfirms!$K$2:$K$460,MATCH($A196,ExchangeConfirms!$A$2:$A$460,0)))</f>
        <v/>
      </c>
      <c r="E196">
        <f>IF(COUNTIF(InternalTrades!$A$2:$A$461,$A196)&gt;0,1,0)</f>
        <v/>
      </c>
      <c r="F196">
        <f>IF(COUNTIF(ExchangeConfirms!$A$2:$A$460,$A196)&gt;0,1,0)</f>
        <v/>
      </c>
      <c r="G196">
        <f>IFERROR(INDEX(InternalTrades!$F$2:$F$461,MATCH($A196,InternalTrades!$A$2:$A$461,0)),"")</f>
        <v/>
      </c>
      <c r="H196">
        <f>IFERROR(INDEX(ExchangeConfirms!$F$2:$F$460,MATCH($A196,ExchangeConfirms!$A$2:$A$460,0)),"")</f>
        <v/>
      </c>
      <c r="I196">
        <f>IFERROR(INDEX(InternalTrades!$G$2:$G$461,MATCH($A196,InternalTrades!$A$2:$A$461,0)),"")</f>
        <v/>
      </c>
      <c r="J196">
        <f>IFERROR(INDEX(ExchangeConfirms!$G$2:$G$460,MATCH($A196,ExchangeConfirms!$A$2:$A$460,0)),"")</f>
        <v/>
      </c>
      <c r="K196">
        <f>IFERROR(INDEX(InternalTrades!$H$2:$H$461,MATCH($A196,InternalTrades!$A$2:$A$461,0)),"")</f>
        <v/>
      </c>
      <c r="L196">
        <f>IFERROR(INDEX(ExchangeConfirms!$H$2:$H$460,MATCH($A196,ExchangeConfirms!$A$2:$A$460,0)),"")</f>
        <v/>
      </c>
      <c r="M196">
        <f>IFERROR(INDEX(InternalTrades!$J$2:$J$461,MATCH($A196,InternalTrades!$A$2:$A$461,0)),"")</f>
        <v/>
      </c>
      <c r="N196">
        <f>IFERROR(INDEX(ExchangeConfirms!$J$2:$J$460,MATCH($A196,ExchangeConfirms!$A$2:$A$460,0)),"")</f>
        <v/>
      </c>
      <c r="O196">
        <f>IFERROR(INDEX(InternalTrades!$I$2:$I$461,MATCH($A196,InternalTrades!$A$2:$A$461,0)),"")</f>
        <v/>
      </c>
      <c r="P196">
        <f>IFERROR(INDEX(ExchangeConfirms!$I$2:$I$460,MATCH($A196,ExchangeConfirms!$A$2:$A$460,0)),"")</f>
        <v/>
      </c>
      <c r="Q196">
        <f>IF(AND($E196=1,$F196=0),"MISSING IN EXCHANGE",IF(AND($E196=0,$F196=1),"MISSING IN INTERNAL",IF($G196&lt;&gt;$H196,"SIDE BREAK",IF($I196&lt;&gt;$J196,"QTY BREAK",IF(ABS($K196-$L196)&gt;0.005,"PRICE BREAK",IF(ABS($M196-$N196)&gt;0.01,"FEE BREAK","MATCHED"))))))</f>
        <v/>
      </c>
      <c r="R196">
        <f>IF($Q196="MATCHED",0,1)</f>
        <v/>
      </c>
      <c r="S196">
        <f>IF($Q196="MATCHED",0,IF($Q196="MISSING IN EXCHANGE",$O196,IF($Q196="MISSING IN INTERNAL",$P196,ABS(N($O196)-N($P196)))))</f>
        <v/>
      </c>
    </row>
    <row r="197">
      <c r="A197" t="inlineStr">
        <is>
          <t>T100196</t>
        </is>
      </c>
      <c r="B197">
        <f>IFERROR(INDEX(InternalTrades!$D$2:$D$461,MATCH($A197,InternalTrades!$A$2:$A$461,0)),INDEX(ExchangeConfirms!$D$2:$D$460,MATCH($A197,ExchangeConfirms!$A$2:$A$460,0)))</f>
        <v/>
      </c>
      <c r="C197">
        <f>IFERROR(INDEX(InternalTrades!$E$2:$E$461,MATCH($A197,InternalTrades!$A$2:$A$461,0)),INDEX(ExchangeConfirms!$E$2:$E$460,MATCH($A197,ExchangeConfirms!$A$2:$A$460,0)))</f>
        <v/>
      </c>
      <c r="D197">
        <f>IFERROR(INDEX(InternalTrades!$K$2:$K$461,MATCH($A197,InternalTrades!$A$2:$A$461,0)),INDEX(ExchangeConfirms!$K$2:$K$460,MATCH($A197,ExchangeConfirms!$A$2:$A$460,0)))</f>
        <v/>
      </c>
      <c r="E197">
        <f>IF(COUNTIF(InternalTrades!$A$2:$A$461,$A197)&gt;0,1,0)</f>
        <v/>
      </c>
      <c r="F197">
        <f>IF(COUNTIF(ExchangeConfirms!$A$2:$A$460,$A197)&gt;0,1,0)</f>
        <v/>
      </c>
      <c r="G197">
        <f>IFERROR(INDEX(InternalTrades!$F$2:$F$461,MATCH($A197,InternalTrades!$A$2:$A$461,0)),"")</f>
        <v/>
      </c>
      <c r="H197">
        <f>IFERROR(INDEX(ExchangeConfirms!$F$2:$F$460,MATCH($A197,ExchangeConfirms!$A$2:$A$460,0)),"")</f>
        <v/>
      </c>
      <c r="I197">
        <f>IFERROR(INDEX(InternalTrades!$G$2:$G$461,MATCH($A197,InternalTrades!$A$2:$A$461,0)),"")</f>
        <v/>
      </c>
      <c r="J197">
        <f>IFERROR(INDEX(ExchangeConfirms!$G$2:$G$460,MATCH($A197,ExchangeConfirms!$A$2:$A$460,0)),"")</f>
        <v/>
      </c>
      <c r="K197">
        <f>IFERROR(INDEX(InternalTrades!$H$2:$H$461,MATCH($A197,InternalTrades!$A$2:$A$461,0)),"")</f>
        <v/>
      </c>
      <c r="L197">
        <f>IFERROR(INDEX(ExchangeConfirms!$H$2:$H$460,MATCH($A197,ExchangeConfirms!$A$2:$A$460,0)),"")</f>
        <v/>
      </c>
      <c r="M197">
        <f>IFERROR(INDEX(InternalTrades!$J$2:$J$461,MATCH($A197,InternalTrades!$A$2:$A$461,0)),"")</f>
        <v/>
      </c>
      <c r="N197">
        <f>IFERROR(INDEX(ExchangeConfirms!$J$2:$J$460,MATCH($A197,ExchangeConfirms!$A$2:$A$460,0)),"")</f>
        <v/>
      </c>
      <c r="O197">
        <f>IFERROR(INDEX(InternalTrades!$I$2:$I$461,MATCH($A197,InternalTrades!$A$2:$A$461,0)),"")</f>
        <v/>
      </c>
      <c r="P197">
        <f>IFERROR(INDEX(ExchangeConfirms!$I$2:$I$460,MATCH($A197,ExchangeConfirms!$A$2:$A$460,0)),"")</f>
        <v/>
      </c>
      <c r="Q197">
        <f>IF(AND($E197=1,$F197=0),"MISSING IN EXCHANGE",IF(AND($E197=0,$F197=1),"MISSING IN INTERNAL",IF($G197&lt;&gt;$H197,"SIDE BREAK",IF($I197&lt;&gt;$J197,"QTY BREAK",IF(ABS($K197-$L197)&gt;0.005,"PRICE BREAK",IF(ABS($M197-$N197)&gt;0.01,"FEE BREAK","MATCHED"))))))</f>
        <v/>
      </c>
      <c r="R197">
        <f>IF($Q197="MATCHED",0,1)</f>
        <v/>
      </c>
      <c r="S197">
        <f>IF($Q197="MATCHED",0,IF($Q197="MISSING IN EXCHANGE",$O197,IF($Q197="MISSING IN INTERNAL",$P197,ABS(N($O197)-N($P197)))))</f>
        <v/>
      </c>
    </row>
    <row r="198">
      <c r="A198" t="inlineStr">
        <is>
          <t>T100197</t>
        </is>
      </c>
      <c r="B198">
        <f>IFERROR(INDEX(InternalTrades!$D$2:$D$461,MATCH($A198,InternalTrades!$A$2:$A$461,0)),INDEX(ExchangeConfirms!$D$2:$D$460,MATCH($A198,ExchangeConfirms!$A$2:$A$460,0)))</f>
        <v/>
      </c>
      <c r="C198">
        <f>IFERROR(INDEX(InternalTrades!$E$2:$E$461,MATCH($A198,InternalTrades!$A$2:$A$461,0)),INDEX(ExchangeConfirms!$E$2:$E$460,MATCH($A198,ExchangeConfirms!$A$2:$A$460,0)))</f>
        <v/>
      </c>
      <c r="D198">
        <f>IFERROR(INDEX(InternalTrades!$K$2:$K$461,MATCH($A198,InternalTrades!$A$2:$A$461,0)),INDEX(ExchangeConfirms!$K$2:$K$460,MATCH($A198,ExchangeConfirms!$A$2:$A$460,0)))</f>
        <v/>
      </c>
      <c r="E198">
        <f>IF(COUNTIF(InternalTrades!$A$2:$A$461,$A198)&gt;0,1,0)</f>
        <v/>
      </c>
      <c r="F198">
        <f>IF(COUNTIF(ExchangeConfirms!$A$2:$A$460,$A198)&gt;0,1,0)</f>
        <v/>
      </c>
      <c r="G198">
        <f>IFERROR(INDEX(InternalTrades!$F$2:$F$461,MATCH($A198,InternalTrades!$A$2:$A$461,0)),"")</f>
        <v/>
      </c>
      <c r="H198">
        <f>IFERROR(INDEX(ExchangeConfirms!$F$2:$F$460,MATCH($A198,ExchangeConfirms!$A$2:$A$460,0)),"")</f>
        <v/>
      </c>
      <c r="I198">
        <f>IFERROR(INDEX(InternalTrades!$G$2:$G$461,MATCH($A198,InternalTrades!$A$2:$A$461,0)),"")</f>
        <v/>
      </c>
      <c r="J198">
        <f>IFERROR(INDEX(ExchangeConfirms!$G$2:$G$460,MATCH($A198,ExchangeConfirms!$A$2:$A$460,0)),"")</f>
        <v/>
      </c>
      <c r="K198">
        <f>IFERROR(INDEX(InternalTrades!$H$2:$H$461,MATCH($A198,InternalTrades!$A$2:$A$461,0)),"")</f>
        <v/>
      </c>
      <c r="L198">
        <f>IFERROR(INDEX(ExchangeConfirms!$H$2:$H$460,MATCH($A198,ExchangeConfirms!$A$2:$A$460,0)),"")</f>
        <v/>
      </c>
      <c r="M198">
        <f>IFERROR(INDEX(InternalTrades!$J$2:$J$461,MATCH($A198,InternalTrades!$A$2:$A$461,0)),"")</f>
        <v/>
      </c>
      <c r="N198">
        <f>IFERROR(INDEX(ExchangeConfirms!$J$2:$J$460,MATCH($A198,ExchangeConfirms!$A$2:$A$460,0)),"")</f>
        <v/>
      </c>
      <c r="O198">
        <f>IFERROR(INDEX(InternalTrades!$I$2:$I$461,MATCH($A198,InternalTrades!$A$2:$A$461,0)),"")</f>
        <v/>
      </c>
      <c r="P198">
        <f>IFERROR(INDEX(ExchangeConfirms!$I$2:$I$460,MATCH($A198,ExchangeConfirms!$A$2:$A$460,0)),"")</f>
        <v/>
      </c>
      <c r="Q198">
        <f>IF(AND($E198=1,$F198=0),"MISSING IN EXCHANGE",IF(AND($E198=0,$F198=1),"MISSING IN INTERNAL",IF($G198&lt;&gt;$H198,"SIDE BREAK",IF($I198&lt;&gt;$J198,"QTY BREAK",IF(ABS($K198-$L198)&gt;0.005,"PRICE BREAK",IF(ABS($M198-$N198)&gt;0.01,"FEE BREAK","MATCHED"))))))</f>
        <v/>
      </c>
      <c r="R198">
        <f>IF($Q198="MATCHED",0,1)</f>
        <v/>
      </c>
      <c r="S198">
        <f>IF($Q198="MATCHED",0,IF($Q198="MISSING IN EXCHANGE",$O198,IF($Q198="MISSING IN INTERNAL",$P198,ABS(N($O198)-N($P198)))))</f>
        <v/>
      </c>
    </row>
    <row r="199">
      <c r="A199" t="inlineStr">
        <is>
          <t>T100198</t>
        </is>
      </c>
      <c r="B199">
        <f>IFERROR(INDEX(InternalTrades!$D$2:$D$461,MATCH($A199,InternalTrades!$A$2:$A$461,0)),INDEX(ExchangeConfirms!$D$2:$D$460,MATCH($A199,ExchangeConfirms!$A$2:$A$460,0)))</f>
        <v/>
      </c>
      <c r="C199">
        <f>IFERROR(INDEX(InternalTrades!$E$2:$E$461,MATCH($A199,InternalTrades!$A$2:$A$461,0)),INDEX(ExchangeConfirms!$E$2:$E$460,MATCH($A199,ExchangeConfirms!$A$2:$A$460,0)))</f>
        <v/>
      </c>
      <c r="D199">
        <f>IFERROR(INDEX(InternalTrades!$K$2:$K$461,MATCH($A199,InternalTrades!$A$2:$A$461,0)),INDEX(ExchangeConfirms!$K$2:$K$460,MATCH($A199,ExchangeConfirms!$A$2:$A$460,0)))</f>
        <v/>
      </c>
      <c r="E199">
        <f>IF(COUNTIF(InternalTrades!$A$2:$A$461,$A199)&gt;0,1,0)</f>
        <v/>
      </c>
      <c r="F199">
        <f>IF(COUNTIF(ExchangeConfirms!$A$2:$A$460,$A199)&gt;0,1,0)</f>
        <v/>
      </c>
      <c r="G199">
        <f>IFERROR(INDEX(InternalTrades!$F$2:$F$461,MATCH($A199,InternalTrades!$A$2:$A$461,0)),"")</f>
        <v/>
      </c>
      <c r="H199">
        <f>IFERROR(INDEX(ExchangeConfirms!$F$2:$F$460,MATCH($A199,ExchangeConfirms!$A$2:$A$460,0)),"")</f>
        <v/>
      </c>
      <c r="I199">
        <f>IFERROR(INDEX(InternalTrades!$G$2:$G$461,MATCH($A199,InternalTrades!$A$2:$A$461,0)),"")</f>
        <v/>
      </c>
      <c r="J199">
        <f>IFERROR(INDEX(ExchangeConfirms!$G$2:$G$460,MATCH($A199,ExchangeConfirms!$A$2:$A$460,0)),"")</f>
        <v/>
      </c>
      <c r="K199">
        <f>IFERROR(INDEX(InternalTrades!$H$2:$H$461,MATCH($A199,InternalTrades!$A$2:$A$461,0)),"")</f>
        <v/>
      </c>
      <c r="L199">
        <f>IFERROR(INDEX(ExchangeConfirms!$H$2:$H$460,MATCH($A199,ExchangeConfirms!$A$2:$A$460,0)),"")</f>
        <v/>
      </c>
      <c r="M199">
        <f>IFERROR(INDEX(InternalTrades!$J$2:$J$461,MATCH($A199,InternalTrades!$A$2:$A$461,0)),"")</f>
        <v/>
      </c>
      <c r="N199">
        <f>IFERROR(INDEX(ExchangeConfirms!$J$2:$J$460,MATCH($A199,ExchangeConfirms!$A$2:$A$460,0)),"")</f>
        <v/>
      </c>
      <c r="O199">
        <f>IFERROR(INDEX(InternalTrades!$I$2:$I$461,MATCH($A199,InternalTrades!$A$2:$A$461,0)),"")</f>
        <v/>
      </c>
      <c r="P199">
        <f>IFERROR(INDEX(ExchangeConfirms!$I$2:$I$460,MATCH($A199,ExchangeConfirms!$A$2:$A$460,0)),"")</f>
        <v/>
      </c>
      <c r="Q199">
        <f>IF(AND($E199=1,$F199=0),"MISSING IN EXCHANGE",IF(AND($E199=0,$F199=1),"MISSING IN INTERNAL",IF($G199&lt;&gt;$H199,"SIDE BREAK",IF($I199&lt;&gt;$J199,"QTY BREAK",IF(ABS($K199-$L199)&gt;0.005,"PRICE BREAK",IF(ABS($M199-$N199)&gt;0.01,"FEE BREAK","MATCHED"))))))</f>
        <v/>
      </c>
      <c r="R199">
        <f>IF($Q199="MATCHED",0,1)</f>
        <v/>
      </c>
      <c r="S199">
        <f>IF($Q199="MATCHED",0,IF($Q199="MISSING IN EXCHANGE",$O199,IF($Q199="MISSING IN INTERNAL",$P199,ABS(N($O199)-N($P199)))))</f>
        <v/>
      </c>
    </row>
    <row r="200">
      <c r="A200" t="inlineStr">
        <is>
          <t>T100199</t>
        </is>
      </c>
      <c r="B200">
        <f>IFERROR(INDEX(InternalTrades!$D$2:$D$461,MATCH($A200,InternalTrades!$A$2:$A$461,0)),INDEX(ExchangeConfirms!$D$2:$D$460,MATCH($A200,ExchangeConfirms!$A$2:$A$460,0)))</f>
        <v/>
      </c>
      <c r="C200">
        <f>IFERROR(INDEX(InternalTrades!$E$2:$E$461,MATCH($A200,InternalTrades!$A$2:$A$461,0)),INDEX(ExchangeConfirms!$E$2:$E$460,MATCH($A200,ExchangeConfirms!$A$2:$A$460,0)))</f>
        <v/>
      </c>
      <c r="D200">
        <f>IFERROR(INDEX(InternalTrades!$K$2:$K$461,MATCH($A200,InternalTrades!$A$2:$A$461,0)),INDEX(ExchangeConfirms!$K$2:$K$460,MATCH($A200,ExchangeConfirms!$A$2:$A$460,0)))</f>
        <v/>
      </c>
      <c r="E200">
        <f>IF(COUNTIF(InternalTrades!$A$2:$A$461,$A200)&gt;0,1,0)</f>
        <v/>
      </c>
      <c r="F200">
        <f>IF(COUNTIF(ExchangeConfirms!$A$2:$A$460,$A200)&gt;0,1,0)</f>
        <v/>
      </c>
      <c r="G200">
        <f>IFERROR(INDEX(InternalTrades!$F$2:$F$461,MATCH($A200,InternalTrades!$A$2:$A$461,0)),"")</f>
        <v/>
      </c>
      <c r="H200">
        <f>IFERROR(INDEX(ExchangeConfirms!$F$2:$F$460,MATCH($A200,ExchangeConfirms!$A$2:$A$460,0)),"")</f>
        <v/>
      </c>
      <c r="I200">
        <f>IFERROR(INDEX(InternalTrades!$G$2:$G$461,MATCH($A200,InternalTrades!$A$2:$A$461,0)),"")</f>
        <v/>
      </c>
      <c r="J200">
        <f>IFERROR(INDEX(ExchangeConfirms!$G$2:$G$460,MATCH($A200,ExchangeConfirms!$A$2:$A$460,0)),"")</f>
        <v/>
      </c>
      <c r="K200">
        <f>IFERROR(INDEX(InternalTrades!$H$2:$H$461,MATCH($A200,InternalTrades!$A$2:$A$461,0)),"")</f>
        <v/>
      </c>
      <c r="L200">
        <f>IFERROR(INDEX(ExchangeConfirms!$H$2:$H$460,MATCH($A200,ExchangeConfirms!$A$2:$A$460,0)),"")</f>
        <v/>
      </c>
      <c r="M200">
        <f>IFERROR(INDEX(InternalTrades!$J$2:$J$461,MATCH($A200,InternalTrades!$A$2:$A$461,0)),"")</f>
        <v/>
      </c>
      <c r="N200">
        <f>IFERROR(INDEX(ExchangeConfirms!$J$2:$J$460,MATCH($A200,ExchangeConfirms!$A$2:$A$460,0)),"")</f>
        <v/>
      </c>
      <c r="O200">
        <f>IFERROR(INDEX(InternalTrades!$I$2:$I$461,MATCH($A200,InternalTrades!$A$2:$A$461,0)),"")</f>
        <v/>
      </c>
      <c r="P200">
        <f>IFERROR(INDEX(ExchangeConfirms!$I$2:$I$460,MATCH($A200,ExchangeConfirms!$A$2:$A$460,0)),"")</f>
        <v/>
      </c>
      <c r="Q200">
        <f>IF(AND($E200=1,$F200=0),"MISSING IN EXCHANGE",IF(AND($E200=0,$F200=1),"MISSING IN INTERNAL",IF($G200&lt;&gt;$H200,"SIDE BREAK",IF($I200&lt;&gt;$J200,"QTY BREAK",IF(ABS($K200-$L200)&gt;0.005,"PRICE BREAK",IF(ABS($M200-$N200)&gt;0.01,"FEE BREAK","MATCHED"))))))</f>
        <v/>
      </c>
      <c r="R200">
        <f>IF($Q200="MATCHED",0,1)</f>
        <v/>
      </c>
      <c r="S200">
        <f>IF($Q200="MATCHED",0,IF($Q200="MISSING IN EXCHANGE",$O200,IF($Q200="MISSING IN INTERNAL",$P200,ABS(N($O200)-N($P200)))))</f>
        <v/>
      </c>
    </row>
    <row r="201">
      <c r="A201" t="inlineStr">
        <is>
          <t>T100200</t>
        </is>
      </c>
      <c r="B201">
        <f>IFERROR(INDEX(InternalTrades!$D$2:$D$461,MATCH($A201,InternalTrades!$A$2:$A$461,0)),INDEX(ExchangeConfirms!$D$2:$D$460,MATCH($A201,ExchangeConfirms!$A$2:$A$460,0)))</f>
        <v/>
      </c>
      <c r="C201">
        <f>IFERROR(INDEX(InternalTrades!$E$2:$E$461,MATCH($A201,InternalTrades!$A$2:$A$461,0)),INDEX(ExchangeConfirms!$E$2:$E$460,MATCH($A201,ExchangeConfirms!$A$2:$A$460,0)))</f>
        <v/>
      </c>
      <c r="D201">
        <f>IFERROR(INDEX(InternalTrades!$K$2:$K$461,MATCH($A201,InternalTrades!$A$2:$A$461,0)),INDEX(ExchangeConfirms!$K$2:$K$460,MATCH($A201,ExchangeConfirms!$A$2:$A$460,0)))</f>
        <v/>
      </c>
      <c r="E201">
        <f>IF(COUNTIF(InternalTrades!$A$2:$A$461,$A201)&gt;0,1,0)</f>
        <v/>
      </c>
      <c r="F201">
        <f>IF(COUNTIF(ExchangeConfirms!$A$2:$A$460,$A201)&gt;0,1,0)</f>
        <v/>
      </c>
      <c r="G201">
        <f>IFERROR(INDEX(InternalTrades!$F$2:$F$461,MATCH($A201,InternalTrades!$A$2:$A$461,0)),"")</f>
        <v/>
      </c>
      <c r="H201">
        <f>IFERROR(INDEX(ExchangeConfirms!$F$2:$F$460,MATCH($A201,ExchangeConfirms!$A$2:$A$460,0)),"")</f>
        <v/>
      </c>
      <c r="I201">
        <f>IFERROR(INDEX(InternalTrades!$G$2:$G$461,MATCH($A201,InternalTrades!$A$2:$A$461,0)),"")</f>
        <v/>
      </c>
      <c r="J201">
        <f>IFERROR(INDEX(ExchangeConfirms!$G$2:$G$460,MATCH($A201,ExchangeConfirms!$A$2:$A$460,0)),"")</f>
        <v/>
      </c>
      <c r="K201">
        <f>IFERROR(INDEX(InternalTrades!$H$2:$H$461,MATCH($A201,InternalTrades!$A$2:$A$461,0)),"")</f>
        <v/>
      </c>
      <c r="L201">
        <f>IFERROR(INDEX(ExchangeConfirms!$H$2:$H$460,MATCH($A201,ExchangeConfirms!$A$2:$A$460,0)),"")</f>
        <v/>
      </c>
      <c r="M201">
        <f>IFERROR(INDEX(InternalTrades!$J$2:$J$461,MATCH($A201,InternalTrades!$A$2:$A$461,0)),"")</f>
        <v/>
      </c>
      <c r="N201">
        <f>IFERROR(INDEX(ExchangeConfirms!$J$2:$J$460,MATCH($A201,ExchangeConfirms!$A$2:$A$460,0)),"")</f>
        <v/>
      </c>
      <c r="O201">
        <f>IFERROR(INDEX(InternalTrades!$I$2:$I$461,MATCH($A201,InternalTrades!$A$2:$A$461,0)),"")</f>
        <v/>
      </c>
      <c r="P201">
        <f>IFERROR(INDEX(ExchangeConfirms!$I$2:$I$460,MATCH($A201,ExchangeConfirms!$A$2:$A$460,0)),"")</f>
        <v/>
      </c>
      <c r="Q201">
        <f>IF(AND($E201=1,$F201=0),"MISSING IN EXCHANGE",IF(AND($E201=0,$F201=1),"MISSING IN INTERNAL",IF($G201&lt;&gt;$H201,"SIDE BREAK",IF($I201&lt;&gt;$J201,"QTY BREAK",IF(ABS($K201-$L201)&gt;0.005,"PRICE BREAK",IF(ABS($M201-$N201)&gt;0.01,"FEE BREAK","MATCHED"))))))</f>
        <v/>
      </c>
      <c r="R201">
        <f>IF($Q201="MATCHED",0,1)</f>
        <v/>
      </c>
      <c r="S201">
        <f>IF($Q201="MATCHED",0,IF($Q201="MISSING IN EXCHANGE",$O201,IF($Q201="MISSING IN INTERNAL",$P201,ABS(N($O201)-N($P201)))))</f>
        <v/>
      </c>
    </row>
    <row r="202">
      <c r="A202" t="inlineStr">
        <is>
          <t>T100201</t>
        </is>
      </c>
      <c r="B202">
        <f>IFERROR(INDEX(InternalTrades!$D$2:$D$461,MATCH($A202,InternalTrades!$A$2:$A$461,0)),INDEX(ExchangeConfirms!$D$2:$D$460,MATCH($A202,ExchangeConfirms!$A$2:$A$460,0)))</f>
        <v/>
      </c>
      <c r="C202">
        <f>IFERROR(INDEX(InternalTrades!$E$2:$E$461,MATCH($A202,InternalTrades!$A$2:$A$461,0)),INDEX(ExchangeConfirms!$E$2:$E$460,MATCH($A202,ExchangeConfirms!$A$2:$A$460,0)))</f>
        <v/>
      </c>
      <c r="D202">
        <f>IFERROR(INDEX(InternalTrades!$K$2:$K$461,MATCH($A202,InternalTrades!$A$2:$A$461,0)),INDEX(ExchangeConfirms!$K$2:$K$460,MATCH($A202,ExchangeConfirms!$A$2:$A$460,0)))</f>
        <v/>
      </c>
      <c r="E202">
        <f>IF(COUNTIF(InternalTrades!$A$2:$A$461,$A202)&gt;0,1,0)</f>
        <v/>
      </c>
      <c r="F202">
        <f>IF(COUNTIF(ExchangeConfirms!$A$2:$A$460,$A202)&gt;0,1,0)</f>
        <v/>
      </c>
      <c r="G202">
        <f>IFERROR(INDEX(InternalTrades!$F$2:$F$461,MATCH($A202,InternalTrades!$A$2:$A$461,0)),"")</f>
        <v/>
      </c>
      <c r="H202">
        <f>IFERROR(INDEX(ExchangeConfirms!$F$2:$F$460,MATCH($A202,ExchangeConfirms!$A$2:$A$460,0)),"")</f>
        <v/>
      </c>
      <c r="I202">
        <f>IFERROR(INDEX(InternalTrades!$G$2:$G$461,MATCH($A202,InternalTrades!$A$2:$A$461,0)),"")</f>
        <v/>
      </c>
      <c r="J202">
        <f>IFERROR(INDEX(ExchangeConfirms!$G$2:$G$460,MATCH($A202,ExchangeConfirms!$A$2:$A$460,0)),"")</f>
        <v/>
      </c>
      <c r="K202">
        <f>IFERROR(INDEX(InternalTrades!$H$2:$H$461,MATCH($A202,InternalTrades!$A$2:$A$461,0)),"")</f>
        <v/>
      </c>
      <c r="L202">
        <f>IFERROR(INDEX(ExchangeConfirms!$H$2:$H$460,MATCH($A202,ExchangeConfirms!$A$2:$A$460,0)),"")</f>
        <v/>
      </c>
      <c r="M202">
        <f>IFERROR(INDEX(InternalTrades!$J$2:$J$461,MATCH($A202,InternalTrades!$A$2:$A$461,0)),"")</f>
        <v/>
      </c>
      <c r="N202">
        <f>IFERROR(INDEX(ExchangeConfirms!$J$2:$J$460,MATCH($A202,ExchangeConfirms!$A$2:$A$460,0)),"")</f>
        <v/>
      </c>
      <c r="O202">
        <f>IFERROR(INDEX(InternalTrades!$I$2:$I$461,MATCH($A202,InternalTrades!$A$2:$A$461,0)),"")</f>
        <v/>
      </c>
      <c r="P202">
        <f>IFERROR(INDEX(ExchangeConfirms!$I$2:$I$460,MATCH($A202,ExchangeConfirms!$A$2:$A$460,0)),"")</f>
        <v/>
      </c>
      <c r="Q202">
        <f>IF(AND($E202=1,$F202=0),"MISSING IN EXCHANGE",IF(AND($E202=0,$F202=1),"MISSING IN INTERNAL",IF($G202&lt;&gt;$H202,"SIDE BREAK",IF($I202&lt;&gt;$J202,"QTY BREAK",IF(ABS($K202-$L202)&gt;0.005,"PRICE BREAK",IF(ABS($M202-$N202)&gt;0.01,"FEE BREAK","MATCHED"))))))</f>
        <v/>
      </c>
      <c r="R202">
        <f>IF($Q202="MATCHED",0,1)</f>
        <v/>
      </c>
      <c r="S202">
        <f>IF($Q202="MATCHED",0,IF($Q202="MISSING IN EXCHANGE",$O202,IF($Q202="MISSING IN INTERNAL",$P202,ABS(N($O202)-N($P202)))))</f>
        <v/>
      </c>
    </row>
    <row r="203">
      <c r="A203" t="inlineStr">
        <is>
          <t>T100202</t>
        </is>
      </c>
      <c r="B203">
        <f>IFERROR(INDEX(InternalTrades!$D$2:$D$461,MATCH($A203,InternalTrades!$A$2:$A$461,0)),INDEX(ExchangeConfirms!$D$2:$D$460,MATCH($A203,ExchangeConfirms!$A$2:$A$460,0)))</f>
        <v/>
      </c>
      <c r="C203">
        <f>IFERROR(INDEX(InternalTrades!$E$2:$E$461,MATCH($A203,InternalTrades!$A$2:$A$461,0)),INDEX(ExchangeConfirms!$E$2:$E$460,MATCH($A203,ExchangeConfirms!$A$2:$A$460,0)))</f>
        <v/>
      </c>
      <c r="D203">
        <f>IFERROR(INDEX(InternalTrades!$K$2:$K$461,MATCH($A203,InternalTrades!$A$2:$A$461,0)),INDEX(ExchangeConfirms!$K$2:$K$460,MATCH($A203,ExchangeConfirms!$A$2:$A$460,0)))</f>
        <v/>
      </c>
      <c r="E203">
        <f>IF(COUNTIF(InternalTrades!$A$2:$A$461,$A203)&gt;0,1,0)</f>
        <v/>
      </c>
      <c r="F203">
        <f>IF(COUNTIF(ExchangeConfirms!$A$2:$A$460,$A203)&gt;0,1,0)</f>
        <v/>
      </c>
      <c r="G203">
        <f>IFERROR(INDEX(InternalTrades!$F$2:$F$461,MATCH($A203,InternalTrades!$A$2:$A$461,0)),"")</f>
        <v/>
      </c>
      <c r="H203">
        <f>IFERROR(INDEX(ExchangeConfirms!$F$2:$F$460,MATCH($A203,ExchangeConfirms!$A$2:$A$460,0)),"")</f>
        <v/>
      </c>
      <c r="I203">
        <f>IFERROR(INDEX(InternalTrades!$G$2:$G$461,MATCH($A203,InternalTrades!$A$2:$A$461,0)),"")</f>
        <v/>
      </c>
      <c r="J203">
        <f>IFERROR(INDEX(ExchangeConfirms!$G$2:$G$460,MATCH($A203,ExchangeConfirms!$A$2:$A$460,0)),"")</f>
        <v/>
      </c>
      <c r="K203">
        <f>IFERROR(INDEX(InternalTrades!$H$2:$H$461,MATCH($A203,InternalTrades!$A$2:$A$461,0)),"")</f>
        <v/>
      </c>
      <c r="L203">
        <f>IFERROR(INDEX(ExchangeConfirms!$H$2:$H$460,MATCH($A203,ExchangeConfirms!$A$2:$A$460,0)),"")</f>
        <v/>
      </c>
      <c r="M203">
        <f>IFERROR(INDEX(InternalTrades!$J$2:$J$461,MATCH($A203,InternalTrades!$A$2:$A$461,0)),"")</f>
        <v/>
      </c>
      <c r="N203">
        <f>IFERROR(INDEX(ExchangeConfirms!$J$2:$J$460,MATCH($A203,ExchangeConfirms!$A$2:$A$460,0)),"")</f>
        <v/>
      </c>
      <c r="O203">
        <f>IFERROR(INDEX(InternalTrades!$I$2:$I$461,MATCH($A203,InternalTrades!$A$2:$A$461,0)),"")</f>
        <v/>
      </c>
      <c r="P203">
        <f>IFERROR(INDEX(ExchangeConfirms!$I$2:$I$460,MATCH($A203,ExchangeConfirms!$A$2:$A$460,0)),"")</f>
        <v/>
      </c>
      <c r="Q203">
        <f>IF(AND($E203=1,$F203=0),"MISSING IN EXCHANGE",IF(AND($E203=0,$F203=1),"MISSING IN INTERNAL",IF($G203&lt;&gt;$H203,"SIDE BREAK",IF($I203&lt;&gt;$J203,"QTY BREAK",IF(ABS($K203-$L203)&gt;0.005,"PRICE BREAK",IF(ABS($M203-$N203)&gt;0.01,"FEE BREAK","MATCHED"))))))</f>
        <v/>
      </c>
      <c r="R203">
        <f>IF($Q203="MATCHED",0,1)</f>
        <v/>
      </c>
      <c r="S203">
        <f>IF($Q203="MATCHED",0,IF($Q203="MISSING IN EXCHANGE",$O203,IF($Q203="MISSING IN INTERNAL",$P203,ABS(N($O203)-N($P203)))))</f>
        <v/>
      </c>
    </row>
    <row r="204">
      <c r="A204" t="inlineStr">
        <is>
          <t>T100203</t>
        </is>
      </c>
      <c r="B204">
        <f>IFERROR(INDEX(InternalTrades!$D$2:$D$461,MATCH($A204,InternalTrades!$A$2:$A$461,0)),INDEX(ExchangeConfirms!$D$2:$D$460,MATCH($A204,ExchangeConfirms!$A$2:$A$460,0)))</f>
        <v/>
      </c>
      <c r="C204">
        <f>IFERROR(INDEX(InternalTrades!$E$2:$E$461,MATCH($A204,InternalTrades!$A$2:$A$461,0)),INDEX(ExchangeConfirms!$E$2:$E$460,MATCH($A204,ExchangeConfirms!$A$2:$A$460,0)))</f>
        <v/>
      </c>
      <c r="D204">
        <f>IFERROR(INDEX(InternalTrades!$K$2:$K$461,MATCH($A204,InternalTrades!$A$2:$A$461,0)),INDEX(ExchangeConfirms!$K$2:$K$460,MATCH($A204,ExchangeConfirms!$A$2:$A$460,0)))</f>
        <v/>
      </c>
      <c r="E204">
        <f>IF(COUNTIF(InternalTrades!$A$2:$A$461,$A204)&gt;0,1,0)</f>
        <v/>
      </c>
      <c r="F204">
        <f>IF(COUNTIF(ExchangeConfirms!$A$2:$A$460,$A204)&gt;0,1,0)</f>
        <v/>
      </c>
      <c r="G204">
        <f>IFERROR(INDEX(InternalTrades!$F$2:$F$461,MATCH($A204,InternalTrades!$A$2:$A$461,0)),"")</f>
        <v/>
      </c>
      <c r="H204">
        <f>IFERROR(INDEX(ExchangeConfirms!$F$2:$F$460,MATCH($A204,ExchangeConfirms!$A$2:$A$460,0)),"")</f>
        <v/>
      </c>
      <c r="I204">
        <f>IFERROR(INDEX(InternalTrades!$G$2:$G$461,MATCH($A204,InternalTrades!$A$2:$A$461,0)),"")</f>
        <v/>
      </c>
      <c r="J204">
        <f>IFERROR(INDEX(ExchangeConfirms!$G$2:$G$460,MATCH($A204,ExchangeConfirms!$A$2:$A$460,0)),"")</f>
        <v/>
      </c>
      <c r="K204">
        <f>IFERROR(INDEX(InternalTrades!$H$2:$H$461,MATCH($A204,InternalTrades!$A$2:$A$461,0)),"")</f>
        <v/>
      </c>
      <c r="L204">
        <f>IFERROR(INDEX(ExchangeConfirms!$H$2:$H$460,MATCH($A204,ExchangeConfirms!$A$2:$A$460,0)),"")</f>
        <v/>
      </c>
      <c r="M204">
        <f>IFERROR(INDEX(InternalTrades!$J$2:$J$461,MATCH($A204,InternalTrades!$A$2:$A$461,0)),"")</f>
        <v/>
      </c>
      <c r="N204">
        <f>IFERROR(INDEX(ExchangeConfirms!$J$2:$J$460,MATCH($A204,ExchangeConfirms!$A$2:$A$460,0)),"")</f>
        <v/>
      </c>
      <c r="O204">
        <f>IFERROR(INDEX(InternalTrades!$I$2:$I$461,MATCH($A204,InternalTrades!$A$2:$A$461,0)),"")</f>
        <v/>
      </c>
      <c r="P204">
        <f>IFERROR(INDEX(ExchangeConfirms!$I$2:$I$460,MATCH($A204,ExchangeConfirms!$A$2:$A$460,0)),"")</f>
        <v/>
      </c>
      <c r="Q204">
        <f>IF(AND($E204=1,$F204=0),"MISSING IN EXCHANGE",IF(AND($E204=0,$F204=1),"MISSING IN INTERNAL",IF($G204&lt;&gt;$H204,"SIDE BREAK",IF($I204&lt;&gt;$J204,"QTY BREAK",IF(ABS($K204-$L204)&gt;0.005,"PRICE BREAK",IF(ABS($M204-$N204)&gt;0.01,"FEE BREAK","MATCHED"))))))</f>
        <v/>
      </c>
      <c r="R204">
        <f>IF($Q204="MATCHED",0,1)</f>
        <v/>
      </c>
      <c r="S204">
        <f>IF($Q204="MATCHED",0,IF($Q204="MISSING IN EXCHANGE",$O204,IF($Q204="MISSING IN INTERNAL",$P204,ABS(N($O204)-N($P204)))))</f>
        <v/>
      </c>
    </row>
    <row r="205">
      <c r="A205" t="inlineStr">
        <is>
          <t>T100204</t>
        </is>
      </c>
      <c r="B205">
        <f>IFERROR(INDEX(InternalTrades!$D$2:$D$461,MATCH($A205,InternalTrades!$A$2:$A$461,0)),INDEX(ExchangeConfirms!$D$2:$D$460,MATCH($A205,ExchangeConfirms!$A$2:$A$460,0)))</f>
        <v/>
      </c>
      <c r="C205">
        <f>IFERROR(INDEX(InternalTrades!$E$2:$E$461,MATCH($A205,InternalTrades!$A$2:$A$461,0)),INDEX(ExchangeConfirms!$E$2:$E$460,MATCH($A205,ExchangeConfirms!$A$2:$A$460,0)))</f>
        <v/>
      </c>
      <c r="D205">
        <f>IFERROR(INDEX(InternalTrades!$K$2:$K$461,MATCH($A205,InternalTrades!$A$2:$A$461,0)),INDEX(ExchangeConfirms!$K$2:$K$460,MATCH($A205,ExchangeConfirms!$A$2:$A$460,0)))</f>
        <v/>
      </c>
      <c r="E205">
        <f>IF(COUNTIF(InternalTrades!$A$2:$A$461,$A205)&gt;0,1,0)</f>
        <v/>
      </c>
      <c r="F205">
        <f>IF(COUNTIF(ExchangeConfirms!$A$2:$A$460,$A205)&gt;0,1,0)</f>
        <v/>
      </c>
      <c r="G205">
        <f>IFERROR(INDEX(InternalTrades!$F$2:$F$461,MATCH($A205,InternalTrades!$A$2:$A$461,0)),"")</f>
        <v/>
      </c>
      <c r="H205">
        <f>IFERROR(INDEX(ExchangeConfirms!$F$2:$F$460,MATCH($A205,ExchangeConfirms!$A$2:$A$460,0)),"")</f>
        <v/>
      </c>
      <c r="I205">
        <f>IFERROR(INDEX(InternalTrades!$G$2:$G$461,MATCH($A205,InternalTrades!$A$2:$A$461,0)),"")</f>
        <v/>
      </c>
      <c r="J205">
        <f>IFERROR(INDEX(ExchangeConfirms!$G$2:$G$460,MATCH($A205,ExchangeConfirms!$A$2:$A$460,0)),"")</f>
        <v/>
      </c>
      <c r="K205">
        <f>IFERROR(INDEX(InternalTrades!$H$2:$H$461,MATCH($A205,InternalTrades!$A$2:$A$461,0)),"")</f>
        <v/>
      </c>
      <c r="L205">
        <f>IFERROR(INDEX(ExchangeConfirms!$H$2:$H$460,MATCH($A205,ExchangeConfirms!$A$2:$A$460,0)),"")</f>
        <v/>
      </c>
      <c r="M205">
        <f>IFERROR(INDEX(InternalTrades!$J$2:$J$461,MATCH($A205,InternalTrades!$A$2:$A$461,0)),"")</f>
        <v/>
      </c>
      <c r="N205">
        <f>IFERROR(INDEX(ExchangeConfirms!$J$2:$J$460,MATCH($A205,ExchangeConfirms!$A$2:$A$460,0)),"")</f>
        <v/>
      </c>
      <c r="O205">
        <f>IFERROR(INDEX(InternalTrades!$I$2:$I$461,MATCH($A205,InternalTrades!$A$2:$A$461,0)),"")</f>
        <v/>
      </c>
      <c r="P205">
        <f>IFERROR(INDEX(ExchangeConfirms!$I$2:$I$460,MATCH($A205,ExchangeConfirms!$A$2:$A$460,0)),"")</f>
        <v/>
      </c>
      <c r="Q205">
        <f>IF(AND($E205=1,$F205=0),"MISSING IN EXCHANGE",IF(AND($E205=0,$F205=1),"MISSING IN INTERNAL",IF($G205&lt;&gt;$H205,"SIDE BREAK",IF($I205&lt;&gt;$J205,"QTY BREAK",IF(ABS($K205-$L205)&gt;0.005,"PRICE BREAK",IF(ABS($M205-$N205)&gt;0.01,"FEE BREAK","MATCHED"))))))</f>
        <v/>
      </c>
      <c r="R205">
        <f>IF($Q205="MATCHED",0,1)</f>
        <v/>
      </c>
      <c r="S205">
        <f>IF($Q205="MATCHED",0,IF($Q205="MISSING IN EXCHANGE",$O205,IF($Q205="MISSING IN INTERNAL",$P205,ABS(N($O205)-N($P205)))))</f>
        <v/>
      </c>
    </row>
    <row r="206">
      <c r="A206" t="inlineStr">
        <is>
          <t>T100205</t>
        </is>
      </c>
      <c r="B206">
        <f>IFERROR(INDEX(InternalTrades!$D$2:$D$461,MATCH($A206,InternalTrades!$A$2:$A$461,0)),INDEX(ExchangeConfirms!$D$2:$D$460,MATCH($A206,ExchangeConfirms!$A$2:$A$460,0)))</f>
        <v/>
      </c>
      <c r="C206">
        <f>IFERROR(INDEX(InternalTrades!$E$2:$E$461,MATCH($A206,InternalTrades!$A$2:$A$461,0)),INDEX(ExchangeConfirms!$E$2:$E$460,MATCH($A206,ExchangeConfirms!$A$2:$A$460,0)))</f>
        <v/>
      </c>
      <c r="D206">
        <f>IFERROR(INDEX(InternalTrades!$K$2:$K$461,MATCH($A206,InternalTrades!$A$2:$A$461,0)),INDEX(ExchangeConfirms!$K$2:$K$460,MATCH($A206,ExchangeConfirms!$A$2:$A$460,0)))</f>
        <v/>
      </c>
      <c r="E206">
        <f>IF(COUNTIF(InternalTrades!$A$2:$A$461,$A206)&gt;0,1,0)</f>
        <v/>
      </c>
      <c r="F206">
        <f>IF(COUNTIF(ExchangeConfirms!$A$2:$A$460,$A206)&gt;0,1,0)</f>
        <v/>
      </c>
      <c r="G206">
        <f>IFERROR(INDEX(InternalTrades!$F$2:$F$461,MATCH($A206,InternalTrades!$A$2:$A$461,0)),"")</f>
        <v/>
      </c>
      <c r="H206">
        <f>IFERROR(INDEX(ExchangeConfirms!$F$2:$F$460,MATCH($A206,ExchangeConfirms!$A$2:$A$460,0)),"")</f>
        <v/>
      </c>
      <c r="I206">
        <f>IFERROR(INDEX(InternalTrades!$G$2:$G$461,MATCH($A206,InternalTrades!$A$2:$A$461,0)),"")</f>
        <v/>
      </c>
      <c r="J206">
        <f>IFERROR(INDEX(ExchangeConfirms!$G$2:$G$460,MATCH($A206,ExchangeConfirms!$A$2:$A$460,0)),"")</f>
        <v/>
      </c>
      <c r="K206">
        <f>IFERROR(INDEX(InternalTrades!$H$2:$H$461,MATCH($A206,InternalTrades!$A$2:$A$461,0)),"")</f>
        <v/>
      </c>
      <c r="L206">
        <f>IFERROR(INDEX(ExchangeConfirms!$H$2:$H$460,MATCH($A206,ExchangeConfirms!$A$2:$A$460,0)),"")</f>
        <v/>
      </c>
      <c r="M206">
        <f>IFERROR(INDEX(InternalTrades!$J$2:$J$461,MATCH($A206,InternalTrades!$A$2:$A$461,0)),"")</f>
        <v/>
      </c>
      <c r="N206">
        <f>IFERROR(INDEX(ExchangeConfirms!$J$2:$J$460,MATCH($A206,ExchangeConfirms!$A$2:$A$460,0)),"")</f>
        <v/>
      </c>
      <c r="O206">
        <f>IFERROR(INDEX(InternalTrades!$I$2:$I$461,MATCH($A206,InternalTrades!$A$2:$A$461,0)),"")</f>
        <v/>
      </c>
      <c r="P206">
        <f>IFERROR(INDEX(ExchangeConfirms!$I$2:$I$460,MATCH($A206,ExchangeConfirms!$A$2:$A$460,0)),"")</f>
        <v/>
      </c>
      <c r="Q206">
        <f>IF(AND($E206=1,$F206=0),"MISSING IN EXCHANGE",IF(AND($E206=0,$F206=1),"MISSING IN INTERNAL",IF($G206&lt;&gt;$H206,"SIDE BREAK",IF($I206&lt;&gt;$J206,"QTY BREAK",IF(ABS($K206-$L206)&gt;0.005,"PRICE BREAK",IF(ABS($M206-$N206)&gt;0.01,"FEE BREAK","MATCHED"))))))</f>
        <v/>
      </c>
      <c r="R206">
        <f>IF($Q206="MATCHED",0,1)</f>
        <v/>
      </c>
      <c r="S206">
        <f>IF($Q206="MATCHED",0,IF($Q206="MISSING IN EXCHANGE",$O206,IF($Q206="MISSING IN INTERNAL",$P206,ABS(N($O206)-N($P206)))))</f>
        <v/>
      </c>
    </row>
    <row r="207">
      <c r="A207" t="inlineStr">
        <is>
          <t>T100206</t>
        </is>
      </c>
      <c r="B207">
        <f>IFERROR(INDEX(InternalTrades!$D$2:$D$461,MATCH($A207,InternalTrades!$A$2:$A$461,0)),INDEX(ExchangeConfirms!$D$2:$D$460,MATCH($A207,ExchangeConfirms!$A$2:$A$460,0)))</f>
        <v/>
      </c>
      <c r="C207">
        <f>IFERROR(INDEX(InternalTrades!$E$2:$E$461,MATCH($A207,InternalTrades!$A$2:$A$461,0)),INDEX(ExchangeConfirms!$E$2:$E$460,MATCH($A207,ExchangeConfirms!$A$2:$A$460,0)))</f>
        <v/>
      </c>
      <c r="D207">
        <f>IFERROR(INDEX(InternalTrades!$K$2:$K$461,MATCH($A207,InternalTrades!$A$2:$A$461,0)),INDEX(ExchangeConfirms!$K$2:$K$460,MATCH($A207,ExchangeConfirms!$A$2:$A$460,0)))</f>
        <v/>
      </c>
      <c r="E207">
        <f>IF(COUNTIF(InternalTrades!$A$2:$A$461,$A207)&gt;0,1,0)</f>
        <v/>
      </c>
      <c r="F207">
        <f>IF(COUNTIF(ExchangeConfirms!$A$2:$A$460,$A207)&gt;0,1,0)</f>
        <v/>
      </c>
      <c r="G207">
        <f>IFERROR(INDEX(InternalTrades!$F$2:$F$461,MATCH($A207,InternalTrades!$A$2:$A$461,0)),"")</f>
        <v/>
      </c>
      <c r="H207">
        <f>IFERROR(INDEX(ExchangeConfirms!$F$2:$F$460,MATCH($A207,ExchangeConfirms!$A$2:$A$460,0)),"")</f>
        <v/>
      </c>
      <c r="I207">
        <f>IFERROR(INDEX(InternalTrades!$G$2:$G$461,MATCH($A207,InternalTrades!$A$2:$A$461,0)),"")</f>
        <v/>
      </c>
      <c r="J207">
        <f>IFERROR(INDEX(ExchangeConfirms!$G$2:$G$460,MATCH($A207,ExchangeConfirms!$A$2:$A$460,0)),"")</f>
        <v/>
      </c>
      <c r="K207">
        <f>IFERROR(INDEX(InternalTrades!$H$2:$H$461,MATCH($A207,InternalTrades!$A$2:$A$461,0)),"")</f>
        <v/>
      </c>
      <c r="L207">
        <f>IFERROR(INDEX(ExchangeConfirms!$H$2:$H$460,MATCH($A207,ExchangeConfirms!$A$2:$A$460,0)),"")</f>
        <v/>
      </c>
      <c r="M207">
        <f>IFERROR(INDEX(InternalTrades!$J$2:$J$461,MATCH($A207,InternalTrades!$A$2:$A$461,0)),"")</f>
        <v/>
      </c>
      <c r="N207">
        <f>IFERROR(INDEX(ExchangeConfirms!$J$2:$J$460,MATCH($A207,ExchangeConfirms!$A$2:$A$460,0)),"")</f>
        <v/>
      </c>
      <c r="O207">
        <f>IFERROR(INDEX(InternalTrades!$I$2:$I$461,MATCH($A207,InternalTrades!$A$2:$A$461,0)),"")</f>
        <v/>
      </c>
      <c r="P207">
        <f>IFERROR(INDEX(ExchangeConfirms!$I$2:$I$460,MATCH($A207,ExchangeConfirms!$A$2:$A$460,0)),"")</f>
        <v/>
      </c>
      <c r="Q207">
        <f>IF(AND($E207=1,$F207=0),"MISSING IN EXCHANGE",IF(AND($E207=0,$F207=1),"MISSING IN INTERNAL",IF($G207&lt;&gt;$H207,"SIDE BREAK",IF($I207&lt;&gt;$J207,"QTY BREAK",IF(ABS($K207-$L207)&gt;0.005,"PRICE BREAK",IF(ABS($M207-$N207)&gt;0.01,"FEE BREAK","MATCHED"))))))</f>
        <v/>
      </c>
      <c r="R207">
        <f>IF($Q207="MATCHED",0,1)</f>
        <v/>
      </c>
      <c r="S207">
        <f>IF($Q207="MATCHED",0,IF($Q207="MISSING IN EXCHANGE",$O207,IF($Q207="MISSING IN INTERNAL",$P207,ABS(N($O207)-N($P207)))))</f>
        <v/>
      </c>
    </row>
    <row r="208">
      <c r="A208" t="inlineStr">
        <is>
          <t>T100207</t>
        </is>
      </c>
      <c r="B208">
        <f>IFERROR(INDEX(InternalTrades!$D$2:$D$461,MATCH($A208,InternalTrades!$A$2:$A$461,0)),INDEX(ExchangeConfirms!$D$2:$D$460,MATCH($A208,ExchangeConfirms!$A$2:$A$460,0)))</f>
        <v/>
      </c>
      <c r="C208">
        <f>IFERROR(INDEX(InternalTrades!$E$2:$E$461,MATCH($A208,InternalTrades!$A$2:$A$461,0)),INDEX(ExchangeConfirms!$E$2:$E$460,MATCH($A208,ExchangeConfirms!$A$2:$A$460,0)))</f>
        <v/>
      </c>
      <c r="D208">
        <f>IFERROR(INDEX(InternalTrades!$K$2:$K$461,MATCH($A208,InternalTrades!$A$2:$A$461,0)),INDEX(ExchangeConfirms!$K$2:$K$460,MATCH($A208,ExchangeConfirms!$A$2:$A$460,0)))</f>
        <v/>
      </c>
      <c r="E208">
        <f>IF(COUNTIF(InternalTrades!$A$2:$A$461,$A208)&gt;0,1,0)</f>
        <v/>
      </c>
      <c r="F208">
        <f>IF(COUNTIF(ExchangeConfirms!$A$2:$A$460,$A208)&gt;0,1,0)</f>
        <v/>
      </c>
      <c r="G208">
        <f>IFERROR(INDEX(InternalTrades!$F$2:$F$461,MATCH($A208,InternalTrades!$A$2:$A$461,0)),"")</f>
        <v/>
      </c>
      <c r="H208">
        <f>IFERROR(INDEX(ExchangeConfirms!$F$2:$F$460,MATCH($A208,ExchangeConfirms!$A$2:$A$460,0)),"")</f>
        <v/>
      </c>
      <c r="I208">
        <f>IFERROR(INDEX(InternalTrades!$G$2:$G$461,MATCH($A208,InternalTrades!$A$2:$A$461,0)),"")</f>
        <v/>
      </c>
      <c r="J208">
        <f>IFERROR(INDEX(ExchangeConfirms!$G$2:$G$460,MATCH($A208,ExchangeConfirms!$A$2:$A$460,0)),"")</f>
        <v/>
      </c>
      <c r="K208">
        <f>IFERROR(INDEX(InternalTrades!$H$2:$H$461,MATCH($A208,InternalTrades!$A$2:$A$461,0)),"")</f>
        <v/>
      </c>
      <c r="L208">
        <f>IFERROR(INDEX(ExchangeConfirms!$H$2:$H$460,MATCH($A208,ExchangeConfirms!$A$2:$A$460,0)),"")</f>
        <v/>
      </c>
      <c r="M208">
        <f>IFERROR(INDEX(InternalTrades!$J$2:$J$461,MATCH($A208,InternalTrades!$A$2:$A$461,0)),"")</f>
        <v/>
      </c>
      <c r="N208">
        <f>IFERROR(INDEX(ExchangeConfirms!$J$2:$J$460,MATCH($A208,ExchangeConfirms!$A$2:$A$460,0)),"")</f>
        <v/>
      </c>
      <c r="O208">
        <f>IFERROR(INDEX(InternalTrades!$I$2:$I$461,MATCH($A208,InternalTrades!$A$2:$A$461,0)),"")</f>
        <v/>
      </c>
      <c r="P208">
        <f>IFERROR(INDEX(ExchangeConfirms!$I$2:$I$460,MATCH($A208,ExchangeConfirms!$A$2:$A$460,0)),"")</f>
        <v/>
      </c>
      <c r="Q208">
        <f>IF(AND($E208=1,$F208=0),"MISSING IN EXCHANGE",IF(AND($E208=0,$F208=1),"MISSING IN INTERNAL",IF($G208&lt;&gt;$H208,"SIDE BREAK",IF($I208&lt;&gt;$J208,"QTY BREAK",IF(ABS($K208-$L208)&gt;0.005,"PRICE BREAK",IF(ABS($M208-$N208)&gt;0.01,"FEE BREAK","MATCHED"))))))</f>
        <v/>
      </c>
      <c r="R208">
        <f>IF($Q208="MATCHED",0,1)</f>
        <v/>
      </c>
      <c r="S208">
        <f>IF($Q208="MATCHED",0,IF($Q208="MISSING IN EXCHANGE",$O208,IF($Q208="MISSING IN INTERNAL",$P208,ABS(N($O208)-N($P208)))))</f>
        <v/>
      </c>
    </row>
    <row r="209">
      <c r="A209" t="inlineStr">
        <is>
          <t>T100208</t>
        </is>
      </c>
      <c r="B209">
        <f>IFERROR(INDEX(InternalTrades!$D$2:$D$461,MATCH($A209,InternalTrades!$A$2:$A$461,0)),INDEX(ExchangeConfirms!$D$2:$D$460,MATCH($A209,ExchangeConfirms!$A$2:$A$460,0)))</f>
        <v/>
      </c>
      <c r="C209">
        <f>IFERROR(INDEX(InternalTrades!$E$2:$E$461,MATCH($A209,InternalTrades!$A$2:$A$461,0)),INDEX(ExchangeConfirms!$E$2:$E$460,MATCH($A209,ExchangeConfirms!$A$2:$A$460,0)))</f>
        <v/>
      </c>
      <c r="D209">
        <f>IFERROR(INDEX(InternalTrades!$K$2:$K$461,MATCH($A209,InternalTrades!$A$2:$A$461,0)),INDEX(ExchangeConfirms!$K$2:$K$460,MATCH($A209,ExchangeConfirms!$A$2:$A$460,0)))</f>
        <v/>
      </c>
      <c r="E209">
        <f>IF(COUNTIF(InternalTrades!$A$2:$A$461,$A209)&gt;0,1,0)</f>
        <v/>
      </c>
      <c r="F209">
        <f>IF(COUNTIF(ExchangeConfirms!$A$2:$A$460,$A209)&gt;0,1,0)</f>
        <v/>
      </c>
      <c r="G209">
        <f>IFERROR(INDEX(InternalTrades!$F$2:$F$461,MATCH($A209,InternalTrades!$A$2:$A$461,0)),"")</f>
        <v/>
      </c>
      <c r="H209">
        <f>IFERROR(INDEX(ExchangeConfirms!$F$2:$F$460,MATCH($A209,ExchangeConfirms!$A$2:$A$460,0)),"")</f>
        <v/>
      </c>
      <c r="I209">
        <f>IFERROR(INDEX(InternalTrades!$G$2:$G$461,MATCH($A209,InternalTrades!$A$2:$A$461,0)),"")</f>
        <v/>
      </c>
      <c r="J209">
        <f>IFERROR(INDEX(ExchangeConfirms!$G$2:$G$460,MATCH($A209,ExchangeConfirms!$A$2:$A$460,0)),"")</f>
        <v/>
      </c>
      <c r="K209">
        <f>IFERROR(INDEX(InternalTrades!$H$2:$H$461,MATCH($A209,InternalTrades!$A$2:$A$461,0)),"")</f>
        <v/>
      </c>
      <c r="L209">
        <f>IFERROR(INDEX(ExchangeConfirms!$H$2:$H$460,MATCH($A209,ExchangeConfirms!$A$2:$A$460,0)),"")</f>
        <v/>
      </c>
      <c r="M209">
        <f>IFERROR(INDEX(InternalTrades!$J$2:$J$461,MATCH($A209,InternalTrades!$A$2:$A$461,0)),"")</f>
        <v/>
      </c>
      <c r="N209">
        <f>IFERROR(INDEX(ExchangeConfirms!$J$2:$J$460,MATCH($A209,ExchangeConfirms!$A$2:$A$460,0)),"")</f>
        <v/>
      </c>
      <c r="O209">
        <f>IFERROR(INDEX(InternalTrades!$I$2:$I$461,MATCH($A209,InternalTrades!$A$2:$A$461,0)),"")</f>
        <v/>
      </c>
      <c r="P209">
        <f>IFERROR(INDEX(ExchangeConfirms!$I$2:$I$460,MATCH($A209,ExchangeConfirms!$A$2:$A$460,0)),"")</f>
        <v/>
      </c>
      <c r="Q209">
        <f>IF(AND($E209=1,$F209=0),"MISSING IN EXCHANGE",IF(AND($E209=0,$F209=1),"MISSING IN INTERNAL",IF($G209&lt;&gt;$H209,"SIDE BREAK",IF($I209&lt;&gt;$J209,"QTY BREAK",IF(ABS($K209-$L209)&gt;0.005,"PRICE BREAK",IF(ABS($M209-$N209)&gt;0.01,"FEE BREAK","MATCHED"))))))</f>
        <v/>
      </c>
      <c r="R209">
        <f>IF($Q209="MATCHED",0,1)</f>
        <v/>
      </c>
      <c r="S209">
        <f>IF($Q209="MATCHED",0,IF($Q209="MISSING IN EXCHANGE",$O209,IF($Q209="MISSING IN INTERNAL",$P209,ABS(N($O209)-N($P209)))))</f>
        <v/>
      </c>
    </row>
    <row r="210">
      <c r="A210" t="inlineStr">
        <is>
          <t>T100209</t>
        </is>
      </c>
      <c r="B210">
        <f>IFERROR(INDEX(InternalTrades!$D$2:$D$461,MATCH($A210,InternalTrades!$A$2:$A$461,0)),INDEX(ExchangeConfirms!$D$2:$D$460,MATCH($A210,ExchangeConfirms!$A$2:$A$460,0)))</f>
        <v/>
      </c>
      <c r="C210">
        <f>IFERROR(INDEX(InternalTrades!$E$2:$E$461,MATCH($A210,InternalTrades!$A$2:$A$461,0)),INDEX(ExchangeConfirms!$E$2:$E$460,MATCH($A210,ExchangeConfirms!$A$2:$A$460,0)))</f>
        <v/>
      </c>
      <c r="D210">
        <f>IFERROR(INDEX(InternalTrades!$K$2:$K$461,MATCH($A210,InternalTrades!$A$2:$A$461,0)),INDEX(ExchangeConfirms!$K$2:$K$460,MATCH($A210,ExchangeConfirms!$A$2:$A$460,0)))</f>
        <v/>
      </c>
      <c r="E210">
        <f>IF(COUNTIF(InternalTrades!$A$2:$A$461,$A210)&gt;0,1,0)</f>
        <v/>
      </c>
      <c r="F210">
        <f>IF(COUNTIF(ExchangeConfirms!$A$2:$A$460,$A210)&gt;0,1,0)</f>
        <v/>
      </c>
      <c r="G210">
        <f>IFERROR(INDEX(InternalTrades!$F$2:$F$461,MATCH($A210,InternalTrades!$A$2:$A$461,0)),"")</f>
        <v/>
      </c>
      <c r="H210">
        <f>IFERROR(INDEX(ExchangeConfirms!$F$2:$F$460,MATCH($A210,ExchangeConfirms!$A$2:$A$460,0)),"")</f>
        <v/>
      </c>
      <c r="I210">
        <f>IFERROR(INDEX(InternalTrades!$G$2:$G$461,MATCH($A210,InternalTrades!$A$2:$A$461,0)),"")</f>
        <v/>
      </c>
      <c r="J210">
        <f>IFERROR(INDEX(ExchangeConfirms!$G$2:$G$460,MATCH($A210,ExchangeConfirms!$A$2:$A$460,0)),"")</f>
        <v/>
      </c>
      <c r="K210">
        <f>IFERROR(INDEX(InternalTrades!$H$2:$H$461,MATCH($A210,InternalTrades!$A$2:$A$461,0)),"")</f>
        <v/>
      </c>
      <c r="L210">
        <f>IFERROR(INDEX(ExchangeConfirms!$H$2:$H$460,MATCH($A210,ExchangeConfirms!$A$2:$A$460,0)),"")</f>
        <v/>
      </c>
      <c r="M210">
        <f>IFERROR(INDEX(InternalTrades!$J$2:$J$461,MATCH($A210,InternalTrades!$A$2:$A$461,0)),"")</f>
        <v/>
      </c>
      <c r="N210">
        <f>IFERROR(INDEX(ExchangeConfirms!$J$2:$J$460,MATCH($A210,ExchangeConfirms!$A$2:$A$460,0)),"")</f>
        <v/>
      </c>
      <c r="O210">
        <f>IFERROR(INDEX(InternalTrades!$I$2:$I$461,MATCH($A210,InternalTrades!$A$2:$A$461,0)),"")</f>
        <v/>
      </c>
      <c r="P210">
        <f>IFERROR(INDEX(ExchangeConfirms!$I$2:$I$460,MATCH($A210,ExchangeConfirms!$A$2:$A$460,0)),"")</f>
        <v/>
      </c>
      <c r="Q210">
        <f>IF(AND($E210=1,$F210=0),"MISSING IN EXCHANGE",IF(AND($E210=0,$F210=1),"MISSING IN INTERNAL",IF($G210&lt;&gt;$H210,"SIDE BREAK",IF($I210&lt;&gt;$J210,"QTY BREAK",IF(ABS($K210-$L210)&gt;0.005,"PRICE BREAK",IF(ABS($M210-$N210)&gt;0.01,"FEE BREAK","MATCHED"))))))</f>
        <v/>
      </c>
      <c r="R210">
        <f>IF($Q210="MATCHED",0,1)</f>
        <v/>
      </c>
      <c r="S210">
        <f>IF($Q210="MATCHED",0,IF($Q210="MISSING IN EXCHANGE",$O210,IF($Q210="MISSING IN INTERNAL",$P210,ABS(N($O210)-N($P210)))))</f>
        <v/>
      </c>
    </row>
    <row r="211">
      <c r="A211" t="inlineStr">
        <is>
          <t>T100210</t>
        </is>
      </c>
      <c r="B211">
        <f>IFERROR(INDEX(InternalTrades!$D$2:$D$461,MATCH($A211,InternalTrades!$A$2:$A$461,0)),INDEX(ExchangeConfirms!$D$2:$D$460,MATCH($A211,ExchangeConfirms!$A$2:$A$460,0)))</f>
        <v/>
      </c>
      <c r="C211">
        <f>IFERROR(INDEX(InternalTrades!$E$2:$E$461,MATCH($A211,InternalTrades!$A$2:$A$461,0)),INDEX(ExchangeConfirms!$E$2:$E$460,MATCH($A211,ExchangeConfirms!$A$2:$A$460,0)))</f>
        <v/>
      </c>
      <c r="D211">
        <f>IFERROR(INDEX(InternalTrades!$K$2:$K$461,MATCH($A211,InternalTrades!$A$2:$A$461,0)),INDEX(ExchangeConfirms!$K$2:$K$460,MATCH($A211,ExchangeConfirms!$A$2:$A$460,0)))</f>
        <v/>
      </c>
      <c r="E211">
        <f>IF(COUNTIF(InternalTrades!$A$2:$A$461,$A211)&gt;0,1,0)</f>
        <v/>
      </c>
      <c r="F211">
        <f>IF(COUNTIF(ExchangeConfirms!$A$2:$A$460,$A211)&gt;0,1,0)</f>
        <v/>
      </c>
      <c r="G211">
        <f>IFERROR(INDEX(InternalTrades!$F$2:$F$461,MATCH($A211,InternalTrades!$A$2:$A$461,0)),"")</f>
        <v/>
      </c>
      <c r="H211">
        <f>IFERROR(INDEX(ExchangeConfirms!$F$2:$F$460,MATCH($A211,ExchangeConfirms!$A$2:$A$460,0)),"")</f>
        <v/>
      </c>
      <c r="I211">
        <f>IFERROR(INDEX(InternalTrades!$G$2:$G$461,MATCH($A211,InternalTrades!$A$2:$A$461,0)),"")</f>
        <v/>
      </c>
      <c r="J211">
        <f>IFERROR(INDEX(ExchangeConfirms!$G$2:$G$460,MATCH($A211,ExchangeConfirms!$A$2:$A$460,0)),"")</f>
        <v/>
      </c>
      <c r="K211">
        <f>IFERROR(INDEX(InternalTrades!$H$2:$H$461,MATCH($A211,InternalTrades!$A$2:$A$461,0)),"")</f>
        <v/>
      </c>
      <c r="L211">
        <f>IFERROR(INDEX(ExchangeConfirms!$H$2:$H$460,MATCH($A211,ExchangeConfirms!$A$2:$A$460,0)),"")</f>
        <v/>
      </c>
      <c r="M211">
        <f>IFERROR(INDEX(InternalTrades!$J$2:$J$461,MATCH($A211,InternalTrades!$A$2:$A$461,0)),"")</f>
        <v/>
      </c>
      <c r="N211">
        <f>IFERROR(INDEX(ExchangeConfirms!$J$2:$J$460,MATCH($A211,ExchangeConfirms!$A$2:$A$460,0)),"")</f>
        <v/>
      </c>
      <c r="O211">
        <f>IFERROR(INDEX(InternalTrades!$I$2:$I$461,MATCH($A211,InternalTrades!$A$2:$A$461,0)),"")</f>
        <v/>
      </c>
      <c r="P211">
        <f>IFERROR(INDEX(ExchangeConfirms!$I$2:$I$460,MATCH($A211,ExchangeConfirms!$A$2:$A$460,0)),"")</f>
        <v/>
      </c>
      <c r="Q211">
        <f>IF(AND($E211=1,$F211=0),"MISSING IN EXCHANGE",IF(AND($E211=0,$F211=1),"MISSING IN INTERNAL",IF($G211&lt;&gt;$H211,"SIDE BREAK",IF($I211&lt;&gt;$J211,"QTY BREAK",IF(ABS($K211-$L211)&gt;0.005,"PRICE BREAK",IF(ABS($M211-$N211)&gt;0.01,"FEE BREAK","MATCHED"))))))</f>
        <v/>
      </c>
      <c r="R211">
        <f>IF($Q211="MATCHED",0,1)</f>
        <v/>
      </c>
      <c r="S211">
        <f>IF($Q211="MATCHED",0,IF($Q211="MISSING IN EXCHANGE",$O211,IF($Q211="MISSING IN INTERNAL",$P211,ABS(N($O211)-N($P211)))))</f>
        <v/>
      </c>
    </row>
    <row r="212">
      <c r="A212" t="inlineStr">
        <is>
          <t>T100211</t>
        </is>
      </c>
      <c r="B212">
        <f>IFERROR(INDEX(InternalTrades!$D$2:$D$461,MATCH($A212,InternalTrades!$A$2:$A$461,0)),INDEX(ExchangeConfirms!$D$2:$D$460,MATCH($A212,ExchangeConfirms!$A$2:$A$460,0)))</f>
        <v/>
      </c>
      <c r="C212">
        <f>IFERROR(INDEX(InternalTrades!$E$2:$E$461,MATCH($A212,InternalTrades!$A$2:$A$461,0)),INDEX(ExchangeConfirms!$E$2:$E$460,MATCH($A212,ExchangeConfirms!$A$2:$A$460,0)))</f>
        <v/>
      </c>
      <c r="D212">
        <f>IFERROR(INDEX(InternalTrades!$K$2:$K$461,MATCH($A212,InternalTrades!$A$2:$A$461,0)),INDEX(ExchangeConfirms!$K$2:$K$460,MATCH($A212,ExchangeConfirms!$A$2:$A$460,0)))</f>
        <v/>
      </c>
      <c r="E212">
        <f>IF(COUNTIF(InternalTrades!$A$2:$A$461,$A212)&gt;0,1,0)</f>
        <v/>
      </c>
      <c r="F212">
        <f>IF(COUNTIF(ExchangeConfirms!$A$2:$A$460,$A212)&gt;0,1,0)</f>
        <v/>
      </c>
      <c r="G212">
        <f>IFERROR(INDEX(InternalTrades!$F$2:$F$461,MATCH($A212,InternalTrades!$A$2:$A$461,0)),"")</f>
        <v/>
      </c>
      <c r="H212">
        <f>IFERROR(INDEX(ExchangeConfirms!$F$2:$F$460,MATCH($A212,ExchangeConfirms!$A$2:$A$460,0)),"")</f>
        <v/>
      </c>
      <c r="I212">
        <f>IFERROR(INDEX(InternalTrades!$G$2:$G$461,MATCH($A212,InternalTrades!$A$2:$A$461,0)),"")</f>
        <v/>
      </c>
      <c r="J212">
        <f>IFERROR(INDEX(ExchangeConfirms!$G$2:$G$460,MATCH($A212,ExchangeConfirms!$A$2:$A$460,0)),"")</f>
        <v/>
      </c>
      <c r="K212">
        <f>IFERROR(INDEX(InternalTrades!$H$2:$H$461,MATCH($A212,InternalTrades!$A$2:$A$461,0)),"")</f>
        <v/>
      </c>
      <c r="L212">
        <f>IFERROR(INDEX(ExchangeConfirms!$H$2:$H$460,MATCH($A212,ExchangeConfirms!$A$2:$A$460,0)),"")</f>
        <v/>
      </c>
      <c r="M212">
        <f>IFERROR(INDEX(InternalTrades!$J$2:$J$461,MATCH($A212,InternalTrades!$A$2:$A$461,0)),"")</f>
        <v/>
      </c>
      <c r="N212">
        <f>IFERROR(INDEX(ExchangeConfirms!$J$2:$J$460,MATCH($A212,ExchangeConfirms!$A$2:$A$460,0)),"")</f>
        <v/>
      </c>
      <c r="O212">
        <f>IFERROR(INDEX(InternalTrades!$I$2:$I$461,MATCH($A212,InternalTrades!$A$2:$A$461,0)),"")</f>
        <v/>
      </c>
      <c r="P212">
        <f>IFERROR(INDEX(ExchangeConfirms!$I$2:$I$460,MATCH($A212,ExchangeConfirms!$A$2:$A$460,0)),"")</f>
        <v/>
      </c>
      <c r="Q212">
        <f>IF(AND($E212=1,$F212=0),"MISSING IN EXCHANGE",IF(AND($E212=0,$F212=1),"MISSING IN INTERNAL",IF($G212&lt;&gt;$H212,"SIDE BREAK",IF($I212&lt;&gt;$J212,"QTY BREAK",IF(ABS($K212-$L212)&gt;0.005,"PRICE BREAK",IF(ABS($M212-$N212)&gt;0.01,"FEE BREAK","MATCHED"))))))</f>
        <v/>
      </c>
      <c r="R212">
        <f>IF($Q212="MATCHED",0,1)</f>
        <v/>
      </c>
      <c r="S212">
        <f>IF($Q212="MATCHED",0,IF($Q212="MISSING IN EXCHANGE",$O212,IF($Q212="MISSING IN INTERNAL",$P212,ABS(N($O212)-N($P212)))))</f>
        <v/>
      </c>
    </row>
    <row r="213">
      <c r="A213" t="inlineStr">
        <is>
          <t>T100212</t>
        </is>
      </c>
      <c r="B213">
        <f>IFERROR(INDEX(InternalTrades!$D$2:$D$461,MATCH($A213,InternalTrades!$A$2:$A$461,0)),INDEX(ExchangeConfirms!$D$2:$D$460,MATCH($A213,ExchangeConfirms!$A$2:$A$460,0)))</f>
        <v/>
      </c>
      <c r="C213">
        <f>IFERROR(INDEX(InternalTrades!$E$2:$E$461,MATCH($A213,InternalTrades!$A$2:$A$461,0)),INDEX(ExchangeConfirms!$E$2:$E$460,MATCH($A213,ExchangeConfirms!$A$2:$A$460,0)))</f>
        <v/>
      </c>
      <c r="D213">
        <f>IFERROR(INDEX(InternalTrades!$K$2:$K$461,MATCH($A213,InternalTrades!$A$2:$A$461,0)),INDEX(ExchangeConfirms!$K$2:$K$460,MATCH($A213,ExchangeConfirms!$A$2:$A$460,0)))</f>
        <v/>
      </c>
      <c r="E213">
        <f>IF(COUNTIF(InternalTrades!$A$2:$A$461,$A213)&gt;0,1,0)</f>
        <v/>
      </c>
      <c r="F213">
        <f>IF(COUNTIF(ExchangeConfirms!$A$2:$A$460,$A213)&gt;0,1,0)</f>
        <v/>
      </c>
      <c r="G213">
        <f>IFERROR(INDEX(InternalTrades!$F$2:$F$461,MATCH($A213,InternalTrades!$A$2:$A$461,0)),"")</f>
        <v/>
      </c>
      <c r="H213">
        <f>IFERROR(INDEX(ExchangeConfirms!$F$2:$F$460,MATCH($A213,ExchangeConfirms!$A$2:$A$460,0)),"")</f>
        <v/>
      </c>
      <c r="I213">
        <f>IFERROR(INDEX(InternalTrades!$G$2:$G$461,MATCH($A213,InternalTrades!$A$2:$A$461,0)),"")</f>
        <v/>
      </c>
      <c r="J213">
        <f>IFERROR(INDEX(ExchangeConfirms!$G$2:$G$460,MATCH($A213,ExchangeConfirms!$A$2:$A$460,0)),"")</f>
        <v/>
      </c>
      <c r="K213">
        <f>IFERROR(INDEX(InternalTrades!$H$2:$H$461,MATCH($A213,InternalTrades!$A$2:$A$461,0)),"")</f>
        <v/>
      </c>
      <c r="L213">
        <f>IFERROR(INDEX(ExchangeConfirms!$H$2:$H$460,MATCH($A213,ExchangeConfirms!$A$2:$A$460,0)),"")</f>
        <v/>
      </c>
      <c r="M213">
        <f>IFERROR(INDEX(InternalTrades!$J$2:$J$461,MATCH($A213,InternalTrades!$A$2:$A$461,0)),"")</f>
        <v/>
      </c>
      <c r="N213">
        <f>IFERROR(INDEX(ExchangeConfirms!$J$2:$J$460,MATCH($A213,ExchangeConfirms!$A$2:$A$460,0)),"")</f>
        <v/>
      </c>
      <c r="O213">
        <f>IFERROR(INDEX(InternalTrades!$I$2:$I$461,MATCH($A213,InternalTrades!$A$2:$A$461,0)),"")</f>
        <v/>
      </c>
      <c r="P213">
        <f>IFERROR(INDEX(ExchangeConfirms!$I$2:$I$460,MATCH($A213,ExchangeConfirms!$A$2:$A$460,0)),"")</f>
        <v/>
      </c>
      <c r="Q213">
        <f>IF(AND($E213=1,$F213=0),"MISSING IN EXCHANGE",IF(AND($E213=0,$F213=1),"MISSING IN INTERNAL",IF($G213&lt;&gt;$H213,"SIDE BREAK",IF($I213&lt;&gt;$J213,"QTY BREAK",IF(ABS($K213-$L213)&gt;0.005,"PRICE BREAK",IF(ABS($M213-$N213)&gt;0.01,"FEE BREAK","MATCHED"))))))</f>
        <v/>
      </c>
      <c r="R213">
        <f>IF($Q213="MATCHED",0,1)</f>
        <v/>
      </c>
      <c r="S213">
        <f>IF($Q213="MATCHED",0,IF($Q213="MISSING IN EXCHANGE",$O213,IF($Q213="MISSING IN INTERNAL",$P213,ABS(N($O213)-N($P213)))))</f>
        <v/>
      </c>
    </row>
    <row r="214">
      <c r="A214" t="inlineStr">
        <is>
          <t>T100213</t>
        </is>
      </c>
      <c r="B214">
        <f>IFERROR(INDEX(InternalTrades!$D$2:$D$461,MATCH($A214,InternalTrades!$A$2:$A$461,0)),INDEX(ExchangeConfirms!$D$2:$D$460,MATCH($A214,ExchangeConfirms!$A$2:$A$460,0)))</f>
        <v/>
      </c>
      <c r="C214">
        <f>IFERROR(INDEX(InternalTrades!$E$2:$E$461,MATCH($A214,InternalTrades!$A$2:$A$461,0)),INDEX(ExchangeConfirms!$E$2:$E$460,MATCH($A214,ExchangeConfirms!$A$2:$A$460,0)))</f>
        <v/>
      </c>
      <c r="D214">
        <f>IFERROR(INDEX(InternalTrades!$K$2:$K$461,MATCH($A214,InternalTrades!$A$2:$A$461,0)),INDEX(ExchangeConfirms!$K$2:$K$460,MATCH($A214,ExchangeConfirms!$A$2:$A$460,0)))</f>
        <v/>
      </c>
      <c r="E214">
        <f>IF(COUNTIF(InternalTrades!$A$2:$A$461,$A214)&gt;0,1,0)</f>
        <v/>
      </c>
      <c r="F214">
        <f>IF(COUNTIF(ExchangeConfirms!$A$2:$A$460,$A214)&gt;0,1,0)</f>
        <v/>
      </c>
      <c r="G214">
        <f>IFERROR(INDEX(InternalTrades!$F$2:$F$461,MATCH($A214,InternalTrades!$A$2:$A$461,0)),"")</f>
        <v/>
      </c>
      <c r="H214">
        <f>IFERROR(INDEX(ExchangeConfirms!$F$2:$F$460,MATCH($A214,ExchangeConfirms!$A$2:$A$460,0)),"")</f>
        <v/>
      </c>
      <c r="I214">
        <f>IFERROR(INDEX(InternalTrades!$G$2:$G$461,MATCH($A214,InternalTrades!$A$2:$A$461,0)),"")</f>
        <v/>
      </c>
      <c r="J214">
        <f>IFERROR(INDEX(ExchangeConfirms!$G$2:$G$460,MATCH($A214,ExchangeConfirms!$A$2:$A$460,0)),"")</f>
        <v/>
      </c>
      <c r="K214">
        <f>IFERROR(INDEX(InternalTrades!$H$2:$H$461,MATCH($A214,InternalTrades!$A$2:$A$461,0)),"")</f>
        <v/>
      </c>
      <c r="L214">
        <f>IFERROR(INDEX(ExchangeConfirms!$H$2:$H$460,MATCH($A214,ExchangeConfirms!$A$2:$A$460,0)),"")</f>
        <v/>
      </c>
      <c r="M214">
        <f>IFERROR(INDEX(InternalTrades!$J$2:$J$461,MATCH($A214,InternalTrades!$A$2:$A$461,0)),"")</f>
        <v/>
      </c>
      <c r="N214">
        <f>IFERROR(INDEX(ExchangeConfirms!$J$2:$J$460,MATCH($A214,ExchangeConfirms!$A$2:$A$460,0)),"")</f>
        <v/>
      </c>
      <c r="O214">
        <f>IFERROR(INDEX(InternalTrades!$I$2:$I$461,MATCH($A214,InternalTrades!$A$2:$A$461,0)),"")</f>
        <v/>
      </c>
      <c r="P214">
        <f>IFERROR(INDEX(ExchangeConfirms!$I$2:$I$460,MATCH($A214,ExchangeConfirms!$A$2:$A$460,0)),"")</f>
        <v/>
      </c>
      <c r="Q214">
        <f>IF(AND($E214=1,$F214=0),"MISSING IN EXCHANGE",IF(AND($E214=0,$F214=1),"MISSING IN INTERNAL",IF($G214&lt;&gt;$H214,"SIDE BREAK",IF($I214&lt;&gt;$J214,"QTY BREAK",IF(ABS($K214-$L214)&gt;0.005,"PRICE BREAK",IF(ABS($M214-$N214)&gt;0.01,"FEE BREAK","MATCHED"))))))</f>
        <v/>
      </c>
      <c r="R214">
        <f>IF($Q214="MATCHED",0,1)</f>
        <v/>
      </c>
      <c r="S214">
        <f>IF($Q214="MATCHED",0,IF($Q214="MISSING IN EXCHANGE",$O214,IF($Q214="MISSING IN INTERNAL",$P214,ABS(N($O214)-N($P214)))))</f>
        <v/>
      </c>
    </row>
    <row r="215">
      <c r="A215" t="inlineStr">
        <is>
          <t>T100214</t>
        </is>
      </c>
      <c r="B215">
        <f>IFERROR(INDEX(InternalTrades!$D$2:$D$461,MATCH($A215,InternalTrades!$A$2:$A$461,0)),INDEX(ExchangeConfirms!$D$2:$D$460,MATCH($A215,ExchangeConfirms!$A$2:$A$460,0)))</f>
        <v/>
      </c>
      <c r="C215">
        <f>IFERROR(INDEX(InternalTrades!$E$2:$E$461,MATCH($A215,InternalTrades!$A$2:$A$461,0)),INDEX(ExchangeConfirms!$E$2:$E$460,MATCH($A215,ExchangeConfirms!$A$2:$A$460,0)))</f>
        <v/>
      </c>
      <c r="D215">
        <f>IFERROR(INDEX(InternalTrades!$K$2:$K$461,MATCH($A215,InternalTrades!$A$2:$A$461,0)),INDEX(ExchangeConfirms!$K$2:$K$460,MATCH($A215,ExchangeConfirms!$A$2:$A$460,0)))</f>
        <v/>
      </c>
      <c r="E215">
        <f>IF(COUNTIF(InternalTrades!$A$2:$A$461,$A215)&gt;0,1,0)</f>
        <v/>
      </c>
      <c r="F215">
        <f>IF(COUNTIF(ExchangeConfirms!$A$2:$A$460,$A215)&gt;0,1,0)</f>
        <v/>
      </c>
      <c r="G215">
        <f>IFERROR(INDEX(InternalTrades!$F$2:$F$461,MATCH($A215,InternalTrades!$A$2:$A$461,0)),"")</f>
        <v/>
      </c>
      <c r="H215">
        <f>IFERROR(INDEX(ExchangeConfirms!$F$2:$F$460,MATCH($A215,ExchangeConfirms!$A$2:$A$460,0)),"")</f>
        <v/>
      </c>
      <c r="I215">
        <f>IFERROR(INDEX(InternalTrades!$G$2:$G$461,MATCH($A215,InternalTrades!$A$2:$A$461,0)),"")</f>
        <v/>
      </c>
      <c r="J215">
        <f>IFERROR(INDEX(ExchangeConfirms!$G$2:$G$460,MATCH($A215,ExchangeConfirms!$A$2:$A$460,0)),"")</f>
        <v/>
      </c>
      <c r="K215">
        <f>IFERROR(INDEX(InternalTrades!$H$2:$H$461,MATCH($A215,InternalTrades!$A$2:$A$461,0)),"")</f>
        <v/>
      </c>
      <c r="L215">
        <f>IFERROR(INDEX(ExchangeConfirms!$H$2:$H$460,MATCH($A215,ExchangeConfirms!$A$2:$A$460,0)),"")</f>
        <v/>
      </c>
      <c r="M215">
        <f>IFERROR(INDEX(InternalTrades!$J$2:$J$461,MATCH($A215,InternalTrades!$A$2:$A$461,0)),"")</f>
        <v/>
      </c>
      <c r="N215">
        <f>IFERROR(INDEX(ExchangeConfirms!$J$2:$J$460,MATCH($A215,ExchangeConfirms!$A$2:$A$460,0)),"")</f>
        <v/>
      </c>
      <c r="O215">
        <f>IFERROR(INDEX(InternalTrades!$I$2:$I$461,MATCH($A215,InternalTrades!$A$2:$A$461,0)),"")</f>
        <v/>
      </c>
      <c r="P215">
        <f>IFERROR(INDEX(ExchangeConfirms!$I$2:$I$460,MATCH($A215,ExchangeConfirms!$A$2:$A$460,0)),"")</f>
        <v/>
      </c>
      <c r="Q215">
        <f>IF(AND($E215=1,$F215=0),"MISSING IN EXCHANGE",IF(AND($E215=0,$F215=1),"MISSING IN INTERNAL",IF($G215&lt;&gt;$H215,"SIDE BREAK",IF($I215&lt;&gt;$J215,"QTY BREAK",IF(ABS($K215-$L215)&gt;0.005,"PRICE BREAK",IF(ABS($M215-$N215)&gt;0.01,"FEE BREAK","MATCHED"))))))</f>
        <v/>
      </c>
      <c r="R215">
        <f>IF($Q215="MATCHED",0,1)</f>
        <v/>
      </c>
      <c r="S215">
        <f>IF($Q215="MATCHED",0,IF($Q215="MISSING IN EXCHANGE",$O215,IF($Q215="MISSING IN INTERNAL",$P215,ABS(N($O215)-N($P215)))))</f>
        <v/>
      </c>
    </row>
    <row r="216">
      <c r="A216" t="inlineStr">
        <is>
          <t>T100215</t>
        </is>
      </c>
      <c r="B216">
        <f>IFERROR(INDEX(InternalTrades!$D$2:$D$461,MATCH($A216,InternalTrades!$A$2:$A$461,0)),INDEX(ExchangeConfirms!$D$2:$D$460,MATCH($A216,ExchangeConfirms!$A$2:$A$460,0)))</f>
        <v/>
      </c>
      <c r="C216">
        <f>IFERROR(INDEX(InternalTrades!$E$2:$E$461,MATCH($A216,InternalTrades!$A$2:$A$461,0)),INDEX(ExchangeConfirms!$E$2:$E$460,MATCH($A216,ExchangeConfirms!$A$2:$A$460,0)))</f>
        <v/>
      </c>
      <c r="D216">
        <f>IFERROR(INDEX(InternalTrades!$K$2:$K$461,MATCH($A216,InternalTrades!$A$2:$A$461,0)),INDEX(ExchangeConfirms!$K$2:$K$460,MATCH($A216,ExchangeConfirms!$A$2:$A$460,0)))</f>
        <v/>
      </c>
      <c r="E216">
        <f>IF(COUNTIF(InternalTrades!$A$2:$A$461,$A216)&gt;0,1,0)</f>
        <v/>
      </c>
      <c r="F216">
        <f>IF(COUNTIF(ExchangeConfirms!$A$2:$A$460,$A216)&gt;0,1,0)</f>
        <v/>
      </c>
      <c r="G216">
        <f>IFERROR(INDEX(InternalTrades!$F$2:$F$461,MATCH($A216,InternalTrades!$A$2:$A$461,0)),"")</f>
        <v/>
      </c>
      <c r="H216">
        <f>IFERROR(INDEX(ExchangeConfirms!$F$2:$F$460,MATCH($A216,ExchangeConfirms!$A$2:$A$460,0)),"")</f>
        <v/>
      </c>
      <c r="I216">
        <f>IFERROR(INDEX(InternalTrades!$G$2:$G$461,MATCH($A216,InternalTrades!$A$2:$A$461,0)),"")</f>
        <v/>
      </c>
      <c r="J216">
        <f>IFERROR(INDEX(ExchangeConfirms!$G$2:$G$460,MATCH($A216,ExchangeConfirms!$A$2:$A$460,0)),"")</f>
        <v/>
      </c>
      <c r="K216">
        <f>IFERROR(INDEX(InternalTrades!$H$2:$H$461,MATCH($A216,InternalTrades!$A$2:$A$461,0)),"")</f>
        <v/>
      </c>
      <c r="L216">
        <f>IFERROR(INDEX(ExchangeConfirms!$H$2:$H$460,MATCH($A216,ExchangeConfirms!$A$2:$A$460,0)),"")</f>
        <v/>
      </c>
      <c r="M216">
        <f>IFERROR(INDEX(InternalTrades!$J$2:$J$461,MATCH($A216,InternalTrades!$A$2:$A$461,0)),"")</f>
        <v/>
      </c>
      <c r="N216">
        <f>IFERROR(INDEX(ExchangeConfirms!$J$2:$J$460,MATCH($A216,ExchangeConfirms!$A$2:$A$460,0)),"")</f>
        <v/>
      </c>
      <c r="O216">
        <f>IFERROR(INDEX(InternalTrades!$I$2:$I$461,MATCH($A216,InternalTrades!$A$2:$A$461,0)),"")</f>
        <v/>
      </c>
      <c r="P216">
        <f>IFERROR(INDEX(ExchangeConfirms!$I$2:$I$460,MATCH($A216,ExchangeConfirms!$A$2:$A$460,0)),"")</f>
        <v/>
      </c>
      <c r="Q216">
        <f>IF(AND($E216=1,$F216=0),"MISSING IN EXCHANGE",IF(AND($E216=0,$F216=1),"MISSING IN INTERNAL",IF($G216&lt;&gt;$H216,"SIDE BREAK",IF($I216&lt;&gt;$J216,"QTY BREAK",IF(ABS($K216-$L216)&gt;0.005,"PRICE BREAK",IF(ABS($M216-$N216)&gt;0.01,"FEE BREAK","MATCHED"))))))</f>
        <v/>
      </c>
      <c r="R216">
        <f>IF($Q216="MATCHED",0,1)</f>
        <v/>
      </c>
      <c r="S216">
        <f>IF($Q216="MATCHED",0,IF($Q216="MISSING IN EXCHANGE",$O216,IF($Q216="MISSING IN INTERNAL",$P216,ABS(N($O216)-N($P216)))))</f>
        <v/>
      </c>
    </row>
    <row r="217">
      <c r="A217" t="inlineStr">
        <is>
          <t>T100216</t>
        </is>
      </c>
      <c r="B217">
        <f>IFERROR(INDEX(InternalTrades!$D$2:$D$461,MATCH($A217,InternalTrades!$A$2:$A$461,0)),INDEX(ExchangeConfirms!$D$2:$D$460,MATCH($A217,ExchangeConfirms!$A$2:$A$460,0)))</f>
        <v/>
      </c>
      <c r="C217">
        <f>IFERROR(INDEX(InternalTrades!$E$2:$E$461,MATCH($A217,InternalTrades!$A$2:$A$461,0)),INDEX(ExchangeConfirms!$E$2:$E$460,MATCH($A217,ExchangeConfirms!$A$2:$A$460,0)))</f>
        <v/>
      </c>
      <c r="D217">
        <f>IFERROR(INDEX(InternalTrades!$K$2:$K$461,MATCH($A217,InternalTrades!$A$2:$A$461,0)),INDEX(ExchangeConfirms!$K$2:$K$460,MATCH($A217,ExchangeConfirms!$A$2:$A$460,0)))</f>
        <v/>
      </c>
      <c r="E217">
        <f>IF(COUNTIF(InternalTrades!$A$2:$A$461,$A217)&gt;0,1,0)</f>
        <v/>
      </c>
      <c r="F217">
        <f>IF(COUNTIF(ExchangeConfirms!$A$2:$A$460,$A217)&gt;0,1,0)</f>
        <v/>
      </c>
      <c r="G217">
        <f>IFERROR(INDEX(InternalTrades!$F$2:$F$461,MATCH($A217,InternalTrades!$A$2:$A$461,0)),"")</f>
        <v/>
      </c>
      <c r="H217">
        <f>IFERROR(INDEX(ExchangeConfirms!$F$2:$F$460,MATCH($A217,ExchangeConfirms!$A$2:$A$460,0)),"")</f>
        <v/>
      </c>
      <c r="I217">
        <f>IFERROR(INDEX(InternalTrades!$G$2:$G$461,MATCH($A217,InternalTrades!$A$2:$A$461,0)),"")</f>
        <v/>
      </c>
      <c r="J217">
        <f>IFERROR(INDEX(ExchangeConfirms!$G$2:$G$460,MATCH($A217,ExchangeConfirms!$A$2:$A$460,0)),"")</f>
        <v/>
      </c>
      <c r="K217">
        <f>IFERROR(INDEX(InternalTrades!$H$2:$H$461,MATCH($A217,InternalTrades!$A$2:$A$461,0)),"")</f>
        <v/>
      </c>
      <c r="L217">
        <f>IFERROR(INDEX(ExchangeConfirms!$H$2:$H$460,MATCH($A217,ExchangeConfirms!$A$2:$A$460,0)),"")</f>
        <v/>
      </c>
      <c r="M217">
        <f>IFERROR(INDEX(InternalTrades!$J$2:$J$461,MATCH($A217,InternalTrades!$A$2:$A$461,0)),"")</f>
        <v/>
      </c>
      <c r="N217">
        <f>IFERROR(INDEX(ExchangeConfirms!$J$2:$J$460,MATCH($A217,ExchangeConfirms!$A$2:$A$460,0)),"")</f>
        <v/>
      </c>
      <c r="O217">
        <f>IFERROR(INDEX(InternalTrades!$I$2:$I$461,MATCH($A217,InternalTrades!$A$2:$A$461,0)),"")</f>
        <v/>
      </c>
      <c r="P217">
        <f>IFERROR(INDEX(ExchangeConfirms!$I$2:$I$460,MATCH($A217,ExchangeConfirms!$A$2:$A$460,0)),"")</f>
        <v/>
      </c>
      <c r="Q217">
        <f>IF(AND($E217=1,$F217=0),"MISSING IN EXCHANGE",IF(AND($E217=0,$F217=1),"MISSING IN INTERNAL",IF($G217&lt;&gt;$H217,"SIDE BREAK",IF($I217&lt;&gt;$J217,"QTY BREAK",IF(ABS($K217-$L217)&gt;0.005,"PRICE BREAK",IF(ABS($M217-$N217)&gt;0.01,"FEE BREAK","MATCHED"))))))</f>
        <v/>
      </c>
      <c r="R217">
        <f>IF($Q217="MATCHED",0,1)</f>
        <v/>
      </c>
      <c r="S217">
        <f>IF($Q217="MATCHED",0,IF($Q217="MISSING IN EXCHANGE",$O217,IF($Q217="MISSING IN INTERNAL",$P217,ABS(N($O217)-N($P217)))))</f>
        <v/>
      </c>
    </row>
    <row r="218">
      <c r="A218" t="inlineStr">
        <is>
          <t>T100217</t>
        </is>
      </c>
      <c r="B218">
        <f>IFERROR(INDEX(InternalTrades!$D$2:$D$461,MATCH($A218,InternalTrades!$A$2:$A$461,0)),INDEX(ExchangeConfirms!$D$2:$D$460,MATCH($A218,ExchangeConfirms!$A$2:$A$460,0)))</f>
        <v/>
      </c>
      <c r="C218">
        <f>IFERROR(INDEX(InternalTrades!$E$2:$E$461,MATCH($A218,InternalTrades!$A$2:$A$461,0)),INDEX(ExchangeConfirms!$E$2:$E$460,MATCH($A218,ExchangeConfirms!$A$2:$A$460,0)))</f>
        <v/>
      </c>
      <c r="D218">
        <f>IFERROR(INDEX(InternalTrades!$K$2:$K$461,MATCH($A218,InternalTrades!$A$2:$A$461,0)),INDEX(ExchangeConfirms!$K$2:$K$460,MATCH($A218,ExchangeConfirms!$A$2:$A$460,0)))</f>
        <v/>
      </c>
      <c r="E218">
        <f>IF(COUNTIF(InternalTrades!$A$2:$A$461,$A218)&gt;0,1,0)</f>
        <v/>
      </c>
      <c r="F218">
        <f>IF(COUNTIF(ExchangeConfirms!$A$2:$A$460,$A218)&gt;0,1,0)</f>
        <v/>
      </c>
      <c r="G218">
        <f>IFERROR(INDEX(InternalTrades!$F$2:$F$461,MATCH($A218,InternalTrades!$A$2:$A$461,0)),"")</f>
        <v/>
      </c>
      <c r="H218">
        <f>IFERROR(INDEX(ExchangeConfirms!$F$2:$F$460,MATCH($A218,ExchangeConfirms!$A$2:$A$460,0)),"")</f>
        <v/>
      </c>
      <c r="I218">
        <f>IFERROR(INDEX(InternalTrades!$G$2:$G$461,MATCH($A218,InternalTrades!$A$2:$A$461,0)),"")</f>
        <v/>
      </c>
      <c r="J218">
        <f>IFERROR(INDEX(ExchangeConfirms!$G$2:$G$460,MATCH($A218,ExchangeConfirms!$A$2:$A$460,0)),"")</f>
        <v/>
      </c>
      <c r="K218">
        <f>IFERROR(INDEX(InternalTrades!$H$2:$H$461,MATCH($A218,InternalTrades!$A$2:$A$461,0)),"")</f>
        <v/>
      </c>
      <c r="L218">
        <f>IFERROR(INDEX(ExchangeConfirms!$H$2:$H$460,MATCH($A218,ExchangeConfirms!$A$2:$A$460,0)),"")</f>
        <v/>
      </c>
      <c r="M218">
        <f>IFERROR(INDEX(InternalTrades!$J$2:$J$461,MATCH($A218,InternalTrades!$A$2:$A$461,0)),"")</f>
        <v/>
      </c>
      <c r="N218">
        <f>IFERROR(INDEX(ExchangeConfirms!$J$2:$J$460,MATCH($A218,ExchangeConfirms!$A$2:$A$460,0)),"")</f>
        <v/>
      </c>
      <c r="O218">
        <f>IFERROR(INDEX(InternalTrades!$I$2:$I$461,MATCH($A218,InternalTrades!$A$2:$A$461,0)),"")</f>
        <v/>
      </c>
      <c r="P218">
        <f>IFERROR(INDEX(ExchangeConfirms!$I$2:$I$460,MATCH($A218,ExchangeConfirms!$A$2:$A$460,0)),"")</f>
        <v/>
      </c>
      <c r="Q218">
        <f>IF(AND($E218=1,$F218=0),"MISSING IN EXCHANGE",IF(AND($E218=0,$F218=1),"MISSING IN INTERNAL",IF($G218&lt;&gt;$H218,"SIDE BREAK",IF($I218&lt;&gt;$J218,"QTY BREAK",IF(ABS($K218-$L218)&gt;0.005,"PRICE BREAK",IF(ABS($M218-$N218)&gt;0.01,"FEE BREAK","MATCHED"))))))</f>
        <v/>
      </c>
      <c r="R218">
        <f>IF($Q218="MATCHED",0,1)</f>
        <v/>
      </c>
      <c r="S218">
        <f>IF($Q218="MATCHED",0,IF($Q218="MISSING IN EXCHANGE",$O218,IF($Q218="MISSING IN INTERNAL",$P218,ABS(N($O218)-N($P218)))))</f>
        <v/>
      </c>
    </row>
    <row r="219">
      <c r="A219" t="inlineStr">
        <is>
          <t>T100218</t>
        </is>
      </c>
      <c r="B219">
        <f>IFERROR(INDEX(InternalTrades!$D$2:$D$461,MATCH($A219,InternalTrades!$A$2:$A$461,0)),INDEX(ExchangeConfirms!$D$2:$D$460,MATCH($A219,ExchangeConfirms!$A$2:$A$460,0)))</f>
        <v/>
      </c>
      <c r="C219">
        <f>IFERROR(INDEX(InternalTrades!$E$2:$E$461,MATCH($A219,InternalTrades!$A$2:$A$461,0)),INDEX(ExchangeConfirms!$E$2:$E$460,MATCH($A219,ExchangeConfirms!$A$2:$A$460,0)))</f>
        <v/>
      </c>
      <c r="D219">
        <f>IFERROR(INDEX(InternalTrades!$K$2:$K$461,MATCH($A219,InternalTrades!$A$2:$A$461,0)),INDEX(ExchangeConfirms!$K$2:$K$460,MATCH($A219,ExchangeConfirms!$A$2:$A$460,0)))</f>
        <v/>
      </c>
      <c r="E219">
        <f>IF(COUNTIF(InternalTrades!$A$2:$A$461,$A219)&gt;0,1,0)</f>
        <v/>
      </c>
      <c r="F219">
        <f>IF(COUNTIF(ExchangeConfirms!$A$2:$A$460,$A219)&gt;0,1,0)</f>
        <v/>
      </c>
      <c r="G219">
        <f>IFERROR(INDEX(InternalTrades!$F$2:$F$461,MATCH($A219,InternalTrades!$A$2:$A$461,0)),"")</f>
        <v/>
      </c>
      <c r="H219">
        <f>IFERROR(INDEX(ExchangeConfirms!$F$2:$F$460,MATCH($A219,ExchangeConfirms!$A$2:$A$460,0)),"")</f>
        <v/>
      </c>
      <c r="I219">
        <f>IFERROR(INDEX(InternalTrades!$G$2:$G$461,MATCH($A219,InternalTrades!$A$2:$A$461,0)),"")</f>
        <v/>
      </c>
      <c r="J219">
        <f>IFERROR(INDEX(ExchangeConfirms!$G$2:$G$460,MATCH($A219,ExchangeConfirms!$A$2:$A$460,0)),"")</f>
        <v/>
      </c>
      <c r="K219">
        <f>IFERROR(INDEX(InternalTrades!$H$2:$H$461,MATCH($A219,InternalTrades!$A$2:$A$461,0)),"")</f>
        <v/>
      </c>
      <c r="L219">
        <f>IFERROR(INDEX(ExchangeConfirms!$H$2:$H$460,MATCH($A219,ExchangeConfirms!$A$2:$A$460,0)),"")</f>
        <v/>
      </c>
      <c r="M219">
        <f>IFERROR(INDEX(InternalTrades!$J$2:$J$461,MATCH($A219,InternalTrades!$A$2:$A$461,0)),"")</f>
        <v/>
      </c>
      <c r="N219">
        <f>IFERROR(INDEX(ExchangeConfirms!$J$2:$J$460,MATCH($A219,ExchangeConfirms!$A$2:$A$460,0)),"")</f>
        <v/>
      </c>
      <c r="O219">
        <f>IFERROR(INDEX(InternalTrades!$I$2:$I$461,MATCH($A219,InternalTrades!$A$2:$A$461,0)),"")</f>
        <v/>
      </c>
      <c r="P219">
        <f>IFERROR(INDEX(ExchangeConfirms!$I$2:$I$460,MATCH($A219,ExchangeConfirms!$A$2:$A$460,0)),"")</f>
        <v/>
      </c>
      <c r="Q219">
        <f>IF(AND($E219=1,$F219=0),"MISSING IN EXCHANGE",IF(AND($E219=0,$F219=1),"MISSING IN INTERNAL",IF($G219&lt;&gt;$H219,"SIDE BREAK",IF($I219&lt;&gt;$J219,"QTY BREAK",IF(ABS($K219-$L219)&gt;0.005,"PRICE BREAK",IF(ABS($M219-$N219)&gt;0.01,"FEE BREAK","MATCHED"))))))</f>
        <v/>
      </c>
      <c r="R219">
        <f>IF($Q219="MATCHED",0,1)</f>
        <v/>
      </c>
      <c r="S219">
        <f>IF($Q219="MATCHED",0,IF($Q219="MISSING IN EXCHANGE",$O219,IF($Q219="MISSING IN INTERNAL",$P219,ABS(N($O219)-N($P219)))))</f>
        <v/>
      </c>
    </row>
    <row r="220">
      <c r="A220" t="inlineStr">
        <is>
          <t>T100219</t>
        </is>
      </c>
      <c r="B220">
        <f>IFERROR(INDEX(InternalTrades!$D$2:$D$461,MATCH($A220,InternalTrades!$A$2:$A$461,0)),INDEX(ExchangeConfirms!$D$2:$D$460,MATCH($A220,ExchangeConfirms!$A$2:$A$460,0)))</f>
        <v/>
      </c>
      <c r="C220">
        <f>IFERROR(INDEX(InternalTrades!$E$2:$E$461,MATCH($A220,InternalTrades!$A$2:$A$461,0)),INDEX(ExchangeConfirms!$E$2:$E$460,MATCH($A220,ExchangeConfirms!$A$2:$A$460,0)))</f>
        <v/>
      </c>
      <c r="D220">
        <f>IFERROR(INDEX(InternalTrades!$K$2:$K$461,MATCH($A220,InternalTrades!$A$2:$A$461,0)),INDEX(ExchangeConfirms!$K$2:$K$460,MATCH($A220,ExchangeConfirms!$A$2:$A$460,0)))</f>
        <v/>
      </c>
      <c r="E220">
        <f>IF(COUNTIF(InternalTrades!$A$2:$A$461,$A220)&gt;0,1,0)</f>
        <v/>
      </c>
      <c r="F220">
        <f>IF(COUNTIF(ExchangeConfirms!$A$2:$A$460,$A220)&gt;0,1,0)</f>
        <v/>
      </c>
      <c r="G220">
        <f>IFERROR(INDEX(InternalTrades!$F$2:$F$461,MATCH($A220,InternalTrades!$A$2:$A$461,0)),"")</f>
        <v/>
      </c>
      <c r="H220">
        <f>IFERROR(INDEX(ExchangeConfirms!$F$2:$F$460,MATCH($A220,ExchangeConfirms!$A$2:$A$460,0)),"")</f>
        <v/>
      </c>
      <c r="I220">
        <f>IFERROR(INDEX(InternalTrades!$G$2:$G$461,MATCH($A220,InternalTrades!$A$2:$A$461,0)),"")</f>
        <v/>
      </c>
      <c r="J220">
        <f>IFERROR(INDEX(ExchangeConfirms!$G$2:$G$460,MATCH($A220,ExchangeConfirms!$A$2:$A$460,0)),"")</f>
        <v/>
      </c>
      <c r="K220">
        <f>IFERROR(INDEX(InternalTrades!$H$2:$H$461,MATCH($A220,InternalTrades!$A$2:$A$461,0)),"")</f>
        <v/>
      </c>
      <c r="L220">
        <f>IFERROR(INDEX(ExchangeConfirms!$H$2:$H$460,MATCH($A220,ExchangeConfirms!$A$2:$A$460,0)),"")</f>
        <v/>
      </c>
      <c r="M220">
        <f>IFERROR(INDEX(InternalTrades!$J$2:$J$461,MATCH($A220,InternalTrades!$A$2:$A$461,0)),"")</f>
        <v/>
      </c>
      <c r="N220">
        <f>IFERROR(INDEX(ExchangeConfirms!$J$2:$J$460,MATCH($A220,ExchangeConfirms!$A$2:$A$460,0)),"")</f>
        <v/>
      </c>
      <c r="O220">
        <f>IFERROR(INDEX(InternalTrades!$I$2:$I$461,MATCH($A220,InternalTrades!$A$2:$A$461,0)),"")</f>
        <v/>
      </c>
      <c r="P220">
        <f>IFERROR(INDEX(ExchangeConfirms!$I$2:$I$460,MATCH($A220,ExchangeConfirms!$A$2:$A$460,0)),"")</f>
        <v/>
      </c>
      <c r="Q220">
        <f>IF(AND($E220=1,$F220=0),"MISSING IN EXCHANGE",IF(AND($E220=0,$F220=1),"MISSING IN INTERNAL",IF($G220&lt;&gt;$H220,"SIDE BREAK",IF($I220&lt;&gt;$J220,"QTY BREAK",IF(ABS($K220-$L220)&gt;0.005,"PRICE BREAK",IF(ABS($M220-$N220)&gt;0.01,"FEE BREAK","MATCHED"))))))</f>
        <v/>
      </c>
      <c r="R220">
        <f>IF($Q220="MATCHED",0,1)</f>
        <v/>
      </c>
      <c r="S220">
        <f>IF($Q220="MATCHED",0,IF($Q220="MISSING IN EXCHANGE",$O220,IF($Q220="MISSING IN INTERNAL",$P220,ABS(N($O220)-N($P220)))))</f>
        <v/>
      </c>
    </row>
    <row r="221">
      <c r="A221" t="inlineStr">
        <is>
          <t>T100220</t>
        </is>
      </c>
      <c r="B221">
        <f>IFERROR(INDEX(InternalTrades!$D$2:$D$461,MATCH($A221,InternalTrades!$A$2:$A$461,0)),INDEX(ExchangeConfirms!$D$2:$D$460,MATCH($A221,ExchangeConfirms!$A$2:$A$460,0)))</f>
        <v/>
      </c>
      <c r="C221">
        <f>IFERROR(INDEX(InternalTrades!$E$2:$E$461,MATCH($A221,InternalTrades!$A$2:$A$461,0)),INDEX(ExchangeConfirms!$E$2:$E$460,MATCH($A221,ExchangeConfirms!$A$2:$A$460,0)))</f>
        <v/>
      </c>
      <c r="D221">
        <f>IFERROR(INDEX(InternalTrades!$K$2:$K$461,MATCH($A221,InternalTrades!$A$2:$A$461,0)),INDEX(ExchangeConfirms!$K$2:$K$460,MATCH($A221,ExchangeConfirms!$A$2:$A$460,0)))</f>
        <v/>
      </c>
      <c r="E221">
        <f>IF(COUNTIF(InternalTrades!$A$2:$A$461,$A221)&gt;0,1,0)</f>
        <v/>
      </c>
      <c r="F221">
        <f>IF(COUNTIF(ExchangeConfirms!$A$2:$A$460,$A221)&gt;0,1,0)</f>
        <v/>
      </c>
      <c r="G221">
        <f>IFERROR(INDEX(InternalTrades!$F$2:$F$461,MATCH($A221,InternalTrades!$A$2:$A$461,0)),"")</f>
        <v/>
      </c>
      <c r="H221">
        <f>IFERROR(INDEX(ExchangeConfirms!$F$2:$F$460,MATCH($A221,ExchangeConfirms!$A$2:$A$460,0)),"")</f>
        <v/>
      </c>
      <c r="I221">
        <f>IFERROR(INDEX(InternalTrades!$G$2:$G$461,MATCH($A221,InternalTrades!$A$2:$A$461,0)),"")</f>
        <v/>
      </c>
      <c r="J221">
        <f>IFERROR(INDEX(ExchangeConfirms!$G$2:$G$460,MATCH($A221,ExchangeConfirms!$A$2:$A$460,0)),"")</f>
        <v/>
      </c>
      <c r="K221">
        <f>IFERROR(INDEX(InternalTrades!$H$2:$H$461,MATCH($A221,InternalTrades!$A$2:$A$461,0)),"")</f>
        <v/>
      </c>
      <c r="L221">
        <f>IFERROR(INDEX(ExchangeConfirms!$H$2:$H$460,MATCH($A221,ExchangeConfirms!$A$2:$A$460,0)),"")</f>
        <v/>
      </c>
      <c r="M221">
        <f>IFERROR(INDEX(InternalTrades!$J$2:$J$461,MATCH($A221,InternalTrades!$A$2:$A$461,0)),"")</f>
        <v/>
      </c>
      <c r="N221">
        <f>IFERROR(INDEX(ExchangeConfirms!$J$2:$J$460,MATCH($A221,ExchangeConfirms!$A$2:$A$460,0)),"")</f>
        <v/>
      </c>
      <c r="O221">
        <f>IFERROR(INDEX(InternalTrades!$I$2:$I$461,MATCH($A221,InternalTrades!$A$2:$A$461,0)),"")</f>
        <v/>
      </c>
      <c r="P221">
        <f>IFERROR(INDEX(ExchangeConfirms!$I$2:$I$460,MATCH($A221,ExchangeConfirms!$A$2:$A$460,0)),"")</f>
        <v/>
      </c>
      <c r="Q221">
        <f>IF(AND($E221=1,$F221=0),"MISSING IN EXCHANGE",IF(AND($E221=0,$F221=1),"MISSING IN INTERNAL",IF($G221&lt;&gt;$H221,"SIDE BREAK",IF($I221&lt;&gt;$J221,"QTY BREAK",IF(ABS($K221-$L221)&gt;0.005,"PRICE BREAK",IF(ABS($M221-$N221)&gt;0.01,"FEE BREAK","MATCHED"))))))</f>
        <v/>
      </c>
      <c r="R221">
        <f>IF($Q221="MATCHED",0,1)</f>
        <v/>
      </c>
      <c r="S221">
        <f>IF($Q221="MATCHED",0,IF($Q221="MISSING IN EXCHANGE",$O221,IF($Q221="MISSING IN INTERNAL",$P221,ABS(N($O221)-N($P221)))))</f>
        <v/>
      </c>
    </row>
    <row r="222">
      <c r="A222" t="inlineStr">
        <is>
          <t>T100221</t>
        </is>
      </c>
      <c r="B222">
        <f>IFERROR(INDEX(InternalTrades!$D$2:$D$461,MATCH($A222,InternalTrades!$A$2:$A$461,0)),INDEX(ExchangeConfirms!$D$2:$D$460,MATCH($A222,ExchangeConfirms!$A$2:$A$460,0)))</f>
        <v/>
      </c>
      <c r="C222">
        <f>IFERROR(INDEX(InternalTrades!$E$2:$E$461,MATCH($A222,InternalTrades!$A$2:$A$461,0)),INDEX(ExchangeConfirms!$E$2:$E$460,MATCH($A222,ExchangeConfirms!$A$2:$A$460,0)))</f>
        <v/>
      </c>
      <c r="D222">
        <f>IFERROR(INDEX(InternalTrades!$K$2:$K$461,MATCH($A222,InternalTrades!$A$2:$A$461,0)),INDEX(ExchangeConfirms!$K$2:$K$460,MATCH($A222,ExchangeConfirms!$A$2:$A$460,0)))</f>
        <v/>
      </c>
      <c r="E222">
        <f>IF(COUNTIF(InternalTrades!$A$2:$A$461,$A222)&gt;0,1,0)</f>
        <v/>
      </c>
      <c r="F222">
        <f>IF(COUNTIF(ExchangeConfirms!$A$2:$A$460,$A222)&gt;0,1,0)</f>
        <v/>
      </c>
      <c r="G222">
        <f>IFERROR(INDEX(InternalTrades!$F$2:$F$461,MATCH($A222,InternalTrades!$A$2:$A$461,0)),"")</f>
        <v/>
      </c>
      <c r="H222">
        <f>IFERROR(INDEX(ExchangeConfirms!$F$2:$F$460,MATCH($A222,ExchangeConfirms!$A$2:$A$460,0)),"")</f>
        <v/>
      </c>
      <c r="I222">
        <f>IFERROR(INDEX(InternalTrades!$G$2:$G$461,MATCH($A222,InternalTrades!$A$2:$A$461,0)),"")</f>
        <v/>
      </c>
      <c r="J222">
        <f>IFERROR(INDEX(ExchangeConfirms!$G$2:$G$460,MATCH($A222,ExchangeConfirms!$A$2:$A$460,0)),"")</f>
        <v/>
      </c>
      <c r="K222">
        <f>IFERROR(INDEX(InternalTrades!$H$2:$H$461,MATCH($A222,InternalTrades!$A$2:$A$461,0)),"")</f>
        <v/>
      </c>
      <c r="L222">
        <f>IFERROR(INDEX(ExchangeConfirms!$H$2:$H$460,MATCH($A222,ExchangeConfirms!$A$2:$A$460,0)),"")</f>
        <v/>
      </c>
      <c r="M222">
        <f>IFERROR(INDEX(InternalTrades!$J$2:$J$461,MATCH($A222,InternalTrades!$A$2:$A$461,0)),"")</f>
        <v/>
      </c>
      <c r="N222">
        <f>IFERROR(INDEX(ExchangeConfirms!$J$2:$J$460,MATCH($A222,ExchangeConfirms!$A$2:$A$460,0)),"")</f>
        <v/>
      </c>
      <c r="O222">
        <f>IFERROR(INDEX(InternalTrades!$I$2:$I$461,MATCH($A222,InternalTrades!$A$2:$A$461,0)),"")</f>
        <v/>
      </c>
      <c r="P222">
        <f>IFERROR(INDEX(ExchangeConfirms!$I$2:$I$460,MATCH($A222,ExchangeConfirms!$A$2:$A$460,0)),"")</f>
        <v/>
      </c>
      <c r="Q222">
        <f>IF(AND($E222=1,$F222=0),"MISSING IN EXCHANGE",IF(AND($E222=0,$F222=1),"MISSING IN INTERNAL",IF($G222&lt;&gt;$H222,"SIDE BREAK",IF($I222&lt;&gt;$J222,"QTY BREAK",IF(ABS($K222-$L222)&gt;0.005,"PRICE BREAK",IF(ABS($M222-$N222)&gt;0.01,"FEE BREAK","MATCHED"))))))</f>
        <v/>
      </c>
      <c r="R222">
        <f>IF($Q222="MATCHED",0,1)</f>
        <v/>
      </c>
      <c r="S222">
        <f>IF($Q222="MATCHED",0,IF($Q222="MISSING IN EXCHANGE",$O222,IF($Q222="MISSING IN INTERNAL",$P222,ABS(N($O222)-N($P222)))))</f>
        <v/>
      </c>
    </row>
    <row r="223">
      <c r="A223" t="inlineStr">
        <is>
          <t>T100222</t>
        </is>
      </c>
      <c r="B223">
        <f>IFERROR(INDEX(InternalTrades!$D$2:$D$461,MATCH($A223,InternalTrades!$A$2:$A$461,0)),INDEX(ExchangeConfirms!$D$2:$D$460,MATCH($A223,ExchangeConfirms!$A$2:$A$460,0)))</f>
        <v/>
      </c>
      <c r="C223">
        <f>IFERROR(INDEX(InternalTrades!$E$2:$E$461,MATCH($A223,InternalTrades!$A$2:$A$461,0)),INDEX(ExchangeConfirms!$E$2:$E$460,MATCH($A223,ExchangeConfirms!$A$2:$A$460,0)))</f>
        <v/>
      </c>
      <c r="D223">
        <f>IFERROR(INDEX(InternalTrades!$K$2:$K$461,MATCH($A223,InternalTrades!$A$2:$A$461,0)),INDEX(ExchangeConfirms!$K$2:$K$460,MATCH($A223,ExchangeConfirms!$A$2:$A$460,0)))</f>
        <v/>
      </c>
      <c r="E223">
        <f>IF(COUNTIF(InternalTrades!$A$2:$A$461,$A223)&gt;0,1,0)</f>
        <v/>
      </c>
      <c r="F223">
        <f>IF(COUNTIF(ExchangeConfirms!$A$2:$A$460,$A223)&gt;0,1,0)</f>
        <v/>
      </c>
      <c r="G223">
        <f>IFERROR(INDEX(InternalTrades!$F$2:$F$461,MATCH($A223,InternalTrades!$A$2:$A$461,0)),"")</f>
        <v/>
      </c>
      <c r="H223">
        <f>IFERROR(INDEX(ExchangeConfirms!$F$2:$F$460,MATCH($A223,ExchangeConfirms!$A$2:$A$460,0)),"")</f>
        <v/>
      </c>
      <c r="I223">
        <f>IFERROR(INDEX(InternalTrades!$G$2:$G$461,MATCH($A223,InternalTrades!$A$2:$A$461,0)),"")</f>
        <v/>
      </c>
      <c r="J223">
        <f>IFERROR(INDEX(ExchangeConfirms!$G$2:$G$460,MATCH($A223,ExchangeConfirms!$A$2:$A$460,0)),"")</f>
        <v/>
      </c>
      <c r="K223">
        <f>IFERROR(INDEX(InternalTrades!$H$2:$H$461,MATCH($A223,InternalTrades!$A$2:$A$461,0)),"")</f>
        <v/>
      </c>
      <c r="L223">
        <f>IFERROR(INDEX(ExchangeConfirms!$H$2:$H$460,MATCH($A223,ExchangeConfirms!$A$2:$A$460,0)),"")</f>
        <v/>
      </c>
      <c r="M223">
        <f>IFERROR(INDEX(InternalTrades!$J$2:$J$461,MATCH($A223,InternalTrades!$A$2:$A$461,0)),"")</f>
        <v/>
      </c>
      <c r="N223">
        <f>IFERROR(INDEX(ExchangeConfirms!$J$2:$J$460,MATCH($A223,ExchangeConfirms!$A$2:$A$460,0)),"")</f>
        <v/>
      </c>
      <c r="O223">
        <f>IFERROR(INDEX(InternalTrades!$I$2:$I$461,MATCH($A223,InternalTrades!$A$2:$A$461,0)),"")</f>
        <v/>
      </c>
      <c r="P223">
        <f>IFERROR(INDEX(ExchangeConfirms!$I$2:$I$460,MATCH($A223,ExchangeConfirms!$A$2:$A$460,0)),"")</f>
        <v/>
      </c>
      <c r="Q223">
        <f>IF(AND($E223=1,$F223=0),"MISSING IN EXCHANGE",IF(AND($E223=0,$F223=1),"MISSING IN INTERNAL",IF($G223&lt;&gt;$H223,"SIDE BREAK",IF($I223&lt;&gt;$J223,"QTY BREAK",IF(ABS($K223-$L223)&gt;0.005,"PRICE BREAK",IF(ABS($M223-$N223)&gt;0.01,"FEE BREAK","MATCHED"))))))</f>
        <v/>
      </c>
      <c r="R223">
        <f>IF($Q223="MATCHED",0,1)</f>
        <v/>
      </c>
      <c r="S223">
        <f>IF($Q223="MATCHED",0,IF($Q223="MISSING IN EXCHANGE",$O223,IF($Q223="MISSING IN INTERNAL",$P223,ABS(N($O223)-N($P223)))))</f>
        <v/>
      </c>
    </row>
    <row r="224">
      <c r="A224" t="inlineStr">
        <is>
          <t>T100223</t>
        </is>
      </c>
      <c r="B224">
        <f>IFERROR(INDEX(InternalTrades!$D$2:$D$461,MATCH($A224,InternalTrades!$A$2:$A$461,0)),INDEX(ExchangeConfirms!$D$2:$D$460,MATCH($A224,ExchangeConfirms!$A$2:$A$460,0)))</f>
        <v/>
      </c>
      <c r="C224">
        <f>IFERROR(INDEX(InternalTrades!$E$2:$E$461,MATCH($A224,InternalTrades!$A$2:$A$461,0)),INDEX(ExchangeConfirms!$E$2:$E$460,MATCH($A224,ExchangeConfirms!$A$2:$A$460,0)))</f>
        <v/>
      </c>
      <c r="D224">
        <f>IFERROR(INDEX(InternalTrades!$K$2:$K$461,MATCH($A224,InternalTrades!$A$2:$A$461,0)),INDEX(ExchangeConfirms!$K$2:$K$460,MATCH($A224,ExchangeConfirms!$A$2:$A$460,0)))</f>
        <v/>
      </c>
      <c r="E224">
        <f>IF(COUNTIF(InternalTrades!$A$2:$A$461,$A224)&gt;0,1,0)</f>
        <v/>
      </c>
      <c r="F224">
        <f>IF(COUNTIF(ExchangeConfirms!$A$2:$A$460,$A224)&gt;0,1,0)</f>
        <v/>
      </c>
      <c r="G224">
        <f>IFERROR(INDEX(InternalTrades!$F$2:$F$461,MATCH($A224,InternalTrades!$A$2:$A$461,0)),"")</f>
        <v/>
      </c>
      <c r="H224">
        <f>IFERROR(INDEX(ExchangeConfirms!$F$2:$F$460,MATCH($A224,ExchangeConfirms!$A$2:$A$460,0)),"")</f>
        <v/>
      </c>
      <c r="I224">
        <f>IFERROR(INDEX(InternalTrades!$G$2:$G$461,MATCH($A224,InternalTrades!$A$2:$A$461,0)),"")</f>
        <v/>
      </c>
      <c r="J224">
        <f>IFERROR(INDEX(ExchangeConfirms!$G$2:$G$460,MATCH($A224,ExchangeConfirms!$A$2:$A$460,0)),"")</f>
        <v/>
      </c>
      <c r="K224">
        <f>IFERROR(INDEX(InternalTrades!$H$2:$H$461,MATCH($A224,InternalTrades!$A$2:$A$461,0)),"")</f>
        <v/>
      </c>
      <c r="L224">
        <f>IFERROR(INDEX(ExchangeConfirms!$H$2:$H$460,MATCH($A224,ExchangeConfirms!$A$2:$A$460,0)),"")</f>
        <v/>
      </c>
      <c r="M224">
        <f>IFERROR(INDEX(InternalTrades!$J$2:$J$461,MATCH($A224,InternalTrades!$A$2:$A$461,0)),"")</f>
        <v/>
      </c>
      <c r="N224">
        <f>IFERROR(INDEX(ExchangeConfirms!$J$2:$J$460,MATCH($A224,ExchangeConfirms!$A$2:$A$460,0)),"")</f>
        <v/>
      </c>
      <c r="O224">
        <f>IFERROR(INDEX(InternalTrades!$I$2:$I$461,MATCH($A224,InternalTrades!$A$2:$A$461,0)),"")</f>
        <v/>
      </c>
      <c r="P224">
        <f>IFERROR(INDEX(ExchangeConfirms!$I$2:$I$460,MATCH($A224,ExchangeConfirms!$A$2:$A$460,0)),"")</f>
        <v/>
      </c>
      <c r="Q224">
        <f>IF(AND($E224=1,$F224=0),"MISSING IN EXCHANGE",IF(AND($E224=0,$F224=1),"MISSING IN INTERNAL",IF($G224&lt;&gt;$H224,"SIDE BREAK",IF($I224&lt;&gt;$J224,"QTY BREAK",IF(ABS($K224-$L224)&gt;0.005,"PRICE BREAK",IF(ABS($M224-$N224)&gt;0.01,"FEE BREAK","MATCHED"))))))</f>
        <v/>
      </c>
      <c r="R224">
        <f>IF($Q224="MATCHED",0,1)</f>
        <v/>
      </c>
      <c r="S224">
        <f>IF($Q224="MATCHED",0,IF($Q224="MISSING IN EXCHANGE",$O224,IF($Q224="MISSING IN INTERNAL",$P224,ABS(N($O224)-N($P224)))))</f>
        <v/>
      </c>
    </row>
    <row r="225">
      <c r="A225" t="inlineStr">
        <is>
          <t>T100224</t>
        </is>
      </c>
      <c r="B225">
        <f>IFERROR(INDEX(InternalTrades!$D$2:$D$461,MATCH($A225,InternalTrades!$A$2:$A$461,0)),INDEX(ExchangeConfirms!$D$2:$D$460,MATCH($A225,ExchangeConfirms!$A$2:$A$460,0)))</f>
        <v/>
      </c>
      <c r="C225">
        <f>IFERROR(INDEX(InternalTrades!$E$2:$E$461,MATCH($A225,InternalTrades!$A$2:$A$461,0)),INDEX(ExchangeConfirms!$E$2:$E$460,MATCH($A225,ExchangeConfirms!$A$2:$A$460,0)))</f>
        <v/>
      </c>
      <c r="D225">
        <f>IFERROR(INDEX(InternalTrades!$K$2:$K$461,MATCH($A225,InternalTrades!$A$2:$A$461,0)),INDEX(ExchangeConfirms!$K$2:$K$460,MATCH($A225,ExchangeConfirms!$A$2:$A$460,0)))</f>
        <v/>
      </c>
      <c r="E225">
        <f>IF(COUNTIF(InternalTrades!$A$2:$A$461,$A225)&gt;0,1,0)</f>
        <v/>
      </c>
      <c r="F225">
        <f>IF(COUNTIF(ExchangeConfirms!$A$2:$A$460,$A225)&gt;0,1,0)</f>
        <v/>
      </c>
      <c r="G225">
        <f>IFERROR(INDEX(InternalTrades!$F$2:$F$461,MATCH($A225,InternalTrades!$A$2:$A$461,0)),"")</f>
        <v/>
      </c>
      <c r="H225">
        <f>IFERROR(INDEX(ExchangeConfirms!$F$2:$F$460,MATCH($A225,ExchangeConfirms!$A$2:$A$460,0)),"")</f>
        <v/>
      </c>
      <c r="I225">
        <f>IFERROR(INDEX(InternalTrades!$G$2:$G$461,MATCH($A225,InternalTrades!$A$2:$A$461,0)),"")</f>
        <v/>
      </c>
      <c r="J225">
        <f>IFERROR(INDEX(ExchangeConfirms!$G$2:$G$460,MATCH($A225,ExchangeConfirms!$A$2:$A$460,0)),"")</f>
        <v/>
      </c>
      <c r="K225">
        <f>IFERROR(INDEX(InternalTrades!$H$2:$H$461,MATCH($A225,InternalTrades!$A$2:$A$461,0)),"")</f>
        <v/>
      </c>
      <c r="L225">
        <f>IFERROR(INDEX(ExchangeConfirms!$H$2:$H$460,MATCH($A225,ExchangeConfirms!$A$2:$A$460,0)),"")</f>
        <v/>
      </c>
      <c r="M225">
        <f>IFERROR(INDEX(InternalTrades!$J$2:$J$461,MATCH($A225,InternalTrades!$A$2:$A$461,0)),"")</f>
        <v/>
      </c>
      <c r="N225">
        <f>IFERROR(INDEX(ExchangeConfirms!$J$2:$J$460,MATCH($A225,ExchangeConfirms!$A$2:$A$460,0)),"")</f>
        <v/>
      </c>
      <c r="O225">
        <f>IFERROR(INDEX(InternalTrades!$I$2:$I$461,MATCH($A225,InternalTrades!$A$2:$A$461,0)),"")</f>
        <v/>
      </c>
      <c r="P225">
        <f>IFERROR(INDEX(ExchangeConfirms!$I$2:$I$460,MATCH($A225,ExchangeConfirms!$A$2:$A$460,0)),"")</f>
        <v/>
      </c>
      <c r="Q225">
        <f>IF(AND($E225=1,$F225=0),"MISSING IN EXCHANGE",IF(AND($E225=0,$F225=1),"MISSING IN INTERNAL",IF($G225&lt;&gt;$H225,"SIDE BREAK",IF($I225&lt;&gt;$J225,"QTY BREAK",IF(ABS($K225-$L225)&gt;0.005,"PRICE BREAK",IF(ABS($M225-$N225)&gt;0.01,"FEE BREAK","MATCHED"))))))</f>
        <v/>
      </c>
      <c r="R225">
        <f>IF($Q225="MATCHED",0,1)</f>
        <v/>
      </c>
      <c r="S225">
        <f>IF($Q225="MATCHED",0,IF($Q225="MISSING IN EXCHANGE",$O225,IF($Q225="MISSING IN INTERNAL",$P225,ABS(N($O225)-N($P225)))))</f>
        <v/>
      </c>
    </row>
    <row r="226">
      <c r="A226" t="inlineStr">
        <is>
          <t>T100225</t>
        </is>
      </c>
      <c r="B226">
        <f>IFERROR(INDEX(InternalTrades!$D$2:$D$461,MATCH($A226,InternalTrades!$A$2:$A$461,0)),INDEX(ExchangeConfirms!$D$2:$D$460,MATCH($A226,ExchangeConfirms!$A$2:$A$460,0)))</f>
        <v/>
      </c>
      <c r="C226">
        <f>IFERROR(INDEX(InternalTrades!$E$2:$E$461,MATCH($A226,InternalTrades!$A$2:$A$461,0)),INDEX(ExchangeConfirms!$E$2:$E$460,MATCH($A226,ExchangeConfirms!$A$2:$A$460,0)))</f>
        <v/>
      </c>
      <c r="D226">
        <f>IFERROR(INDEX(InternalTrades!$K$2:$K$461,MATCH($A226,InternalTrades!$A$2:$A$461,0)),INDEX(ExchangeConfirms!$K$2:$K$460,MATCH($A226,ExchangeConfirms!$A$2:$A$460,0)))</f>
        <v/>
      </c>
      <c r="E226">
        <f>IF(COUNTIF(InternalTrades!$A$2:$A$461,$A226)&gt;0,1,0)</f>
        <v/>
      </c>
      <c r="F226">
        <f>IF(COUNTIF(ExchangeConfirms!$A$2:$A$460,$A226)&gt;0,1,0)</f>
        <v/>
      </c>
      <c r="G226">
        <f>IFERROR(INDEX(InternalTrades!$F$2:$F$461,MATCH($A226,InternalTrades!$A$2:$A$461,0)),"")</f>
        <v/>
      </c>
      <c r="H226">
        <f>IFERROR(INDEX(ExchangeConfirms!$F$2:$F$460,MATCH($A226,ExchangeConfirms!$A$2:$A$460,0)),"")</f>
        <v/>
      </c>
      <c r="I226">
        <f>IFERROR(INDEX(InternalTrades!$G$2:$G$461,MATCH($A226,InternalTrades!$A$2:$A$461,0)),"")</f>
        <v/>
      </c>
      <c r="J226">
        <f>IFERROR(INDEX(ExchangeConfirms!$G$2:$G$460,MATCH($A226,ExchangeConfirms!$A$2:$A$460,0)),"")</f>
        <v/>
      </c>
      <c r="K226">
        <f>IFERROR(INDEX(InternalTrades!$H$2:$H$461,MATCH($A226,InternalTrades!$A$2:$A$461,0)),"")</f>
        <v/>
      </c>
      <c r="L226">
        <f>IFERROR(INDEX(ExchangeConfirms!$H$2:$H$460,MATCH($A226,ExchangeConfirms!$A$2:$A$460,0)),"")</f>
        <v/>
      </c>
      <c r="M226">
        <f>IFERROR(INDEX(InternalTrades!$J$2:$J$461,MATCH($A226,InternalTrades!$A$2:$A$461,0)),"")</f>
        <v/>
      </c>
      <c r="N226">
        <f>IFERROR(INDEX(ExchangeConfirms!$J$2:$J$460,MATCH($A226,ExchangeConfirms!$A$2:$A$460,0)),"")</f>
        <v/>
      </c>
      <c r="O226">
        <f>IFERROR(INDEX(InternalTrades!$I$2:$I$461,MATCH($A226,InternalTrades!$A$2:$A$461,0)),"")</f>
        <v/>
      </c>
      <c r="P226">
        <f>IFERROR(INDEX(ExchangeConfirms!$I$2:$I$460,MATCH($A226,ExchangeConfirms!$A$2:$A$460,0)),"")</f>
        <v/>
      </c>
      <c r="Q226">
        <f>IF(AND($E226=1,$F226=0),"MISSING IN EXCHANGE",IF(AND($E226=0,$F226=1),"MISSING IN INTERNAL",IF($G226&lt;&gt;$H226,"SIDE BREAK",IF($I226&lt;&gt;$J226,"QTY BREAK",IF(ABS($K226-$L226)&gt;0.005,"PRICE BREAK",IF(ABS($M226-$N226)&gt;0.01,"FEE BREAK","MATCHED"))))))</f>
        <v/>
      </c>
      <c r="R226">
        <f>IF($Q226="MATCHED",0,1)</f>
        <v/>
      </c>
      <c r="S226">
        <f>IF($Q226="MATCHED",0,IF($Q226="MISSING IN EXCHANGE",$O226,IF($Q226="MISSING IN INTERNAL",$P226,ABS(N($O226)-N($P226)))))</f>
        <v/>
      </c>
    </row>
    <row r="227">
      <c r="A227" t="inlineStr">
        <is>
          <t>T100226</t>
        </is>
      </c>
      <c r="B227">
        <f>IFERROR(INDEX(InternalTrades!$D$2:$D$461,MATCH($A227,InternalTrades!$A$2:$A$461,0)),INDEX(ExchangeConfirms!$D$2:$D$460,MATCH($A227,ExchangeConfirms!$A$2:$A$460,0)))</f>
        <v/>
      </c>
      <c r="C227">
        <f>IFERROR(INDEX(InternalTrades!$E$2:$E$461,MATCH($A227,InternalTrades!$A$2:$A$461,0)),INDEX(ExchangeConfirms!$E$2:$E$460,MATCH($A227,ExchangeConfirms!$A$2:$A$460,0)))</f>
        <v/>
      </c>
      <c r="D227">
        <f>IFERROR(INDEX(InternalTrades!$K$2:$K$461,MATCH($A227,InternalTrades!$A$2:$A$461,0)),INDEX(ExchangeConfirms!$K$2:$K$460,MATCH($A227,ExchangeConfirms!$A$2:$A$460,0)))</f>
        <v/>
      </c>
      <c r="E227">
        <f>IF(COUNTIF(InternalTrades!$A$2:$A$461,$A227)&gt;0,1,0)</f>
        <v/>
      </c>
      <c r="F227">
        <f>IF(COUNTIF(ExchangeConfirms!$A$2:$A$460,$A227)&gt;0,1,0)</f>
        <v/>
      </c>
      <c r="G227">
        <f>IFERROR(INDEX(InternalTrades!$F$2:$F$461,MATCH($A227,InternalTrades!$A$2:$A$461,0)),"")</f>
        <v/>
      </c>
      <c r="H227">
        <f>IFERROR(INDEX(ExchangeConfirms!$F$2:$F$460,MATCH($A227,ExchangeConfirms!$A$2:$A$460,0)),"")</f>
        <v/>
      </c>
      <c r="I227">
        <f>IFERROR(INDEX(InternalTrades!$G$2:$G$461,MATCH($A227,InternalTrades!$A$2:$A$461,0)),"")</f>
        <v/>
      </c>
      <c r="J227">
        <f>IFERROR(INDEX(ExchangeConfirms!$G$2:$G$460,MATCH($A227,ExchangeConfirms!$A$2:$A$460,0)),"")</f>
        <v/>
      </c>
      <c r="K227">
        <f>IFERROR(INDEX(InternalTrades!$H$2:$H$461,MATCH($A227,InternalTrades!$A$2:$A$461,0)),"")</f>
        <v/>
      </c>
      <c r="L227">
        <f>IFERROR(INDEX(ExchangeConfirms!$H$2:$H$460,MATCH($A227,ExchangeConfirms!$A$2:$A$460,0)),"")</f>
        <v/>
      </c>
      <c r="M227">
        <f>IFERROR(INDEX(InternalTrades!$J$2:$J$461,MATCH($A227,InternalTrades!$A$2:$A$461,0)),"")</f>
        <v/>
      </c>
      <c r="N227">
        <f>IFERROR(INDEX(ExchangeConfirms!$J$2:$J$460,MATCH($A227,ExchangeConfirms!$A$2:$A$460,0)),"")</f>
        <v/>
      </c>
      <c r="O227">
        <f>IFERROR(INDEX(InternalTrades!$I$2:$I$461,MATCH($A227,InternalTrades!$A$2:$A$461,0)),"")</f>
        <v/>
      </c>
      <c r="P227">
        <f>IFERROR(INDEX(ExchangeConfirms!$I$2:$I$460,MATCH($A227,ExchangeConfirms!$A$2:$A$460,0)),"")</f>
        <v/>
      </c>
      <c r="Q227">
        <f>IF(AND($E227=1,$F227=0),"MISSING IN EXCHANGE",IF(AND($E227=0,$F227=1),"MISSING IN INTERNAL",IF($G227&lt;&gt;$H227,"SIDE BREAK",IF($I227&lt;&gt;$J227,"QTY BREAK",IF(ABS($K227-$L227)&gt;0.005,"PRICE BREAK",IF(ABS($M227-$N227)&gt;0.01,"FEE BREAK","MATCHED"))))))</f>
        <v/>
      </c>
      <c r="R227">
        <f>IF($Q227="MATCHED",0,1)</f>
        <v/>
      </c>
      <c r="S227">
        <f>IF($Q227="MATCHED",0,IF($Q227="MISSING IN EXCHANGE",$O227,IF($Q227="MISSING IN INTERNAL",$P227,ABS(N($O227)-N($P227)))))</f>
        <v/>
      </c>
    </row>
    <row r="228">
      <c r="A228" t="inlineStr">
        <is>
          <t>T100227</t>
        </is>
      </c>
      <c r="B228">
        <f>IFERROR(INDEX(InternalTrades!$D$2:$D$461,MATCH($A228,InternalTrades!$A$2:$A$461,0)),INDEX(ExchangeConfirms!$D$2:$D$460,MATCH($A228,ExchangeConfirms!$A$2:$A$460,0)))</f>
        <v/>
      </c>
      <c r="C228">
        <f>IFERROR(INDEX(InternalTrades!$E$2:$E$461,MATCH($A228,InternalTrades!$A$2:$A$461,0)),INDEX(ExchangeConfirms!$E$2:$E$460,MATCH($A228,ExchangeConfirms!$A$2:$A$460,0)))</f>
        <v/>
      </c>
      <c r="D228">
        <f>IFERROR(INDEX(InternalTrades!$K$2:$K$461,MATCH($A228,InternalTrades!$A$2:$A$461,0)),INDEX(ExchangeConfirms!$K$2:$K$460,MATCH($A228,ExchangeConfirms!$A$2:$A$460,0)))</f>
        <v/>
      </c>
      <c r="E228">
        <f>IF(COUNTIF(InternalTrades!$A$2:$A$461,$A228)&gt;0,1,0)</f>
        <v/>
      </c>
      <c r="F228">
        <f>IF(COUNTIF(ExchangeConfirms!$A$2:$A$460,$A228)&gt;0,1,0)</f>
        <v/>
      </c>
      <c r="G228">
        <f>IFERROR(INDEX(InternalTrades!$F$2:$F$461,MATCH($A228,InternalTrades!$A$2:$A$461,0)),"")</f>
        <v/>
      </c>
      <c r="H228">
        <f>IFERROR(INDEX(ExchangeConfirms!$F$2:$F$460,MATCH($A228,ExchangeConfirms!$A$2:$A$460,0)),"")</f>
        <v/>
      </c>
      <c r="I228">
        <f>IFERROR(INDEX(InternalTrades!$G$2:$G$461,MATCH($A228,InternalTrades!$A$2:$A$461,0)),"")</f>
        <v/>
      </c>
      <c r="J228">
        <f>IFERROR(INDEX(ExchangeConfirms!$G$2:$G$460,MATCH($A228,ExchangeConfirms!$A$2:$A$460,0)),"")</f>
        <v/>
      </c>
      <c r="K228">
        <f>IFERROR(INDEX(InternalTrades!$H$2:$H$461,MATCH($A228,InternalTrades!$A$2:$A$461,0)),"")</f>
        <v/>
      </c>
      <c r="L228">
        <f>IFERROR(INDEX(ExchangeConfirms!$H$2:$H$460,MATCH($A228,ExchangeConfirms!$A$2:$A$460,0)),"")</f>
        <v/>
      </c>
      <c r="M228">
        <f>IFERROR(INDEX(InternalTrades!$J$2:$J$461,MATCH($A228,InternalTrades!$A$2:$A$461,0)),"")</f>
        <v/>
      </c>
      <c r="N228">
        <f>IFERROR(INDEX(ExchangeConfirms!$J$2:$J$460,MATCH($A228,ExchangeConfirms!$A$2:$A$460,0)),"")</f>
        <v/>
      </c>
      <c r="O228">
        <f>IFERROR(INDEX(InternalTrades!$I$2:$I$461,MATCH($A228,InternalTrades!$A$2:$A$461,0)),"")</f>
        <v/>
      </c>
      <c r="P228">
        <f>IFERROR(INDEX(ExchangeConfirms!$I$2:$I$460,MATCH($A228,ExchangeConfirms!$A$2:$A$460,0)),"")</f>
        <v/>
      </c>
      <c r="Q228">
        <f>IF(AND($E228=1,$F228=0),"MISSING IN EXCHANGE",IF(AND($E228=0,$F228=1),"MISSING IN INTERNAL",IF($G228&lt;&gt;$H228,"SIDE BREAK",IF($I228&lt;&gt;$J228,"QTY BREAK",IF(ABS($K228-$L228)&gt;0.005,"PRICE BREAK",IF(ABS($M228-$N228)&gt;0.01,"FEE BREAK","MATCHED"))))))</f>
        <v/>
      </c>
      <c r="R228">
        <f>IF($Q228="MATCHED",0,1)</f>
        <v/>
      </c>
      <c r="S228">
        <f>IF($Q228="MATCHED",0,IF($Q228="MISSING IN EXCHANGE",$O228,IF($Q228="MISSING IN INTERNAL",$P228,ABS(N($O228)-N($P228)))))</f>
        <v/>
      </c>
    </row>
    <row r="229">
      <c r="A229" t="inlineStr">
        <is>
          <t>T100228</t>
        </is>
      </c>
      <c r="B229">
        <f>IFERROR(INDEX(InternalTrades!$D$2:$D$461,MATCH($A229,InternalTrades!$A$2:$A$461,0)),INDEX(ExchangeConfirms!$D$2:$D$460,MATCH($A229,ExchangeConfirms!$A$2:$A$460,0)))</f>
        <v/>
      </c>
      <c r="C229">
        <f>IFERROR(INDEX(InternalTrades!$E$2:$E$461,MATCH($A229,InternalTrades!$A$2:$A$461,0)),INDEX(ExchangeConfirms!$E$2:$E$460,MATCH($A229,ExchangeConfirms!$A$2:$A$460,0)))</f>
        <v/>
      </c>
      <c r="D229">
        <f>IFERROR(INDEX(InternalTrades!$K$2:$K$461,MATCH($A229,InternalTrades!$A$2:$A$461,0)),INDEX(ExchangeConfirms!$K$2:$K$460,MATCH($A229,ExchangeConfirms!$A$2:$A$460,0)))</f>
        <v/>
      </c>
      <c r="E229">
        <f>IF(COUNTIF(InternalTrades!$A$2:$A$461,$A229)&gt;0,1,0)</f>
        <v/>
      </c>
      <c r="F229">
        <f>IF(COUNTIF(ExchangeConfirms!$A$2:$A$460,$A229)&gt;0,1,0)</f>
        <v/>
      </c>
      <c r="G229">
        <f>IFERROR(INDEX(InternalTrades!$F$2:$F$461,MATCH($A229,InternalTrades!$A$2:$A$461,0)),"")</f>
        <v/>
      </c>
      <c r="H229">
        <f>IFERROR(INDEX(ExchangeConfirms!$F$2:$F$460,MATCH($A229,ExchangeConfirms!$A$2:$A$460,0)),"")</f>
        <v/>
      </c>
      <c r="I229">
        <f>IFERROR(INDEX(InternalTrades!$G$2:$G$461,MATCH($A229,InternalTrades!$A$2:$A$461,0)),"")</f>
        <v/>
      </c>
      <c r="J229">
        <f>IFERROR(INDEX(ExchangeConfirms!$G$2:$G$460,MATCH($A229,ExchangeConfirms!$A$2:$A$460,0)),"")</f>
        <v/>
      </c>
      <c r="K229">
        <f>IFERROR(INDEX(InternalTrades!$H$2:$H$461,MATCH($A229,InternalTrades!$A$2:$A$461,0)),"")</f>
        <v/>
      </c>
      <c r="L229">
        <f>IFERROR(INDEX(ExchangeConfirms!$H$2:$H$460,MATCH($A229,ExchangeConfirms!$A$2:$A$460,0)),"")</f>
        <v/>
      </c>
      <c r="M229">
        <f>IFERROR(INDEX(InternalTrades!$J$2:$J$461,MATCH($A229,InternalTrades!$A$2:$A$461,0)),"")</f>
        <v/>
      </c>
      <c r="N229">
        <f>IFERROR(INDEX(ExchangeConfirms!$J$2:$J$460,MATCH($A229,ExchangeConfirms!$A$2:$A$460,0)),"")</f>
        <v/>
      </c>
      <c r="O229">
        <f>IFERROR(INDEX(InternalTrades!$I$2:$I$461,MATCH($A229,InternalTrades!$A$2:$A$461,0)),"")</f>
        <v/>
      </c>
      <c r="P229">
        <f>IFERROR(INDEX(ExchangeConfirms!$I$2:$I$460,MATCH($A229,ExchangeConfirms!$A$2:$A$460,0)),"")</f>
        <v/>
      </c>
      <c r="Q229">
        <f>IF(AND($E229=1,$F229=0),"MISSING IN EXCHANGE",IF(AND($E229=0,$F229=1),"MISSING IN INTERNAL",IF($G229&lt;&gt;$H229,"SIDE BREAK",IF($I229&lt;&gt;$J229,"QTY BREAK",IF(ABS($K229-$L229)&gt;0.005,"PRICE BREAK",IF(ABS($M229-$N229)&gt;0.01,"FEE BREAK","MATCHED"))))))</f>
        <v/>
      </c>
      <c r="R229">
        <f>IF($Q229="MATCHED",0,1)</f>
        <v/>
      </c>
      <c r="S229">
        <f>IF($Q229="MATCHED",0,IF($Q229="MISSING IN EXCHANGE",$O229,IF($Q229="MISSING IN INTERNAL",$P229,ABS(N($O229)-N($P229)))))</f>
        <v/>
      </c>
    </row>
    <row r="230">
      <c r="A230" t="inlineStr">
        <is>
          <t>T100229</t>
        </is>
      </c>
      <c r="B230">
        <f>IFERROR(INDEX(InternalTrades!$D$2:$D$461,MATCH($A230,InternalTrades!$A$2:$A$461,0)),INDEX(ExchangeConfirms!$D$2:$D$460,MATCH($A230,ExchangeConfirms!$A$2:$A$460,0)))</f>
        <v/>
      </c>
      <c r="C230">
        <f>IFERROR(INDEX(InternalTrades!$E$2:$E$461,MATCH($A230,InternalTrades!$A$2:$A$461,0)),INDEX(ExchangeConfirms!$E$2:$E$460,MATCH($A230,ExchangeConfirms!$A$2:$A$460,0)))</f>
        <v/>
      </c>
      <c r="D230">
        <f>IFERROR(INDEX(InternalTrades!$K$2:$K$461,MATCH($A230,InternalTrades!$A$2:$A$461,0)),INDEX(ExchangeConfirms!$K$2:$K$460,MATCH($A230,ExchangeConfirms!$A$2:$A$460,0)))</f>
        <v/>
      </c>
      <c r="E230">
        <f>IF(COUNTIF(InternalTrades!$A$2:$A$461,$A230)&gt;0,1,0)</f>
        <v/>
      </c>
      <c r="F230">
        <f>IF(COUNTIF(ExchangeConfirms!$A$2:$A$460,$A230)&gt;0,1,0)</f>
        <v/>
      </c>
      <c r="G230">
        <f>IFERROR(INDEX(InternalTrades!$F$2:$F$461,MATCH($A230,InternalTrades!$A$2:$A$461,0)),"")</f>
        <v/>
      </c>
      <c r="H230">
        <f>IFERROR(INDEX(ExchangeConfirms!$F$2:$F$460,MATCH($A230,ExchangeConfirms!$A$2:$A$460,0)),"")</f>
        <v/>
      </c>
      <c r="I230">
        <f>IFERROR(INDEX(InternalTrades!$G$2:$G$461,MATCH($A230,InternalTrades!$A$2:$A$461,0)),"")</f>
        <v/>
      </c>
      <c r="J230">
        <f>IFERROR(INDEX(ExchangeConfirms!$G$2:$G$460,MATCH($A230,ExchangeConfirms!$A$2:$A$460,0)),"")</f>
        <v/>
      </c>
      <c r="K230">
        <f>IFERROR(INDEX(InternalTrades!$H$2:$H$461,MATCH($A230,InternalTrades!$A$2:$A$461,0)),"")</f>
        <v/>
      </c>
      <c r="L230">
        <f>IFERROR(INDEX(ExchangeConfirms!$H$2:$H$460,MATCH($A230,ExchangeConfirms!$A$2:$A$460,0)),"")</f>
        <v/>
      </c>
      <c r="M230">
        <f>IFERROR(INDEX(InternalTrades!$J$2:$J$461,MATCH($A230,InternalTrades!$A$2:$A$461,0)),"")</f>
        <v/>
      </c>
      <c r="N230">
        <f>IFERROR(INDEX(ExchangeConfirms!$J$2:$J$460,MATCH($A230,ExchangeConfirms!$A$2:$A$460,0)),"")</f>
        <v/>
      </c>
      <c r="O230">
        <f>IFERROR(INDEX(InternalTrades!$I$2:$I$461,MATCH($A230,InternalTrades!$A$2:$A$461,0)),"")</f>
        <v/>
      </c>
      <c r="P230">
        <f>IFERROR(INDEX(ExchangeConfirms!$I$2:$I$460,MATCH($A230,ExchangeConfirms!$A$2:$A$460,0)),"")</f>
        <v/>
      </c>
      <c r="Q230">
        <f>IF(AND($E230=1,$F230=0),"MISSING IN EXCHANGE",IF(AND($E230=0,$F230=1),"MISSING IN INTERNAL",IF($G230&lt;&gt;$H230,"SIDE BREAK",IF($I230&lt;&gt;$J230,"QTY BREAK",IF(ABS($K230-$L230)&gt;0.005,"PRICE BREAK",IF(ABS($M230-$N230)&gt;0.01,"FEE BREAK","MATCHED"))))))</f>
        <v/>
      </c>
      <c r="R230">
        <f>IF($Q230="MATCHED",0,1)</f>
        <v/>
      </c>
      <c r="S230">
        <f>IF($Q230="MATCHED",0,IF($Q230="MISSING IN EXCHANGE",$O230,IF($Q230="MISSING IN INTERNAL",$P230,ABS(N($O230)-N($P230)))))</f>
        <v/>
      </c>
    </row>
    <row r="231">
      <c r="A231" t="inlineStr">
        <is>
          <t>T100230</t>
        </is>
      </c>
      <c r="B231">
        <f>IFERROR(INDEX(InternalTrades!$D$2:$D$461,MATCH($A231,InternalTrades!$A$2:$A$461,0)),INDEX(ExchangeConfirms!$D$2:$D$460,MATCH($A231,ExchangeConfirms!$A$2:$A$460,0)))</f>
        <v/>
      </c>
      <c r="C231">
        <f>IFERROR(INDEX(InternalTrades!$E$2:$E$461,MATCH($A231,InternalTrades!$A$2:$A$461,0)),INDEX(ExchangeConfirms!$E$2:$E$460,MATCH($A231,ExchangeConfirms!$A$2:$A$460,0)))</f>
        <v/>
      </c>
      <c r="D231">
        <f>IFERROR(INDEX(InternalTrades!$K$2:$K$461,MATCH($A231,InternalTrades!$A$2:$A$461,0)),INDEX(ExchangeConfirms!$K$2:$K$460,MATCH($A231,ExchangeConfirms!$A$2:$A$460,0)))</f>
        <v/>
      </c>
      <c r="E231">
        <f>IF(COUNTIF(InternalTrades!$A$2:$A$461,$A231)&gt;0,1,0)</f>
        <v/>
      </c>
      <c r="F231">
        <f>IF(COUNTIF(ExchangeConfirms!$A$2:$A$460,$A231)&gt;0,1,0)</f>
        <v/>
      </c>
      <c r="G231">
        <f>IFERROR(INDEX(InternalTrades!$F$2:$F$461,MATCH($A231,InternalTrades!$A$2:$A$461,0)),"")</f>
        <v/>
      </c>
      <c r="H231">
        <f>IFERROR(INDEX(ExchangeConfirms!$F$2:$F$460,MATCH($A231,ExchangeConfirms!$A$2:$A$460,0)),"")</f>
        <v/>
      </c>
      <c r="I231">
        <f>IFERROR(INDEX(InternalTrades!$G$2:$G$461,MATCH($A231,InternalTrades!$A$2:$A$461,0)),"")</f>
        <v/>
      </c>
      <c r="J231">
        <f>IFERROR(INDEX(ExchangeConfirms!$G$2:$G$460,MATCH($A231,ExchangeConfirms!$A$2:$A$460,0)),"")</f>
        <v/>
      </c>
      <c r="K231">
        <f>IFERROR(INDEX(InternalTrades!$H$2:$H$461,MATCH($A231,InternalTrades!$A$2:$A$461,0)),"")</f>
        <v/>
      </c>
      <c r="L231">
        <f>IFERROR(INDEX(ExchangeConfirms!$H$2:$H$460,MATCH($A231,ExchangeConfirms!$A$2:$A$460,0)),"")</f>
        <v/>
      </c>
      <c r="M231">
        <f>IFERROR(INDEX(InternalTrades!$J$2:$J$461,MATCH($A231,InternalTrades!$A$2:$A$461,0)),"")</f>
        <v/>
      </c>
      <c r="N231">
        <f>IFERROR(INDEX(ExchangeConfirms!$J$2:$J$460,MATCH($A231,ExchangeConfirms!$A$2:$A$460,0)),"")</f>
        <v/>
      </c>
      <c r="O231">
        <f>IFERROR(INDEX(InternalTrades!$I$2:$I$461,MATCH($A231,InternalTrades!$A$2:$A$461,0)),"")</f>
        <v/>
      </c>
      <c r="P231">
        <f>IFERROR(INDEX(ExchangeConfirms!$I$2:$I$460,MATCH($A231,ExchangeConfirms!$A$2:$A$460,0)),"")</f>
        <v/>
      </c>
      <c r="Q231">
        <f>IF(AND($E231=1,$F231=0),"MISSING IN EXCHANGE",IF(AND($E231=0,$F231=1),"MISSING IN INTERNAL",IF($G231&lt;&gt;$H231,"SIDE BREAK",IF($I231&lt;&gt;$J231,"QTY BREAK",IF(ABS($K231-$L231)&gt;0.005,"PRICE BREAK",IF(ABS($M231-$N231)&gt;0.01,"FEE BREAK","MATCHED"))))))</f>
        <v/>
      </c>
      <c r="R231">
        <f>IF($Q231="MATCHED",0,1)</f>
        <v/>
      </c>
      <c r="S231">
        <f>IF($Q231="MATCHED",0,IF($Q231="MISSING IN EXCHANGE",$O231,IF($Q231="MISSING IN INTERNAL",$P231,ABS(N($O231)-N($P231)))))</f>
        <v/>
      </c>
    </row>
    <row r="232">
      <c r="A232" t="inlineStr">
        <is>
          <t>T100231</t>
        </is>
      </c>
      <c r="B232">
        <f>IFERROR(INDEX(InternalTrades!$D$2:$D$461,MATCH($A232,InternalTrades!$A$2:$A$461,0)),INDEX(ExchangeConfirms!$D$2:$D$460,MATCH($A232,ExchangeConfirms!$A$2:$A$460,0)))</f>
        <v/>
      </c>
      <c r="C232">
        <f>IFERROR(INDEX(InternalTrades!$E$2:$E$461,MATCH($A232,InternalTrades!$A$2:$A$461,0)),INDEX(ExchangeConfirms!$E$2:$E$460,MATCH($A232,ExchangeConfirms!$A$2:$A$460,0)))</f>
        <v/>
      </c>
      <c r="D232">
        <f>IFERROR(INDEX(InternalTrades!$K$2:$K$461,MATCH($A232,InternalTrades!$A$2:$A$461,0)),INDEX(ExchangeConfirms!$K$2:$K$460,MATCH($A232,ExchangeConfirms!$A$2:$A$460,0)))</f>
        <v/>
      </c>
      <c r="E232">
        <f>IF(COUNTIF(InternalTrades!$A$2:$A$461,$A232)&gt;0,1,0)</f>
        <v/>
      </c>
      <c r="F232">
        <f>IF(COUNTIF(ExchangeConfirms!$A$2:$A$460,$A232)&gt;0,1,0)</f>
        <v/>
      </c>
      <c r="G232">
        <f>IFERROR(INDEX(InternalTrades!$F$2:$F$461,MATCH($A232,InternalTrades!$A$2:$A$461,0)),"")</f>
        <v/>
      </c>
      <c r="H232">
        <f>IFERROR(INDEX(ExchangeConfirms!$F$2:$F$460,MATCH($A232,ExchangeConfirms!$A$2:$A$460,0)),"")</f>
        <v/>
      </c>
      <c r="I232">
        <f>IFERROR(INDEX(InternalTrades!$G$2:$G$461,MATCH($A232,InternalTrades!$A$2:$A$461,0)),"")</f>
        <v/>
      </c>
      <c r="J232">
        <f>IFERROR(INDEX(ExchangeConfirms!$G$2:$G$460,MATCH($A232,ExchangeConfirms!$A$2:$A$460,0)),"")</f>
        <v/>
      </c>
      <c r="K232">
        <f>IFERROR(INDEX(InternalTrades!$H$2:$H$461,MATCH($A232,InternalTrades!$A$2:$A$461,0)),"")</f>
        <v/>
      </c>
      <c r="L232">
        <f>IFERROR(INDEX(ExchangeConfirms!$H$2:$H$460,MATCH($A232,ExchangeConfirms!$A$2:$A$460,0)),"")</f>
        <v/>
      </c>
      <c r="M232">
        <f>IFERROR(INDEX(InternalTrades!$J$2:$J$461,MATCH($A232,InternalTrades!$A$2:$A$461,0)),"")</f>
        <v/>
      </c>
      <c r="N232">
        <f>IFERROR(INDEX(ExchangeConfirms!$J$2:$J$460,MATCH($A232,ExchangeConfirms!$A$2:$A$460,0)),"")</f>
        <v/>
      </c>
      <c r="O232">
        <f>IFERROR(INDEX(InternalTrades!$I$2:$I$461,MATCH($A232,InternalTrades!$A$2:$A$461,0)),"")</f>
        <v/>
      </c>
      <c r="P232">
        <f>IFERROR(INDEX(ExchangeConfirms!$I$2:$I$460,MATCH($A232,ExchangeConfirms!$A$2:$A$460,0)),"")</f>
        <v/>
      </c>
      <c r="Q232">
        <f>IF(AND($E232=1,$F232=0),"MISSING IN EXCHANGE",IF(AND($E232=0,$F232=1),"MISSING IN INTERNAL",IF($G232&lt;&gt;$H232,"SIDE BREAK",IF($I232&lt;&gt;$J232,"QTY BREAK",IF(ABS($K232-$L232)&gt;0.005,"PRICE BREAK",IF(ABS($M232-$N232)&gt;0.01,"FEE BREAK","MATCHED"))))))</f>
        <v/>
      </c>
      <c r="R232">
        <f>IF($Q232="MATCHED",0,1)</f>
        <v/>
      </c>
      <c r="S232">
        <f>IF($Q232="MATCHED",0,IF($Q232="MISSING IN EXCHANGE",$O232,IF($Q232="MISSING IN INTERNAL",$P232,ABS(N($O232)-N($P232)))))</f>
        <v/>
      </c>
    </row>
    <row r="233">
      <c r="A233" t="inlineStr">
        <is>
          <t>T100232</t>
        </is>
      </c>
      <c r="B233">
        <f>IFERROR(INDEX(InternalTrades!$D$2:$D$461,MATCH($A233,InternalTrades!$A$2:$A$461,0)),INDEX(ExchangeConfirms!$D$2:$D$460,MATCH($A233,ExchangeConfirms!$A$2:$A$460,0)))</f>
        <v/>
      </c>
      <c r="C233">
        <f>IFERROR(INDEX(InternalTrades!$E$2:$E$461,MATCH($A233,InternalTrades!$A$2:$A$461,0)),INDEX(ExchangeConfirms!$E$2:$E$460,MATCH($A233,ExchangeConfirms!$A$2:$A$460,0)))</f>
        <v/>
      </c>
      <c r="D233">
        <f>IFERROR(INDEX(InternalTrades!$K$2:$K$461,MATCH($A233,InternalTrades!$A$2:$A$461,0)),INDEX(ExchangeConfirms!$K$2:$K$460,MATCH($A233,ExchangeConfirms!$A$2:$A$460,0)))</f>
        <v/>
      </c>
      <c r="E233">
        <f>IF(COUNTIF(InternalTrades!$A$2:$A$461,$A233)&gt;0,1,0)</f>
        <v/>
      </c>
      <c r="F233">
        <f>IF(COUNTIF(ExchangeConfirms!$A$2:$A$460,$A233)&gt;0,1,0)</f>
        <v/>
      </c>
      <c r="G233">
        <f>IFERROR(INDEX(InternalTrades!$F$2:$F$461,MATCH($A233,InternalTrades!$A$2:$A$461,0)),"")</f>
        <v/>
      </c>
      <c r="H233">
        <f>IFERROR(INDEX(ExchangeConfirms!$F$2:$F$460,MATCH($A233,ExchangeConfirms!$A$2:$A$460,0)),"")</f>
        <v/>
      </c>
      <c r="I233">
        <f>IFERROR(INDEX(InternalTrades!$G$2:$G$461,MATCH($A233,InternalTrades!$A$2:$A$461,0)),"")</f>
        <v/>
      </c>
      <c r="J233">
        <f>IFERROR(INDEX(ExchangeConfirms!$G$2:$G$460,MATCH($A233,ExchangeConfirms!$A$2:$A$460,0)),"")</f>
        <v/>
      </c>
      <c r="K233">
        <f>IFERROR(INDEX(InternalTrades!$H$2:$H$461,MATCH($A233,InternalTrades!$A$2:$A$461,0)),"")</f>
        <v/>
      </c>
      <c r="L233">
        <f>IFERROR(INDEX(ExchangeConfirms!$H$2:$H$460,MATCH($A233,ExchangeConfirms!$A$2:$A$460,0)),"")</f>
        <v/>
      </c>
      <c r="M233">
        <f>IFERROR(INDEX(InternalTrades!$J$2:$J$461,MATCH($A233,InternalTrades!$A$2:$A$461,0)),"")</f>
        <v/>
      </c>
      <c r="N233">
        <f>IFERROR(INDEX(ExchangeConfirms!$J$2:$J$460,MATCH($A233,ExchangeConfirms!$A$2:$A$460,0)),"")</f>
        <v/>
      </c>
      <c r="O233">
        <f>IFERROR(INDEX(InternalTrades!$I$2:$I$461,MATCH($A233,InternalTrades!$A$2:$A$461,0)),"")</f>
        <v/>
      </c>
      <c r="P233">
        <f>IFERROR(INDEX(ExchangeConfirms!$I$2:$I$460,MATCH($A233,ExchangeConfirms!$A$2:$A$460,0)),"")</f>
        <v/>
      </c>
      <c r="Q233">
        <f>IF(AND($E233=1,$F233=0),"MISSING IN EXCHANGE",IF(AND($E233=0,$F233=1),"MISSING IN INTERNAL",IF($G233&lt;&gt;$H233,"SIDE BREAK",IF($I233&lt;&gt;$J233,"QTY BREAK",IF(ABS($K233-$L233)&gt;0.005,"PRICE BREAK",IF(ABS($M233-$N233)&gt;0.01,"FEE BREAK","MATCHED"))))))</f>
        <v/>
      </c>
      <c r="R233">
        <f>IF($Q233="MATCHED",0,1)</f>
        <v/>
      </c>
      <c r="S233">
        <f>IF($Q233="MATCHED",0,IF($Q233="MISSING IN EXCHANGE",$O233,IF($Q233="MISSING IN INTERNAL",$P233,ABS(N($O233)-N($P233)))))</f>
        <v/>
      </c>
    </row>
    <row r="234">
      <c r="A234" t="inlineStr">
        <is>
          <t>T100233</t>
        </is>
      </c>
      <c r="B234">
        <f>IFERROR(INDEX(InternalTrades!$D$2:$D$461,MATCH($A234,InternalTrades!$A$2:$A$461,0)),INDEX(ExchangeConfirms!$D$2:$D$460,MATCH($A234,ExchangeConfirms!$A$2:$A$460,0)))</f>
        <v/>
      </c>
      <c r="C234">
        <f>IFERROR(INDEX(InternalTrades!$E$2:$E$461,MATCH($A234,InternalTrades!$A$2:$A$461,0)),INDEX(ExchangeConfirms!$E$2:$E$460,MATCH($A234,ExchangeConfirms!$A$2:$A$460,0)))</f>
        <v/>
      </c>
      <c r="D234">
        <f>IFERROR(INDEX(InternalTrades!$K$2:$K$461,MATCH($A234,InternalTrades!$A$2:$A$461,0)),INDEX(ExchangeConfirms!$K$2:$K$460,MATCH($A234,ExchangeConfirms!$A$2:$A$460,0)))</f>
        <v/>
      </c>
      <c r="E234">
        <f>IF(COUNTIF(InternalTrades!$A$2:$A$461,$A234)&gt;0,1,0)</f>
        <v/>
      </c>
      <c r="F234">
        <f>IF(COUNTIF(ExchangeConfirms!$A$2:$A$460,$A234)&gt;0,1,0)</f>
        <v/>
      </c>
      <c r="G234">
        <f>IFERROR(INDEX(InternalTrades!$F$2:$F$461,MATCH($A234,InternalTrades!$A$2:$A$461,0)),"")</f>
        <v/>
      </c>
      <c r="H234">
        <f>IFERROR(INDEX(ExchangeConfirms!$F$2:$F$460,MATCH($A234,ExchangeConfirms!$A$2:$A$460,0)),"")</f>
        <v/>
      </c>
      <c r="I234">
        <f>IFERROR(INDEX(InternalTrades!$G$2:$G$461,MATCH($A234,InternalTrades!$A$2:$A$461,0)),"")</f>
        <v/>
      </c>
      <c r="J234">
        <f>IFERROR(INDEX(ExchangeConfirms!$G$2:$G$460,MATCH($A234,ExchangeConfirms!$A$2:$A$460,0)),"")</f>
        <v/>
      </c>
      <c r="K234">
        <f>IFERROR(INDEX(InternalTrades!$H$2:$H$461,MATCH($A234,InternalTrades!$A$2:$A$461,0)),"")</f>
        <v/>
      </c>
      <c r="L234">
        <f>IFERROR(INDEX(ExchangeConfirms!$H$2:$H$460,MATCH($A234,ExchangeConfirms!$A$2:$A$460,0)),"")</f>
        <v/>
      </c>
      <c r="M234">
        <f>IFERROR(INDEX(InternalTrades!$J$2:$J$461,MATCH($A234,InternalTrades!$A$2:$A$461,0)),"")</f>
        <v/>
      </c>
      <c r="N234">
        <f>IFERROR(INDEX(ExchangeConfirms!$J$2:$J$460,MATCH($A234,ExchangeConfirms!$A$2:$A$460,0)),"")</f>
        <v/>
      </c>
      <c r="O234">
        <f>IFERROR(INDEX(InternalTrades!$I$2:$I$461,MATCH($A234,InternalTrades!$A$2:$A$461,0)),"")</f>
        <v/>
      </c>
      <c r="P234">
        <f>IFERROR(INDEX(ExchangeConfirms!$I$2:$I$460,MATCH($A234,ExchangeConfirms!$A$2:$A$460,0)),"")</f>
        <v/>
      </c>
      <c r="Q234">
        <f>IF(AND($E234=1,$F234=0),"MISSING IN EXCHANGE",IF(AND($E234=0,$F234=1),"MISSING IN INTERNAL",IF($G234&lt;&gt;$H234,"SIDE BREAK",IF($I234&lt;&gt;$J234,"QTY BREAK",IF(ABS($K234-$L234)&gt;0.005,"PRICE BREAK",IF(ABS($M234-$N234)&gt;0.01,"FEE BREAK","MATCHED"))))))</f>
        <v/>
      </c>
      <c r="R234">
        <f>IF($Q234="MATCHED",0,1)</f>
        <v/>
      </c>
      <c r="S234">
        <f>IF($Q234="MATCHED",0,IF($Q234="MISSING IN EXCHANGE",$O234,IF($Q234="MISSING IN INTERNAL",$P234,ABS(N($O234)-N($P234)))))</f>
        <v/>
      </c>
    </row>
    <row r="235">
      <c r="A235" t="inlineStr">
        <is>
          <t>T100234</t>
        </is>
      </c>
      <c r="B235">
        <f>IFERROR(INDEX(InternalTrades!$D$2:$D$461,MATCH($A235,InternalTrades!$A$2:$A$461,0)),INDEX(ExchangeConfirms!$D$2:$D$460,MATCH($A235,ExchangeConfirms!$A$2:$A$460,0)))</f>
        <v/>
      </c>
      <c r="C235">
        <f>IFERROR(INDEX(InternalTrades!$E$2:$E$461,MATCH($A235,InternalTrades!$A$2:$A$461,0)),INDEX(ExchangeConfirms!$E$2:$E$460,MATCH($A235,ExchangeConfirms!$A$2:$A$460,0)))</f>
        <v/>
      </c>
      <c r="D235">
        <f>IFERROR(INDEX(InternalTrades!$K$2:$K$461,MATCH($A235,InternalTrades!$A$2:$A$461,0)),INDEX(ExchangeConfirms!$K$2:$K$460,MATCH($A235,ExchangeConfirms!$A$2:$A$460,0)))</f>
        <v/>
      </c>
      <c r="E235">
        <f>IF(COUNTIF(InternalTrades!$A$2:$A$461,$A235)&gt;0,1,0)</f>
        <v/>
      </c>
      <c r="F235">
        <f>IF(COUNTIF(ExchangeConfirms!$A$2:$A$460,$A235)&gt;0,1,0)</f>
        <v/>
      </c>
      <c r="G235">
        <f>IFERROR(INDEX(InternalTrades!$F$2:$F$461,MATCH($A235,InternalTrades!$A$2:$A$461,0)),"")</f>
        <v/>
      </c>
      <c r="H235">
        <f>IFERROR(INDEX(ExchangeConfirms!$F$2:$F$460,MATCH($A235,ExchangeConfirms!$A$2:$A$460,0)),"")</f>
        <v/>
      </c>
      <c r="I235">
        <f>IFERROR(INDEX(InternalTrades!$G$2:$G$461,MATCH($A235,InternalTrades!$A$2:$A$461,0)),"")</f>
        <v/>
      </c>
      <c r="J235">
        <f>IFERROR(INDEX(ExchangeConfirms!$G$2:$G$460,MATCH($A235,ExchangeConfirms!$A$2:$A$460,0)),"")</f>
        <v/>
      </c>
      <c r="K235">
        <f>IFERROR(INDEX(InternalTrades!$H$2:$H$461,MATCH($A235,InternalTrades!$A$2:$A$461,0)),"")</f>
        <v/>
      </c>
      <c r="L235">
        <f>IFERROR(INDEX(ExchangeConfirms!$H$2:$H$460,MATCH($A235,ExchangeConfirms!$A$2:$A$460,0)),"")</f>
        <v/>
      </c>
      <c r="M235">
        <f>IFERROR(INDEX(InternalTrades!$J$2:$J$461,MATCH($A235,InternalTrades!$A$2:$A$461,0)),"")</f>
        <v/>
      </c>
      <c r="N235">
        <f>IFERROR(INDEX(ExchangeConfirms!$J$2:$J$460,MATCH($A235,ExchangeConfirms!$A$2:$A$460,0)),"")</f>
        <v/>
      </c>
      <c r="O235">
        <f>IFERROR(INDEX(InternalTrades!$I$2:$I$461,MATCH($A235,InternalTrades!$A$2:$A$461,0)),"")</f>
        <v/>
      </c>
      <c r="P235">
        <f>IFERROR(INDEX(ExchangeConfirms!$I$2:$I$460,MATCH($A235,ExchangeConfirms!$A$2:$A$460,0)),"")</f>
        <v/>
      </c>
      <c r="Q235">
        <f>IF(AND($E235=1,$F235=0),"MISSING IN EXCHANGE",IF(AND($E235=0,$F235=1),"MISSING IN INTERNAL",IF($G235&lt;&gt;$H235,"SIDE BREAK",IF($I235&lt;&gt;$J235,"QTY BREAK",IF(ABS($K235-$L235)&gt;0.005,"PRICE BREAK",IF(ABS($M235-$N235)&gt;0.01,"FEE BREAK","MATCHED"))))))</f>
        <v/>
      </c>
      <c r="R235">
        <f>IF($Q235="MATCHED",0,1)</f>
        <v/>
      </c>
      <c r="S235">
        <f>IF($Q235="MATCHED",0,IF($Q235="MISSING IN EXCHANGE",$O235,IF($Q235="MISSING IN INTERNAL",$P235,ABS(N($O235)-N($P235)))))</f>
        <v/>
      </c>
    </row>
    <row r="236">
      <c r="A236" t="inlineStr">
        <is>
          <t>T100235</t>
        </is>
      </c>
      <c r="B236">
        <f>IFERROR(INDEX(InternalTrades!$D$2:$D$461,MATCH($A236,InternalTrades!$A$2:$A$461,0)),INDEX(ExchangeConfirms!$D$2:$D$460,MATCH($A236,ExchangeConfirms!$A$2:$A$460,0)))</f>
        <v/>
      </c>
      <c r="C236">
        <f>IFERROR(INDEX(InternalTrades!$E$2:$E$461,MATCH($A236,InternalTrades!$A$2:$A$461,0)),INDEX(ExchangeConfirms!$E$2:$E$460,MATCH($A236,ExchangeConfirms!$A$2:$A$460,0)))</f>
        <v/>
      </c>
      <c r="D236">
        <f>IFERROR(INDEX(InternalTrades!$K$2:$K$461,MATCH($A236,InternalTrades!$A$2:$A$461,0)),INDEX(ExchangeConfirms!$K$2:$K$460,MATCH($A236,ExchangeConfirms!$A$2:$A$460,0)))</f>
        <v/>
      </c>
      <c r="E236">
        <f>IF(COUNTIF(InternalTrades!$A$2:$A$461,$A236)&gt;0,1,0)</f>
        <v/>
      </c>
      <c r="F236">
        <f>IF(COUNTIF(ExchangeConfirms!$A$2:$A$460,$A236)&gt;0,1,0)</f>
        <v/>
      </c>
      <c r="G236">
        <f>IFERROR(INDEX(InternalTrades!$F$2:$F$461,MATCH($A236,InternalTrades!$A$2:$A$461,0)),"")</f>
        <v/>
      </c>
      <c r="H236">
        <f>IFERROR(INDEX(ExchangeConfirms!$F$2:$F$460,MATCH($A236,ExchangeConfirms!$A$2:$A$460,0)),"")</f>
        <v/>
      </c>
      <c r="I236">
        <f>IFERROR(INDEX(InternalTrades!$G$2:$G$461,MATCH($A236,InternalTrades!$A$2:$A$461,0)),"")</f>
        <v/>
      </c>
      <c r="J236">
        <f>IFERROR(INDEX(ExchangeConfirms!$G$2:$G$460,MATCH($A236,ExchangeConfirms!$A$2:$A$460,0)),"")</f>
        <v/>
      </c>
      <c r="K236">
        <f>IFERROR(INDEX(InternalTrades!$H$2:$H$461,MATCH($A236,InternalTrades!$A$2:$A$461,0)),"")</f>
        <v/>
      </c>
      <c r="L236">
        <f>IFERROR(INDEX(ExchangeConfirms!$H$2:$H$460,MATCH($A236,ExchangeConfirms!$A$2:$A$460,0)),"")</f>
        <v/>
      </c>
      <c r="M236">
        <f>IFERROR(INDEX(InternalTrades!$J$2:$J$461,MATCH($A236,InternalTrades!$A$2:$A$461,0)),"")</f>
        <v/>
      </c>
      <c r="N236">
        <f>IFERROR(INDEX(ExchangeConfirms!$J$2:$J$460,MATCH($A236,ExchangeConfirms!$A$2:$A$460,0)),"")</f>
        <v/>
      </c>
      <c r="O236">
        <f>IFERROR(INDEX(InternalTrades!$I$2:$I$461,MATCH($A236,InternalTrades!$A$2:$A$461,0)),"")</f>
        <v/>
      </c>
      <c r="P236">
        <f>IFERROR(INDEX(ExchangeConfirms!$I$2:$I$460,MATCH($A236,ExchangeConfirms!$A$2:$A$460,0)),"")</f>
        <v/>
      </c>
      <c r="Q236">
        <f>IF(AND($E236=1,$F236=0),"MISSING IN EXCHANGE",IF(AND($E236=0,$F236=1),"MISSING IN INTERNAL",IF($G236&lt;&gt;$H236,"SIDE BREAK",IF($I236&lt;&gt;$J236,"QTY BREAK",IF(ABS($K236-$L236)&gt;0.005,"PRICE BREAK",IF(ABS($M236-$N236)&gt;0.01,"FEE BREAK","MATCHED"))))))</f>
        <v/>
      </c>
      <c r="R236">
        <f>IF($Q236="MATCHED",0,1)</f>
        <v/>
      </c>
      <c r="S236">
        <f>IF($Q236="MATCHED",0,IF($Q236="MISSING IN EXCHANGE",$O236,IF($Q236="MISSING IN INTERNAL",$P236,ABS(N($O236)-N($P236)))))</f>
        <v/>
      </c>
    </row>
    <row r="237">
      <c r="A237" t="inlineStr">
        <is>
          <t>T100236</t>
        </is>
      </c>
      <c r="B237">
        <f>IFERROR(INDEX(InternalTrades!$D$2:$D$461,MATCH($A237,InternalTrades!$A$2:$A$461,0)),INDEX(ExchangeConfirms!$D$2:$D$460,MATCH($A237,ExchangeConfirms!$A$2:$A$460,0)))</f>
        <v/>
      </c>
      <c r="C237">
        <f>IFERROR(INDEX(InternalTrades!$E$2:$E$461,MATCH($A237,InternalTrades!$A$2:$A$461,0)),INDEX(ExchangeConfirms!$E$2:$E$460,MATCH($A237,ExchangeConfirms!$A$2:$A$460,0)))</f>
        <v/>
      </c>
      <c r="D237">
        <f>IFERROR(INDEX(InternalTrades!$K$2:$K$461,MATCH($A237,InternalTrades!$A$2:$A$461,0)),INDEX(ExchangeConfirms!$K$2:$K$460,MATCH($A237,ExchangeConfirms!$A$2:$A$460,0)))</f>
        <v/>
      </c>
      <c r="E237">
        <f>IF(COUNTIF(InternalTrades!$A$2:$A$461,$A237)&gt;0,1,0)</f>
        <v/>
      </c>
      <c r="F237">
        <f>IF(COUNTIF(ExchangeConfirms!$A$2:$A$460,$A237)&gt;0,1,0)</f>
        <v/>
      </c>
      <c r="G237">
        <f>IFERROR(INDEX(InternalTrades!$F$2:$F$461,MATCH($A237,InternalTrades!$A$2:$A$461,0)),"")</f>
        <v/>
      </c>
      <c r="H237">
        <f>IFERROR(INDEX(ExchangeConfirms!$F$2:$F$460,MATCH($A237,ExchangeConfirms!$A$2:$A$460,0)),"")</f>
        <v/>
      </c>
      <c r="I237">
        <f>IFERROR(INDEX(InternalTrades!$G$2:$G$461,MATCH($A237,InternalTrades!$A$2:$A$461,0)),"")</f>
        <v/>
      </c>
      <c r="J237">
        <f>IFERROR(INDEX(ExchangeConfirms!$G$2:$G$460,MATCH($A237,ExchangeConfirms!$A$2:$A$460,0)),"")</f>
        <v/>
      </c>
      <c r="K237">
        <f>IFERROR(INDEX(InternalTrades!$H$2:$H$461,MATCH($A237,InternalTrades!$A$2:$A$461,0)),"")</f>
        <v/>
      </c>
      <c r="L237">
        <f>IFERROR(INDEX(ExchangeConfirms!$H$2:$H$460,MATCH($A237,ExchangeConfirms!$A$2:$A$460,0)),"")</f>
        <v/>
      </c>
      <c r="M237">
        <f>IFERROR(INDEX(InternalTrades!$J$2:$J$461,MATCH($A237,InternalTrades!$A$2:$A$461,0)),"")</f>
        <v/>
      </c>
      <c r="N237">
        <f>IFERROR(INDEX(ExchangeConfirms!$J$2:$J$460,MATCH($A237,ExchangeConfirms!$A$2:$A$460,0)),"")</f>
        <v/>
      </c>
      <c r="O237">
        <f>IFERROR(INDEX(InternalTrades!$I$2:$I$461,MATCH($A237,InternalTrades!$A$2:$A$461,0)),"")</f>
        <v/>
      </c>
      <c r="P237">
        <f>IFERROR(INDEX(ExchangeConfirms!$I$2:$I$460,MATCH($A237,ExchangeConfirms!$A$2:$A$460,0)),"")</f>
        <v/>
      </c>
      <c r="Q237">
        <f>IF(AND($E237=1,$F237=0),"MISSING IN EXCHANGE",IF(AND($E237=0,$F237=1),"MISSING IN INTERNAL",IF($G237&lt;&gt;$H237,"SIDE BREAK",IF($I237&lt;&gt;$J237,"QTY BREAK",IF(ABS($K237-$L237)&gt;0.005,"PRICE BREAK",IF(ABS($M237-$N237)&gt;0.01,"FEE BREAK","MATCHED"))))))</f>
        <v/>
      </c>
      <c r="R237">
        <f>IF($Q237="MATCHED",0,1)</f>
        <v/>
      </c>
      <c r="S237">
        <f>IF($Q237="MATCHED",0,IF($Q237="MISSING IN EXCHANGE",$O237,IF($Q237="MISSING IN INTERNAL",$P237,ABS(N($O237)-N($P237)))))</f>
        <v/>
      </c>
    </row>
    <row r="238">
      <c r="A238" t="inlineStr">
        <is>
          <t>T100237</t>
        </is>
      </c>
      <c r="B238">
        <f>IFERROR(INDEX(InternalTrades!$D$2:$D$461,MATCH($A238,InternalTrades!$A$2:$A$461,0)),INDEX(ExchangeConfirms!$D$2:$D$460,MATCH($A238,ExchangeConfirms!$A$2:$A$460,0)))</f>
        <v/>
      </c>
      <c r="C238">
        <f>IFERROR(INDEX(InternalTrades!$E$2:$E$461,MATCH($A238,InternalTrades!$A$2:$A$461,0)),INDEX(ExchangeConfirms!$E$2:$E$460,MATCH($A238,ExchangeConfirms!$A$2:$A$460,0)))</f>
        <v/>
      </c>
      <c r="D238">
        <f>IFERROR(INDEX(InternalTrades!$K$2:$K$461,MATCH($A238,InternalTrades!$A$2:$A$461,0)),INDEX(ExchangeConfirms!$K$2:$K$460,MATCH($A238,ExchangeConfirms!$A$2:$A$460,0)))</f>
        <v/>
      </c>
      <c r="E238">
        <f>IF(COUNTIF(InternalTrades!$A$2:$A$461,$A238)&gt;0,1,0)</f>
        <v/>
      </c>
      <c r="F238">
        <f>IF(COUNTIF(ExchangeConfirms!$A$2:$A$460,$A238)&gt;0,1,0)</f>
        <v/>
      </c>
      <c r="G238">
        <f>IFERROR(INDEX(InternalTrades!$F$2:$F$461,MATCH($A238,InternalTrades!$A$2:$A$461,0)),"")</f>
        <v/>
      </c>
      <c r="H238">
        <f>IFERROR(INDEX(ExchangeConfirms!$F$2:$F$460,MATCH($A238,ExchangeConfirms!$A$2:$A$460,0)),"")</f>
        <v/>
      </c>
      <c r="I238">
        <f>IFERROR(INDEX(InternalTrades!$G$2:$G$461,MATCH($A238,InternalTrades!$A$2:$A$461,0)),"")</f>
        <v/>
      </c>
      <c r="J238">
        <f>IFERROR(INDEX(ExchangeConfirms!$G$2:$G$460,MATCH($A238,ExchangeConfirms!$A$2:$A$460,0)),"")</f>
        <v/>
      </c>
      <c r="K238">
        <f>IFERROR(INDEX(InternalTrades!$H$2:$H$461,MATCH($A238,InternalTrades!$A$2:$A$461,0)),"")</f>
        <v/>
      </c>
      <c r="L238">
        <f>IFERROR(INDEX(ExchangeConfirms!$H$2:$H$460,MATCH($A238,ExchangeConfirms!$A$2:$A$460,0)),"")</f>
        <v/>
      </c>
      <c r="M238">
        <f>IFERROR(INDEX(InternalTrades!$J$2:$J$461,MATCH($A238,InternalTrades!$A$2:$A$461,0)),"")</f>
        <v/>
      </c>
      <c r="N238">
        <f>IFERROR(INDEX(ExchangeConfirms!$J$2:$J$460,MATCH($A238,ExchangeConfirms!$A$2:$A$460,0)),"")</f>
        <v/>
      </c>
      <c r="O238">
        <f>IFERROR(INDEX(InternalTrades!$I$2:$I$461,MATCH($A238,InternalTrades!$A$2:$A$461,0)),"")</f>
        <v/>
      </c>
      <c r="P238">
        <f>IFERROR(INDEX(ExchangeConfirms!$I$2:$I$460,MATCH($A238,ExchangeConfirms!$A$2:$A$460,0)),"")</f>
        <v/>
      </c>
      <c r="Q238">
        <f>IF(AND($E238=1,$F238=0),"MISSING IN EXCHANGE",IF(AND($E238=0,$F238=1),"MISSING IN INTERNAL",IF($G238&lt;&gt;$H238,"SIDE BREAK",IF($I238&lt;&gt;$J238,"QTY BREAK",IF(ABS($K238-$L238)&gt;0.005,"PRICE BREAK",IF(ABS($M238-$N238)&gt;0.01,"FEE BREAK","MATCHED"))))))</f>
        <v/>
      </c>
      <c r="R238">
        <f>IF($Q238="MATCHED",0,1)</f>
        <v/>
      </c>
      <c r="S238">
        <f>IF($Q238="MATCHED",0,IF($Q238="MISSING IN EXCHANGE",$O238,IF($Q238="MISSING IN INTERNAL",$P238,ABS(N($O238)-N($P238)))))</f>
        <v/>
      </c>
    </row>
    <row r="239">
      <c r="A239" t="inlineStr">
        <is>
          <t>T100238</t>
        </is>
      </c>
      <c r="B239">
        <f>IFERROR(INDEX(InternalTrades!$D$2:$D$461,MATCH($A239,InternalTrades!$A$2:$A$461,0)),INDEX(ExchangeConfirms!$D$2:$D$460,MATCH($A239,ExchangeConfirms!$A$2:$A$460,0)))</f>
        <v/>
      </c>
      <c r="C239">
        <f>IFERROR(INDEX(InternalTrades!$E$2:$E$461,MATCH($A239,InternalTrades!$A$2:$A$461,0)),INDEX(ExchangeConfirms!$E$2:$E$460,MATCH($A239,ExchangeConfirms!$A$2:$A$460,0)))</f>
        <v/>
      </c>
      <c r="D239">
        <f>IFERROR(INDEX(InternalTrades!$K$2:$K$461,MATCH($A239,InternalTrades!$A$2:$A$461,0)),INDEX(ExchangeConfirms!$K$2:$K$460,MATCH($A239,ExchangeConfirms!$A$2:$A$460,0)))</f>
        <v/>
      </c>
      <c r="E239">
        <f>IF(COUNTIF(InternalTrades!$A$2:$A$461,$A239)&gt;0,1,0)</f>
        <v/>
      </c>
      <c r="F239">
        <f>IF(COUNTIF(ExchangeConfirms!$A$2:$A$460,$A239)&gt;0,1,0)</f>
        <v/>
      </c>
      <c r="G239">
        <f>IFERROR(INDEX(InternalTrades!$F$2:$F$461,MATCH($A239,InternalTrades!$A$2:$A$461,0)),"")</f>
        <v/>
      </c>
      <c r="H239">
        <f>IFERROR(INDEX(ExchangeConfirms!$F$2:$F$460,MATCH($A239,ExchangeConfirms!$A$2:$A$460,0)),"")</f>
        <v/>
      </c>
      <c r="I239">
        <f>IFERROR(INDEX(InternalTrades!$G$2:$G$461,MATCH($A239,InternalTrades!$A$2:$A$461,0)),"")</f>
        <v/>
      </c>
      <c r="J239">
        <f>IFERROR(INDEX(ExchangeConfirms!$G$2:$G$460,MATCH($A239,ExchangeConfirms!$A$2:$A$460,0)),"")</f>
        <v/>
      </c>
      <c r="K239">
        <f>IFERROR(INDEX(InternalTrades!$H$2:$H$461,MATCH($A239,InternalTrades!$A$2:$A$461,0)),"")</f>
        <v/>
      </c>
      <c r="L239">
        <f>IFERROR(INDEX(ExchangeConfirms!$H$2:$H$460,MATCH($A239,ExchangeConfirms!$A$2:$A$460,0)),"")</f>
        <v/>
      </c>
      <c r="M239">
        <f>IFERROR(INDEX(InternalTrades!$J$2:$J$461,MATCH($A239,InternalTrades!$A$2:$A$461,0)),"")</f>
        <v/>
      </c>
      <c r="N239">
        <f>IFERROR(INDEX(ExchangeConfirms!$J$2:$J$460,MATCH($A239,ExchangeConfirms!$A$2:$A$460,0)),"")</f>
        <v/>
      </c>
      <c r="O239">
        <f>IFERROR(INDEX(InternalTrades!$I$2:$I$461,MATCH($A239,InternalTrades!$A$2:$A$461,0)),"")</f>
        <v/>
      </c>
      <c r="P239">
        <f>IFERROR(INDEX(ExchangeConfirms!$I$2:$I$460,MATCH($A239,ExchangeConfirms!$A$2:$A$460,0)),"")</f>
        <v/>
      </c>
      <c r="Q239">
        <f>IF(AND($E239=1,$F239=0),"MISSING IN EXCHANGE",IF(AND($E239=0,$F239=1),"MISSING IN INTERNAL",IF($G239&lt;&gt;$H239,"SIDE BREAK",IF($I239&lt;&gt;$J239,"QTY BREAK",IF(ABS($K239-$L239)&gt;0.005,"PRICE BREAK",IF(ABS($M239-$N239)&gt;0.01,"FEE BREAK","MATCHED"))))))</f>
        <v/>
      </c>
      <c r="R239">
        <f>IF($Q239="MATCHED",0,1)</f>
        <v/>
      </c>
      <c r="S239">
        <f>IF($Q239="MATCHED",0,IF($Q239="MISSING IN EXCHANGE",$O239,IF($Q239="MISSING IN INTERNAL",$P239,ABS(N($O239)-N($P239)))))</f>
        <v/>
      </c>
    </row>
    <row r="240">
      <c r="A240" t="inlineStr">
        <is>
          <t>T100239</t>
        </is>
      </c>
      <c r="B240">
        <f>IFERROR(INDEX(InternalTrades!$D$2:$D$461,MATCH($A240,InternalTrades!$A$2:$A$461,0)),INDEX(ExchangeConfirms!$D$2:$D$460,MATCH($A240,ExchangeConfirms!$A$2:$A$460,0)))</f>
        <v/>
      </c>
      <c r="C240">
        <f>IFERROR(INDEX(InternalTrades!$E$2:$E$461,MATCH($A240,InternalTrades!$A$2:$A$461,0)),INDEX(ExchangeConfirms!$E$2:$E$460,MATCH($A240,ExchangeConfirms!$A$2:$A$460,0)))</f>
        <v/>
      </c>
      <c r="D240">
        <f>IFERROR(INDEX(InternalTrades!$K$2:$K$461,MATCH($A240,InternalTrades!$A$2:$A$461,0)),INDEX(ExchangeConfirms!$K$2:$K$460,MATCH($A240,ExchangeConfirms!$A$2:$A$460,0)))</f>
        <v/>
      </c>
      <c r="E240">
        <f>IF(COUNTIF(InternalTrades!$A$2:$A$461,$A240)&gt;0,1,0)</f>
        <v/>
      </c>
      <c r="F240">
        <f>IF(COUNTIF(ExchangeConfirms!$A$2:$A$460,$A240)&gt;0,1,0)</f>
        <v/>
      </c>
      <c r="G240">
        <f>IFERROR(INDEX(InternalTrades!$F$2:$F$461,MATCH($A240,InternalTrades!$A$2:$A$461,0)),"")</f>
        <v/>
      </c>
      <c r="H240">
        <f>IFERROR(INDEX(ExchangeConfirms!$F$2:$F$460,MATCH($A240,ExchangeConfirms!$A$2:$A$460,0)),"")</f>
        <v/>
      </c>
      <c r="I240">
        <f>IFERROR(INDEX(InternalTrades!$G$2:$G$461,MATCH($A240,InternalTrades!$A$2:$A$461,0)),"")</f>
        <v/>
      </c>
      <c r="J240">
        <f>IFERROR(INDEX(ExchangeConfirms!$G$2:$G$460,MATCH($A240,ExchangeConfirms!$A$2:$A$460,0)),"")</f>
        <v/>
      </c>
      <c r="K240">
        <f>IFERROR(INDEX(InternalTrades!$H$2:$H$461,MATCH($A240,InternalTrades!$A$2:$A$461,0)),"")</f>
        <v/>
      </c>
      <c r="L240">
        <f>IFERROR(INDEX(ExchangeConfirms!$H$2:$H$460,MATCH($A240,ExchangeConfirms!$A$2:$A$460,0)),"")</f>
        <v/>
      </c>
      <c r="M240">
        <f>IFERROR(INDEX(InternalTrades!$J$2:$J$461,MATCH($A240,InternalTrades!$A$2:$A$461,0)),"")</f>
        <v/>
      </c>
      <c r="N240">
        <f>IFERROR(INDEX(ExchangeConfirms!$J$2:$J$460,MATCH($A240,ExchangeConfirms!$A$2:$A$460,0)),"")</f>
        <v/>
      </c>
      <c r="O240">
        <f>IFERROR(INDEX(InternalTrades!$I$2:$I$461,MATCH($A240,InternalTrades!$A$2:$A$461,0)),"")</f>
        <v/>
      </c>
      <c r="P240">
        <f>IFERROR(INDEX(ExchangeConfirms!$I$2:$I$460,MATCH($A240,ExchangeConfirms!$A$2:$A$460,0)),"")</f>
        <v/>
      </c>
      <c r="Q240">
        <f>IF(AND($E240=1,$F240=0),"MISSING IN EXCHANGE",IF(AND($E240=0,$F240=1),"MISSING IN INTERNAL",IF($G240&lt;&gt;$H240,"SIDE BREAK",IF($I240&lt;&gt;$J240,"QTY BREAK",IF(ABS($K240-$L240)&gt;0.005,"PRICE BREAK",IF(ABS($M240-$N240)&gt;0.01,"FEE BREAK","MATCHED"))))))</f>
        <v/>
      </c>
      <c r="R240">
        <f>IF($Q240="MATCHED",0,1)</f>
        <v/>
      </c>
      <c r="S240">
        <f>IF($Q240="MATCHED",0,IF($Q240="MISSING IN EXCHANGE",$O240,IF($Q240="MISSING IN INTERNAL",$P240,ABS(N($O240)-N($P240)))))</f>
        <v/>
      </c>
    </row>
    <row r="241">
      <c r="A241" t="inlineStr">
        <is>
          <t>T100240</t>
        </is>
      </c>
      <c r="B241">
        <f>IFERROR(INDEX(InternalTrades!$D$2:$D$461,MATCH($A241,InternalTrades!$A$2:$A$461,0)),INDEX(ExchangeConfirms!$D$2:$D$460,MATCH($A241,ExchangeConfirms!$A$2:$A$460,0)))</f>
        <v/>
      </c>
      <c r="C241">
        <f>IFERROR(INDEX(InternalTrades!$E$2:$E$461,MATCH($A241,InternalTrades!$A$2:$A$461,0)),INDEX(ExchangeConfirms!$E$2:$E$460,MATCH($A241,ExchangeConfirms!$A$2:$A$460,0)))</f>
        <v/>
      </c>
      <c r="D241">
        <f>IFERROR(INDEX(InternalTrades!$K$2:$K$461,MATCH($A241,InternalTrades!$A$2:$A$461,0)),INDEX(ExchangeConfirms!$K$2:$K$460,MATCH($A241,ExchangeConfirms!$A$2:$A$460,0)))</f>
        <v/>
      </c>
      <c r="E241">
        <f>IF(COUNTIF(InternalTrades!$A$2:$A$461,$A241)&gt;0,1,0)</f>
        <v/>
      </c>
      <c r="F241">
        <f>IF(COUNTIF(ExchangeConfirms!$A$2:$A$460,$A241)&gt;0,1,0)</f>
        <v/>
      </c>
      <c r="G241">
        <f>IFERROR(INDEX(InternalTrades!$F$2:$F$461,MATCH($A241,InternalTrades!$A$2:$A$461,0)),"")</f>
        <v/>
      </c>
      <c r="H241">
        <f>IFERROR(INDEX(ExchangeConfirms!$F$2:$F$460,MATCH($A241,ExchangeConfirms!$A$2:$A$460,0)),"")</f>
        <v/>
      </c>
      <c r="I241">
        <f>IFERROR(INDEX(InternalTrades!$G$2:$G$461,MATCH($A241,InternalTrades!$A$2:$A$461,0)),"")</f>
        <v/>
      </c>
      <c r="J241">
        <f>IFERROR(INDEX(ExchangeConfirms!$G$2:$G$460,MATCH($A241,ExchangeConfirms!$A$2:$A$460,0)),"")</f>
        <v/>
      </c>
      <c r="K241">
        <f>IFERROR(INDEX(InternalTrades!$H$2:$H$461,MATCH($A241,InternalTrades!$A$2:$A$461,0)),"")</f>
        <v/>
      </c>
      <c r="L241">
        <f>IFERROR(INDEX(ExchangeConfirms!$H$2:$H$460,MATCH($A241,ExchangeConfirms!$A$2:$A$460,0)),"")</f>
        <v/>
      </c>
      <c r="M241">
        <f>IFERROR(INDEX(InternalTrades!$J$2:$J$461,MATCH($A241,InternalTrades!$A$2:$A$461,0)),"")</f>
        <v/>
      </c>
      <c r="N241">
        <f>IFERROR(INDEX(ExchangeConfirms!$J$2:$J$460,MATCH($A241,ExchangeConfirms!$A$2:$A$460,0)),"")</f>
        <v/>
      </c>
      <c r="O241">
        <f>IFERROR(INDEX(InternalTrades!$I$2:$I$461,MATCH($A241,InternalTrades!$A$2:$A$461,0)),"")</f>
        <v/>
      </c>
      <c r="P241">
        <f>IFERROR(INDEX(ExchangeConfirms!$I$2:$I$460,MATCH($A241,ExchangeConfirms!$A$2:$A$460,0)),"")</f>
        <v/>
      </c>
      <c r="Q241">
        <f>IF(AND($E241=1,$F241=0),"MISSING IN EXCHANGE",IF(AND($E241=0,$F241=1),"MISSING IN INTERNAL",IF($G241&lt;&gt;$H241,"SIDE BREAK",IF($I241&lt;&gt;$J241,"QTY BREAK",IF(ABS($K241-$L241)&gt;0.005,"PRICE BREAK",IF(ABS($M241-$N241)&gt;0.01,"FEE BREAK","MATCHED"))))))</f>
        <v/>
      </c>
      <c r="R241">
        <f>IF($Q241="MATCHED",0,1)</f>
        <v/>
      </c>
      <c r="S241">
        <f>IF($Q241="MATCHED",0,IF($Q241="MISSING IN EXCHANGE",$O241,IF($Q241="MISSING IN INTERNAL",$P241,ABS(N($O241)-N($P241)))))</f>
        <v/>
      </c>
    </row>
    <row r="242">
      <c r="A242" t="inlineStr">
        <is>
          <t>T100241</t>
        </is>
      </c>
      <c r="B242">
        <f>IFERROR(INDEX(InternalTrades!$D$2:$D$461,MATCH($A242,InternalTrades!$A$2:$A$461,0)),INDEX(ExchangeConfirms!$D$2:$D$460,MATCH($A242,ExchangeConfirms!$A$2:$A$460,0)))</f>
        <v/>
      </c>
      <c r="C242">
        <f>IFERROR(INDEX(InternalTrades!$E$2:$E$461,MATCH($A242,InternalTrades!$A$2:$A$461,0)),INDEX(ExchangeConfirms!$E$2:$E$460,MATCH($A242,ExchangeConfirms!$A$2:$A$460,0)))</f>
        <v/>
      </c>
      <c r="D242">
        <f>IFERROR(INDEX(InternalTrades!$K$2:$K$461,MATCH($A242,InternalTrades!$A$2:$A$461,0)),INDEX(ExchangeConfirms!$K$2:$K$460,MATCH($A242,ExchangeConfirms!$A$2:$A$460,0)))</f>
        <v/>
      </c>
      <c r="E242">
        <f>IF(COUNTIF(InternalTrades!$A$2:$A$461,$A242)&gt;0,1,0)</f>
        <v/>
      </c>
      <c r="F242">
        <f>IF(COUNTIF(ExchangeConfirms!$A$2:$A$460,$A242)&gt;0,1,0)</f>
        <v/>
      </c>
      <c r="G242">
        <f>IFERROR(INDEX(InternalTrades!$F$2:$F$461,MATCH($A242,InternalTrades!$A$2:$A$461,0)),"")</f>
        <v/>
      </c>
      <c r="H242">
        <f>IFERROR(INDEX(ExchangeConfirms!$F$2:$F$460,MATCH($A242,ExchangeConfirms!$A$2:$A$460,0)),"")</f>
        <v/>
      </c>
      <c r="I242">
        <f>IFERROR(INDEX(InternalTrades!$G$2:$G$461,MATCH($A242,InternalTrades!$A$2:$A$461,0)),"")</f>
        <v/>
      </c>
      <c r="J242">
        <f>IFERROR(INDEX(ExchangeConfirms!$G$2:$G$460,MATCH($A242,ExchangeConfirms!$A$2:$A$460,0)),"")</f>
        <v/>
      </c>
      <c r="K242">
        <f>IFERROR(INDEX(InternalTrades!$H$2:$H$461,MATCH($A242,InternalTrades!$A$2:$A$461,0)),"")</f>
        <v/>
      </c>
      <c r="L242">
        <f>IFERROR(INDEX(ExchangeConfirms!$H$2:$H$460,MATCH($A242,ExchangeConfirms!$A$2:$A$460,0)),"")</f>
        <v/>
      </c>
      <c r="M242">
        <f>IFERROR(INDEX(InternalTrades!$J$2:$J$461,MATCH($A242,InternalTrades!$A$2:$A$461,0)),"")</f>
        <v/>
      </c>
      <c r="N242">
        <f>IFERROR(INDEX(ExchangeConfirms!$J$2:$J$460,MATCH($A242,ExchangeConfirms!$A$2:$A$460,0)),"")</f>
        <v/>
      </c>
      <c r="O242">
        <f>IFERROR(INDEX(InternalTrades!$I$2:$I$461,MATCH($A242,InternalTrades!$A$2:$A$461,0)),"")</f>
        <v/>
      </c>
      <c r="P242">
        <f>IFERROR(INDEX(ExchangeConfirms!$I$2:$I$460,MATCH($A242,ExchangeConfirms!$A$2:$A$460,0)),"")</f>
        <v/>
      </c>
      <c r="Q242">
        <f>IF(AND($E242=1,$F242=0),"MISSING IN EXCHANGE",IF(AND($E242=0,$F242=1),"MISSING IN INTERNAL",IF($G242&lt;&gt;$H242,"SIDE BREAK",IF($I242&lt;&gt;$J242,"QTY BREAK",IF(ABS($K242-$L242)&gt;0.005,"PRICE BREAK",IF(ABS($M242-$N242)&gt;0.01,"FEE BREAK","MATCHED"))))))</f>
        <v/>
      </c>
      <c r="R242">
        <f>IF($Q242="MATCHED",0,1)</f>
        <v/>
      </c>
      <c r="S242">
        <f>IF($Q242="MATCHED",0,IF($Q242="MISSING IN EXCHANGE",$O242,IF($Q242="MISSING IN INTERNAL",$P242,ABS(N($O242)-N($P242)))))</f>
        <v/>
      </c>
    </row>
    <row r="243">
      <c r="A243" t="inlineStr">
        <is>
          <t>T100242</t>
        </is>
      </c>
      <c r="B243">
        <f>IFERROR(INDEX(InternalTrades!$D$2:$D$461,MATCH($A243,InternalTrades!$A$2:$A$461,0)),INDEX(ExchangeConfirms!$D$2:$D$460,MATCH($A243,ExchangeConfirms!$A$2:$A$460,0)))</f>
        <v/>
      </c>
      <c r="C243">
        <f>IFERROR(INDEX(InternalTrades!$E$2:$E$461,MATCH($A243,InternalTrades!$A$2:$A$461,0)),INDEX(ExchangeConfirms!$E$2:$E$460,MATCH($A243,ExchangeConfirms!$A$2:$A$460,0)))</f>
        <v/>
      </c>
      <c r="D243">
        <f>IFERROR(INDEX(InternalTrades!$K$2:$K$461,MATCH($A243,InternalTrades!$A$2:$A$461,0)),INDEX(ExchangeConfirms!$K$2:$K$460,MATCH($A243,ExchangeConfirms!$A$2:$A$460,0)))</f>
        <v/>
      </c>
      <c r="E243">
        <f>IF(COUNTIF(InternalTrades!$A$2:$A$461,$A243)&gt;0,1,0)</f>
        <v/>
      </c>
      <c r="F243">
        <f>IF(COUNTIF(ExchangeConfirms!$A$2:$A$460,$A243)&gt;0,1,0)</f>
        <v/>
      </c>
      <c r="G243">
        <f>IFERROR(INDEX(InternalTrades!$F$2:$F$461,MATCH($A243,InternalTrades!$A$2:$A$461,0)),"")</f>
        <v/>
      </c>
      <c r="H243">
        <f>IFERROR(INDEX(ExchangeConfirms!$F$2:$F$460,MATCH($A243,ExchangeConfirms!$A$2:$A$460,0)),"")</f>
        <v/>
      </c>
      <c r="I243">
        <f>IFERROR(INDEX(InternalTrades!$G$2:$G$461,MATCH($A243,InternalTrades!$A$2:$A$461,0)),"")</f>
        <v/>
      </c>
      <c r="J243">
        <f>IFERROR(INDEX(ExchangeConfirms!$G$2:$G$460,MATCH($A243,ExchangeConfirms!$A$2:$A$460,0)),"")</f>
        <v/>
      </c>
      <c r="K243">
        <f>IFERROR(INDEX(InternalTrades!$H$2:$H$461,MATCH($A243,InternalTrades!$A$2:$A$461,0)),"")</f>
        <v/>
      </c>
      <c r="L243">
        <f>IFERROR(INDEX(ExchangeConfirms!$H$2:$H$460,MATCH($A243,ExchangeConfirms!$A$2:$A$460,0)),"")</f>
        <v/>
      </c>
      <c r="M243">
        <f>IFERROR(INDEX(InternalTrades!$J$2:$J$461,MATCH($A243,InternalTrades!$A$2:$A$461,0)),"")</f>
        <v/>
      </c>
      <c r="N243">
        <f>IFERROR(INDEX(ExchangeConfirms!$J$2:$J$460,MATCH($A243,ExchangeConfirms!$A$2:$A$460,0)),"")</f>
        <v/>
      </c>
      <c r="O243">
        <f>IFERROR(INDEX(InternalTrades!$I$2:$I$461,MATCH($A243,InternalTrades!$A$2:$A$461,0)),"")</f>
        <v/>
      </c>
      <c r="P243">
        <f>IFERROR(INDEX(ExchangeConfirms!$I$2:$I$460,MATCH($A243,ExchangeConfirms!$A$2:$A$460,0)),"")</f>
        <v/>
      </c>
      <c r="Q243">
        <f>IF(AND($E243=1,$F243=0),"MISSING IN EXCHANGE",IF(AND($E243=0,$F243=1),"MISSING IN INTERNAL",IF($G243&lt;&gt;$H243,"SIDE BREAK",IF($I243&lt;&gt;$J243,"QTY BREAK",IF(ABS($K243-$L243)&gt;0.005,"PRICE BREAK",IF(ABS($M243-$N243)&gt;0.01,"FEE BREAK","MATCHED"))))))</f>
        <v/>
      </c>
      <c r="R243">
        <f>IF($Q243="MATCHED",0,1)</f>
        <v/>
      </c>
      <c r="S243">
        <f>IF($Q243="MATCHED",0,IF($Q243="MISSING IN EXCHANGE",$O243,IF($Q243="MISSING IN INTERNAL",$P243,ABS(N($O243)-N($P243)))))</f>
        <v/>
      </c>
    </row>
    <row r="244">
      <c r="A244" t="inlineStr">
        <is>
          <t>T100243</t>
        </is>
      </c>
      <c r="B244">
        <f>IFERROR(INDEX(InternalTrades!$D$2:$D$461,MATCH($A244,InternalTrades!$A$2:$A$461,0)),INDEX(ExchangeConfirms!$D$2:$D$460,MATCH($A244,ExchangeConfirms!$A$2:$A$460,0)))</f>
        <v/>
      </c>
      <c r="C244">
        <f>IFERROR(INDEX(InternalTrades!$E$2:$E$461,MATCH($A244,InternalTrades!$A$2:$A$461,0)),INDEX(ExchangeConfirms!$E$2:$E$460,MATCH($A244,ExchangeConfirms!$A$2:$A$460,0)))</f>
        <v/>
      </c>
      <c r="D244">
        <f>IFERROR(INDEX(InternalTrades!$K$2:$K$461,MATCH($A244,InternalTrades!$A$2:$A$461,0)),INDEX(ExchangeConfirms!$K$2:$K$460,MATCH($A244,ExchangeConfirms!$A$2:$A$460,0)))</f>
        <v/>
      </c>
      <c r="E244">
        <f>IF(COUNTIF(InternalTrades!$A$2:$A$461,$A244)&gt;0,1,0)</f>
        <v/>
      </c>
      <c r="F244">
        <f>IF(COUNTIF(ExchangeConfirms!$A$2:$A$460,$A244)&gt;0,1,0)</f>
        <v/>
      </c>
      <c r="G244">
        <f>IFERROR(INDEX(InternalTrades!$F$2:$F$461,MATCH($A244,InternalTrades!$A$2:$A$461,0)),"")</f>
        <v/>
      </c>
      <c r="H244">
        <f>IFERROR(INDEX(ExchangeConfirms!$F$2:$F$460,MATCH($A244,ExchangeConfirms!$A$2:$A$460,0)),"")</f>
        <v/>
      </c>
      <c r="I244">
        <f>IFERROR(INDEX(InternalTrades!$G$2:$G$461,MATCH($A244,InternalTrades!$A$2:$A$461,0)),"")</f>
        <v/>
      </c>
      <c r="J244">
        <f>IFERROR(INDEX(ExchangeConfirms!$G$2:$G$460,MATCH($A244,ExchangeConfirms!$A$2:$A$460,0)),"")</f>
        <v/>
      </c>
      <c r="K244">
        <f>IFERROR(INDEX(InternalTrades!$H$2:$H$461,MATCH($A244,InternalTrades!$A$2:$A$461,0)),"")</f>
        <v/>
      </c>
      <c r="L244">
        <f>IFERROR(INDEX(ExchangeConfirms!$H$2:$H$460,MATCH($A244,ExchangeConfirms!$A$2:$A$460,0)),"")</f>
        <v/>
      </c>
      <c r="M244">
        <f>IFERROR(INDEX(InternalTrades!$J$2:$J$461,MATCH($A244,InternalTrades!$A$2:$A$461,0)),"")</f>
        <v/>
      </c>
      <c r="N244">
        <f>IFERROR(INDEX(ExchangeConfirms!$J$2:$J$460,MATCH($A244,ExchangeConfirms!$A$2:$A$460,0)),"")</f>
        <v/>
      </c>
      <c r="O244">
        <f>IFERROR(INDEX(InternalTrades!$I$2:$I$461,MATCH($A244,InternalTrades!$A$2:$A$461,0)),"")</f>
        <v/>
      </c>
      <c r="P244">
        <f>IFERROR(INDEX(ExchangeConfirms!$I$2:$I$460,MATCH($A244,ExchangeConfirms!$A$2:$A$460,0)),"")</f>
        <v/>
      </c>
      <c r="Q244">
        <f>IF(AND($E244=1,$F244=0),"MISSING IN EXCHANGE",IF(AND($E244=0,$F244=1),"MISSING IN INTERNAL",IF($G244&lt;&gt;$H244,"SIDE BREAK",IF($I244&lt;&gt;$J244,"QTY BREAK",IF(ABS($K244-$L244)&gt;0.005,"PRICE BREAK",IF(ABS($M244-$N244)&gt;0.01,"FEE BREAK","MATCHED"))))))</f>
        <v/>
      </c>
      <c r="R244">
        <f>IF($Q244="MATCHED",0,1)</f>
        <v/>
      </c>
      <c r="S244">
        <f>IF($Q244="MATCHED",0,IF($Q244="MISSING IN EXCHANGE",$O244,IF($Q244="MISSING IN INTERNAL",$P244,ABS(N($O244)-N($P244)))))</f>
        <v/>
      </c>
    </row>
    <row r="245">
      <c r="A245" t="inlineStr">
        <is>
          <t>T100244</t>
        </is>
      </c>
      <c r="B245">
        <f>IFERROR(INDEX(InternalTrades!$D$2:$D$461,MATCH($A245,InternalTrades!$A$2:$A$461,0)),INDEX(ExchangeConfirms!$D$2:$D$460,MATCH($A245,ExchangeConfirms!$A$2:$A$460,0)))</f>
        <v/>
      </c>
      <c r="C245">
        <f>IFERROR(INDEX(InternalTrades!$E$2:$E$461,MATCH($A245,InternalTrades!$A$2:$A$461,0)),INDEX(ExchangeConfirms!$E$2:$E$460,MATCH($A245,ExchangeConfirms!$A$2:$A$460,0)))</f>
        <v/>
      </c>
      <c r="D245">
        <f>IFERROR(INDEX(InternalTrades!$K$2:$K$461,MATCH($A245,InternalTrades!$A$2:$A$461,0)),INDEX(ExchangeConfirms!$K$2:$K$460,MATCH($A245,ExchangeConfirms!$A$2:$A$460,0)))</f>
        <v/>
      </c>
      <c r="E245">
        <f>IF(COUNTIF(InternalTrades!$A$2:$A$461,$A245)&gt;0,1,0)</f>
        <v/>
      </c>
      <c r="F245">
        <f>IF(COUNTIF(ExchangeConfirms!$A$2:$A$460,$A245)&gt;0,1,0)</f>
        <v/>
      </c>
      <c r="G245">
        <f>IFERROR(INDEX(InternalTrades!$F$2:$F$461,MATCH($A245,InternalTrades!$A$2:$A$461,0)),"")</f>
        <v/>
      </c>
      <c r="H245">
        <f>IFERROR(INDEX(ExchangeConfirms!$F$2:$F$460,MATCH($A245,ExchangeConfirms!$A$2:$A$460,0)),"")</f>
        <v/>
      </c>
      <c r="I245">
        <f>IFERROR(INDEX(InternalTrades!$G$2:$G$461,MATCH($A245,InternalTrades!$A$2:$A$461,0)),"")</f>
        <v/>
      </c>
      <c r="J245">
        <f>IFERROR(INDEX(ExchangeConfirms!$G$2:$G$460,MATCH($A245,ExchangeConfirms!$A$2:$A$460,0)),"")</f>
        <v/>
      </c>
      <c r="K245">
        <f>IFERROR(INDEX(InternalTrades!$H$2:$H$461,MATCH($A245,InternalTrades!$A$2:$A$461,0)),"")</f>
        <v/>
      </c>
      <c r="L245">
        <f>IFERROR(INDEX(ExchangeConfirms!$H$2:$H$460,MATCH($A245,ExchangeConfirms!$A$2:$A$460,0)),"")</f>
        <v/>
      </c>
      <c r="M245">
        <f>IFERROR(INDEX(InternalTrades!$J$2:$J$461,MATCH($A245,InternalTrades!$A$2:$A$461,0)),"")</f>
        <v/>
      </c>
      <c r="N245">
        <f>IFERROR(INDEX(ExchangeConfirms!$J$2:$J$460,MATCH($A245,ExchangeConfirms!$A$2:$A$460,0)),"")</f>
        <v/>
      </c>
      <c r="O245">
        <f>IFERROR(INDEX(InternalTrades!$I$2:$I$461,MATCH($A245,InternalTrades!$A$2:$A$461,0)),"")</f>
        <v/>
      </c>
      <c r="P245">
        <f>IFERROR(INDEX(ExchangeConfirms!$I$2:$I$460,MATCH($A245,ExchangeConfirms!$A$2:$A$460,0)),"")</f>
        <v/>
      </c>
      <c r="Q245">
        <f>IF(AND($E245=1,$F245=0),"MISSING IN EXCHANGE",IF(AND($E245=0,$F245=1),"MISSING IN INTERNAL",IF($G245&lt;&gt;$H245,"SIDE BREAK",IF($I245&lt;&gt;$J245,"QTY BREAK",IF(ABS($K245-$L245)&gt;0.005,"PRICE BREAK",IF(ABS($M245-$N245)&gt;0.01,"FEE BREAK","MATCHED"))))))</f>
        <v/>
      </c>
      <c r="R245">
        <f>IF($Q245="MATCHED",0,1)</f>
        <v/>
      </c>
      <c r="S245">
        <f>IF($Q245="MATCHED",0,IF($Q245="MISSING IN EXCHANGE",$O245,IF($Q245="MISSING IN INTERNAL",$P245,ABS(N($O245)-N($P245)))))</f>
        <v/>
      </c>
    </row>
    <row r="246">
      <c r="A246" t="inlineStr">
        <is>
          <t>T100245</t>
        </is>
      </c>
      <c r="B246">
        <f>IFERROR(INDEX(InternalTrades!$D$2:$D$461,MATCH($A246,InternalTrades!$A$2:$A$461,0)),INDEX(ExchangeConfirms!$D$2:$D$460,MATCH($A246,ExchangeConfirms!$A$2:$A$460,0)))</f>
        <v/>
      </c>
      <c r="C246">
        <f>IFERROR(INDEX(InternalTrades!$E$2:$E$461,MATCH($A246,InternalTrades!$A$2:$A$461,0)),INDEX(ExchangeConfirms!$E$2:$E$460,MATCH($A246,ExchangeConfirms!$A$2:$A$460,0)))</f>
        <v/>
      </c>
      <c r="D246">
        <f>IFERROR(INDEX(InternalTrades!$K$2:$K$461,MATCH($A246,InternalTrades!$A$2:$A$461,0)),INDEX(ExchangeConfirms!$K$2:$K$460,MATCH($A246,ExchangeConfirms!$A$2:$A$460,0)))</f>
        <v/>
      </c>
      <c r="E246">
        <f>IF(COUNTIF(InternalTrades!$A$2:$A$461,$A246)&gt;0,1,0)</f>
        <v/>
      </c>
      <c r="F246">
        <f>IF(COUNTIF(ExchangeConfirms!$A$2:$A$460,$A246)&gt;0,1,0)</f>
        <v/>
      </c>
      <c r="G246">
        <f>IFERROR(INDEX(InternalTrades!$F$2:$F$461,MATCH($A246,InternalTrades!$A$2:$A$461,0)),"")</f>
        <v/>
      </c>
      <c r="H246">
        <f>IFERROR(INDEX(ExchangeConfirms!$F$2:$F$460,MATCH($A246,ExchangeConfirms!$A$2:$A$460,0)),"")</f>
        <v/>
      </c>
      <c r="I246">
        <f>IFERROR(INDEX(InternalTrades!$G$2:$G$461,MATCH($A246,InternalTrades!$A$2:$A$461,0)),"")</f>
        <v/>
      </c>
      <c r="J246">
        <f>IFERROR(INDEX(ExchangeConfirms!$G$2:$G$460,MATCH($A246,ExchangeConfirms!$A$2:$A$460,0)),"")</f>
        <v/>
      </c>
      <c r="K246">
        <f>IFERROR(INDEX(InternalTrades!$H$2:$H$461,MATCH($A246,InternalTrades!$A$2:$A$461,0)),"")</f>
        <v/>
      </c>
      <c r="L246">
        <f>IFERROR(INDEX(ExchangeConfirms!$H$2:$H$460,MATCH($A246,ExchangeConfirms!$A$2:$A$460,0)),"")</f>
        <v/>
      </c>
      <c r="M246">
        <f>IFERROR(INDEX(InternalTrades!$J$2:$J$461,MATCH($A246,InternalTrades!$A$2:$A$461,0)),"")</f>
        <v/>
      </c>
      <c r="N246">
        <f>IFERROR(INDEX(ExchangeConfirms!$J$2:$J$460,MATCH($A246,ExchangeConfirms!$A$2:$A$460,0)),"")</f>
        <v/>
      </c>
      <c r="O246">
        <f>IFERROR(INDEX(InternalTrades!$I$2:$I$461,MATCH($A246,InternalTrades!$A$2:$A$461,0)),"")</f>
        <v/>
      </c>
      <c r="P246">
        <f>IFERROR(INDEX(ExchangeConfirms!$I$2:$I$460,MATCH($A246,ExchangeConfirms!$A$2:$A$460,0)),"")</f>
        <v/>
      </c>
      <c r="Q246">
        <f>IF(AND($E246=1,$F246=0),"MISSING IN EXCHANGE",IF(AND($E246=0,$F246=1),"MISSING IN INTERNAL",IF($G246&lt;&gt;$H246,"SIDE BREAK",IF($I246&lt;&gt;$J246,"QTY BREAK",IF(ABS($K246-$L246)&gt;0.005,"PRICE BREAK",IF(ABS($M246-$N246)&gt;0.01,"FEE BREAK","MATCHED"))))))</f>
        <v/>
      </c>
      <c r="R246">
        <f>IF($Q246="MATCHED",0,1)</f>
        <v/>
      </c>
      <c r="S246">
        <f>IF($Q246="MATCHED",0,IF($Q246="MISSING IN EXCHANGE",$O246,IF($Q246="MISSING IN INTERNAL",$P246,ABS(N($O246)-N($P246)))))</f>
        <v/>
      </c>
    </row>
    <row r="247">
      <c r="A247" t="inlineStr">
        <is>
          <t>T100246</t>
        </is>
      </c>
      <c r="B247">
        <f>IFERROR(INDEX(InternalTrades!$D$2:$D$461,MATCH($A247,InternalTrades!$A$2:$A$461,0)),INDEX(ExchangeConfirms!$D$2:$D$460,MATCH($A247,ExchangeConfirms!$A$2:$A$460,0)))</f>
        <v/>
      </c>
      <c r="C247">
        <f>IFERROR(INDEX(InternalTrades!$E$2:$E$461,MATCH($A247,InternalTrades!$A$2:$A$461,0)),INDEX(ExchangeConfirms!$E$2:$E$460,MATCH($A247,ExchangeConfirms!$A$2:$A$460,0)))</f>
        <v/>
      </c>
      <c r="D247">
        <f>IFERROR(INDEX(InternalTrades!$K$2:$K$461,MATCH($A247,InternalTrades!$A$2:$A$461,0)),INDEX(ExchangeConfirms!$K$2:$K$460,MATCH($A247,ExchangeConfirms!$A$2:$A$460,0)))</f>
        <v/>
      </c>
      <c r="E247">
        <f>IF(COUNTIF(InternalTrades!$A$2:$A$461,$A247)&gt;0,1,0)</f>
        <v/>
      </c>
      <c r="F247">
        <f>IF(COUNTIF(ExchangeConfirms!$A$2:$A$460,$A247)&gt;0,1,0)</f>
        <v/>
      </c>
      <c r="G247">
        <f>IFERROR(INDEX(InternalTrades!$F$2:$F$461,MATCH($A247,InternalTrades!$A$2:$A$461,0)),"")</f>
        <v/>
      </c>
      <c r="H247">
        <f>IFERROR(INDEX(ExchangeConfirms!$F$2:$F$460,MATCH($A247,ExchangeConfirms!$A$2:$A$460,0)),"")</f>
        <v/>
      </c>
      <c r="I247">
        <f>IFERROR(INDEX(InternalTrades!$G$2:$G$461,MATCH($A247,InternalTrades!$A$2:$A$461,0)),"")</f>
        <v/>
      </c>
      <c r="J247">
        <f>IFERROR(INDEX(ExchangeConfirms!$G$2:$G$460,MATCH($A247,ExchangeConfirms!$A$2:$A$460,0)),"")</f>
        <v/>
      </c>
      <c r="K247">
        <f>IFERROR(INDEX(InternalTrades!$H$2:$H$461,MATCH($A247,InternalTrades!$A$2:$A$461,0)),"")</f>
        <v/>
      </c>
      <c r="L247">
        <f>IFERROR(INDEX(ExchangeConfirms!$H$2:$H$460,MATCH($A247,ExchangeConfirms!$A$2:$A$460,0)),"")</f>
        <v/>
      </c>
      <c r="M247">
        <f>IFERROR(INDEX(InternalTrades!$J$2:$J$461,MATCH($A247,InternalTrades!$A$2:$A$461,0)),"")</f>
        <v/>
      </c>
      <c r="N247">
        <f>IFERROR(INDEX(ExchangeConfirms!$J$2:$J$460,MATCH($A247,ExchangeConfirms!$A$2:$A$460,0)),"")</f>
        <v/>
      </c>
      <c r="O247">
        <f>IFERROR(INDEX(InternalTrades!$I$2:$I$461,MATCH($A247,InternalTrades!$A$2:$A$461,0)),"")</f>
        <v/>
      </c>
      <c r="P247">
        <f>IFERROR(INDEX(ExchangeConfirms!$I$2:$I$460,MATCH($A247,ExchangeConfirms!$A$2:$A$460,0)),"")</f>
        <v/>
      </c>
      <c r="Q247">
        <f>IF(AND($E247=1,$F247=0),"MISSING IN EXCHANGE",IF(AND($E247=0,$F247=1),"MISSING IN INTERNAL",IF($G247&lt;&gt;$H247,"SIDE BREAK",IF($I247&lt;&gt;$J247,"QTY BREAK",IF(ABS($K247-$L247)&gt;0.005,"PRICE BREAK",IF(ABS($M247-$N247)&gt;0.01,"FEE BREAK","MATCHED"))))))</f>
        <v/>
      </c>
      <c r="R247">
        <f>IF($Q247="MATCHED",0,1)</f>
        <v/>
      </c>
      <c r="S247">
        <f>IF($Q247="MATCHED",0,IF($Q247="MISSING IN EXCHANGE",$O247,IF($Q247="MISSING IN INTERNAL",$P247,ABS(N($O247)-N($P247)))))</f>
        <v/>
      </c>
    </row>
    <row r="248">
      <c r="A248" t="inlineStr">
        <is>
          <t>T100247</t>
        </is>
      </c>
      <c r="B248">
        <f>IFERROR(INDEX(InternalTrades!$D$2:$D$461,MATCH($A248,InternalTrades!$A$2:$A$461,0)),INDEX(ExchangeConfirms!$D$2:$D$460,MATCH($A248,ExchangeConfirms!$A$2:$A$460,0)))</f>
        <v/>
      </c>
      <c r="C248">
        <f>IFERROR(INDEX(InternalTrades!$E$2:$E$461,MATCH($A248,InternalTrades!$A$2:$A$461,0)),INDEX(ExchangeConfirms!$E$2:$E$460,MATCH($A248,ExchangeConfirms!$A$2:$A$460,0)))</f>
        <v/>
      </c>
      <c r="D248">
        <f>IFERROR(INDEX(InternalTrades!$K$2:$K$461,MATCH($A248,InternalTrades!$A$2:$A$461,0)),INDEX(ExchangeConfirms!$K$2:$K$460,MATCH($A248,ExchangeConfirms!$A$2:$A$460,0)))</f>
        <v/>
      </c>
      <c r="E248">
        <f>IF(COUNTIF(InternalTrades!$A$2:$A$461,$A248)&gt;0,1,0)</f>
        <v/>
      </c>
      <c r="F248">
        <f>IF(COUNTIF(ExchangeConfirms!$A$2:$A$460,$A248)&gt;0,1,0)</f>
        <v/>
      </c>
      <c r="G248">
        <f>IFERROR(INDEX(InternalTrades!$F$2:$F$461,MATCH($A248,InternalTrades!$A$2:$A$461,0)),"")</f>
        <v/>
      </c>
      <c r="H248">
        <f>IFERROR(INDEX(ExchangeConfirms!$F$2:$F$460,MATCH($A248,ExchangeConfirms!$A$2:$A$460,0)),"")</f>
        <v/>
      </c>
      <c r="I248">
        <f>IFERROR(INDEX(InternalTrades!$G$2:$G$461,MATCH($A248,InternalTrades!$A$2:$A$461,0)),"")</f>
        <v/>
      </c>
      <c r="J248">
        <f>IFERROR(INDEX(ExchangeConfirms!$G$2:$G$460,MATCH($A248,ExchangeConfirms!$A$2:$A$460,0)),"")</f>
        <v/>
      </c>
      <c r="K248">
        <f>IFERROR(INDEX(InternalTrades!$H$2:$H$461,MATCH($A248,InternalTrades!$A$2:$A$461,0)),"")</f>
        <v/>
      </c>
      <c r="L248">
        <f>IFERROR(INDEX(ExchangeConfirms!$H$2:$H$460,MATCH($A248,ExchangeConfirms!$A$2:$A$460,0)),"")</f>
        <v/>
      </c>
      <c r="M248">
        <f>IFERROR(INDEX(InternalTrades!$J$2:$J$461,MATCH($A248,InternalTrades!$A$2:$A$461,0)),"")</f>
        <v/>
      </c>
      <c r="N248">
        <f>IFERROR(INDEX(ExchangeConfirms!$J$2:$J$460,MATCH($A248,ExchangeConfirms!$A$2:$A$460,0)),"")</f>
        <v/>
      </c>
      <c r="O248">
        <f>IFERROR(INDEX(InternalTrades!$I$2:$I$461,MATCH($A248,InternalTrades!$A$2:$A$461,0)),"")</f>
        <v/>
      </c>
      <c r="P248">
        <f>IFERROR(INDEX(ExchangeConfirms!$I$2:$I$460,MATCH($A248,ExchangeConfirms!$A$2:$A$460,0)),"")</f>
        <v/>
      </c>
      <c r="Q248">
        <f>IF(AND($E248=1,$F248=0),"MISSING IN EXCHANGE",IF(AND($E248=0,$F248=1),"MISSING IN INTERNAL",IF($G248&lt;&gt;$H248,"SIDE BREAK",IF($I248&lt;&gt;$J248,"QTY BREAK",IF(ABS($K248-$L248)&gt;0.005,"PRICE BREAK",IF(ABS($M248-$N248)&gt;0.01,"FEE BREAK","MATCHED"))))))</f>
        <v/>
      </c>
      <c r="R248">
        <f>IF($Q248="MATCHED",0,1)</f>
        <v/>
      </c>
      <c r="S248">
        <f>IF($Q248="MATCHED",0,IF($Q248="MISSING IN EXCHANGE",$O248,IF($Q248="MISSING IN INTERNAL",$P248,ABS(N($O248)-N($P248)))))</f>
        <v/>
      </c>
    </row>
    <row r="249">
      <c r="A249" t="inlineStr">
        <is>
          <t>T100248</t>
        </is>
      </c>
      <c r="B249">
        <f>IFERROR(INDEX(InternalTrades!$D$2:$D$461,MATCH($A249,InternalTrades!$A$2:$A$461,0)),INDEX(ExchangeConfirms!$D$2:$D$460,MATCH($A249,ExchangeConfirms!$A$2:$A$460,0)))</f>
        <v/>
      </c>
      <c r="C249">
        <f>IFERROR(INDEX(InternalTrades!$E$2:$E$461,MATCH($A249,InternalTrades!$A$2:$A$461,0)),INDEX(ExchangeConfirms!$E$2:$E$460,MATCH($A249,ExchangeConfirms!$A$2:$A$460,0)))</f>
        <v/>
      </c>
      <c r="D249">
        <f>IFERROR(INDEX(InternalTrades!$K$2:$K$461,MATCH($A249,InternalTrades!$A$2:$A$461,0)),INDEX(ExchangeConfirms!$K$2:$K$460,MATCH($A249,ExchangeConfirms!$A$2:$A$460,0)))</f>
        <v/>
      </c>
      <c r="E249">
        <f>IF(COUNTIF(InternalTrades!$A$2:$A$461,$A249)&gt;0,1,0)</f>
        <v/>
      </c>
      <c r="F249">
        <f>IF(COUNTIF(ExchangeConfirms!$A$2:$A$460,$A249)&gt;0,1,0)</f>
        <v/>
      </c>
      <c r="G249">
        <f>IFERROR(INDEX(InternalTrades!$F$2:$F$461,MATCH($A249,InternalTrades!$A$2:$A$461,0)),"")</f>
        <v/>
      </c>
      <c r="H249">
        <f>IFERROR(INDEX(ExchangeConfirms!$F$2:$F$460,MATCH($A249,ExchangeConfirms!$A$2:$A$460,0)),"")</f>
        <v/>
      </c>
      <c r="I249">
        <f>IFERROR(INDEX(InternalTrades!$G$2:$G$461,MATCH($A249,InternalTrades!$A$2:$A$461,0)),"")</f>
        <v/>
      </c>
      <c r="J249">
        <f>IFERROR(INDEX(ExchangeConfirms!$G$2:$G$460,MATCH($A249,ExchangeConfirms!$A$2:$A$460,0)),"")</f>
        <v/>
      </c>
      <c r="K249">
        <f>IFERROR(INDEX(InternalTrades!$H$2:$H$461,MATCH($A249,InternalTrades!$A$2:$A$461,0)),"")</f>
        <v/>
      </c>
      <c r="L249">
        <f>IFERROR(INDEX(ExchangeConfirms!$H$2:$H$460,MATCH($A249,ExchangeConfirms!$A$2:$A$460,0)),"")</f>
        <v/>
      </c>
      <c r="M249">
        <f>IFERROR(INDEX(InternalTrades!$J$2:$J$461,MATCH($A249,InternalTrades!$A$2:$A$461,0)),"")</f>
        <v/>
      </c>
      <c r="N249">
        <f>IFERROR(INDEX(ExchangeConfirms!$J$2:$J$460,MATCH($A249,ExchangeConfirms!$A$2:$A$460,0)),"")</f>
        <v/>
      </c>
      <c r="O249">
        <f>IFERROR(INDEX(InternalTrades!$I$2:$I$461,MATCH($A249,InternalTrades!$A$2:$A$461,0)),"")</f>
        <v/>
      </c>
      <c r="P249">
        <f>IFERROR(INDEX(ExchangeConfirms!$I$2:$I$460,MATCH($A249,ExchangeConfirms!$A$2:$A$460,0)),"")</f>
        <v/>
      </c>
      <c r="Q249">
        <f>IF(AND($E249=1,$F249=0),"MISSING IN EXCHANGE",IF(AND($E249=0,$F249=1),"MISSING IN INTERNAL",IF($G249&lt;&gt;$H249,"SIDE BREAK",IF($I249&lt;&gt;$J249,"QTY BREAK",IF(ABS($K249-$L249)&gt;0.005,"PRICE BREAK",IF(ABS($M249-$N249)&gt;0.01,"FEE BREAK","MATCHED"))))))</f>
        <v/>
      </c>
      <c r="R249">
        <f>IF($Q249="MATCHED",0,1)</f>
        <v/>
      </c>
      <c r="S249">
        <f>IF($Q249="MATCHED",0,IF($Q249="MISSING IN EXCHANGE",$O249,IF($Q249="MISSING IN INTERNAL",$P249,ABS(N($O249)-N($P249)))))</f>
        <v/>
      </c>
    </row>
    <row r="250">
      <c r="A250" t="inlineStr">
        <is>
          <t>T100249</t>
        </is>
      </c>
      <c r="B250">
        <f>IFERROR(INDEX(InternalTrades!$D$2:$D$461,MATCH($A250,InternalTrades!$A$2:$A$461,0)),INDEX(ExchangeConfirms!$D$2:$D$460,MATCH($A250,ExchangeConfirms!$A$2:$A$460,0)))</f>
        <v/>
      </c>
      <c r="C250">
        <f>IFERROR(INDEX(InternalTrades!$E$2:$E$461,MATCH($A250,InternalTrades!$A$2:$A$461,0)),INDEX(ExchangeConfirms!$E$2:$E$460,MATCH($A250,ExchangeConfirms!$A$2:$A$460,0)))</f>
        <v/>
      </c>
      <c r="D250">
        <f>IFERROR(INDEX(InternalTrades!$K$2:$K$461,MATCH($A250,InternalTrades!$A$2:$A$461,0)),INDEX(ExchangeConfirms!$K$2:$K$460,MATCH($A250,ExchangeConfirms!$A$2:$A$460,0)))</f>
        <v/>
      </c>
      <c r="E250">
        <f>IF(COUNTIF(InternalTrades!$A$2:$A$461,$A250)&gt;0,1,0)</f>
        <v/>
      </c>
      <c r="F250">
        <f>IF(COUNTIF(ExchangeConfirms!$A$2:$A$460,$A250)&gt;0,1,0)</f>
        <v/>
      </c>
      <c r="G250">
        <f>IFERROR(INDEX(InternalTrades!$F$2:$F$461,MATCH($A250,InternalTrades!$A$2:$A$461,0)),"")</f>
        <v/>
      </c>
      <c r="H250">
        <f>IFERROR(INDEX(ExchangeConfirms!$F$2:$F$460,MATCH($A250,ExchangeConfirms!$A$2:$A$460,0)),"")</f>
        <v/>
      </c>
      <c r="I250">
        <f>IFERROR(INDEX(InternalTrades!$G$2:$G$461,MATCH($A250,InternalTrades!$A$2:$A$461,0)),"")</f>
        <v/>
      </c>
      <c r="J250">
        <f>IFERROR(INDEX(ExchangeConfirms!$G$2:$G$460,MATCH($A250,ExchangeConfirms!$A$2:$A$460,0)),"")</f>
        <v/>
      </c>
      <c r="K250">
        <f>IFERROR(INDEX(InternalTrades!$H$2:$H$461,MATCH($A250,InternalTrades!$A$2:$A$461,0)),"")</f>
        <v/>
      </c>
      <c r="L250">
        <f>IFERROR(INDEX(ExchangeConfirms!$H$2:$H$460,MATCH($A250,ExchangeConfirms!$A$2:$A$460,0)),"")</f>
        <v/>
      </c>
      <c r="M250">
        <f>IFERROR(INDEX(InternalTrades!$J$2:$J$461,MATCH($A250,InternalTrades!$A$2:$A$461,0)),"")</f>
        <v/>
      </c>
      <c r="N250">
        <f>IFERROR(INDEX(ExchangeConfirms!$J$2:$J$460,MATCH($A250,ExchangeConfirms!$A$2:$A$460,0)),"")</f>
        <v/>
      </c>
      <c r="O250">
        <f>IFERROR(INDEX(InternalTrades!$I$2:$I$461,MATCH($A250,InternalTrades!$A$2:$A$461,0)),"")</f>
        <v/>
      </c>
      <c r="P250">
        <f>IFERROR(INDEX(ExchangeConfirms!$I$2:$I$460,MATCH($A250,ExchangeConfirms!$A$2:$A$460,0)),"")</f>
        <v/>
      </c>
      <c r="Q250">
        <f>IF(AND($E250=1,$F250=0),"MISSING IN EXCHANGE",IF(AND($E250=0,$F250=1),"MISSING IN INTERNAL",IF($G250&lt;&gt;$H250,"SIDE BREAK",IF($I250&lt;&gt;$J250,"QTY BREAK",IF(ABS($K250-$L250)&gt;0.005,"PRICE BREAK",IF(ABS($M250-$N250)&gt;0.01,"FEE BREAK","MATCHED"))))))</f>
        <v/>
      </c>
      <c r="R250">
        <f>IF($Q250="MATCHED",0,1)</f>
        <v/>
      </c>
      <c r="S250">
        <f>IF($Q250="MATCHED",0,IF($Q250="MISSING IN EXCHANGE",$O250,IF($Q250="MISSING IN INTERNAL",$P250,ABS(N($O250)-N($P250)))))</f>
        <v/>
      </c>
    </row>
    <row r="251">
      <c r="A251" t="inlineStr">
        <is>
          <t>T100250</t>
        </is>
      </c>
      <c r="B251">
        <f>IFERROR(INDEX(InternalTrades!$D$2:$D$461,MATCH($A251,InternalTrades!$A$2:$A$461,0)),INDEX(ExchangeConfirms!$D$2:$D$460,MATCH($A251,ExchangeConfirms!$A$2:$A$460,0)))</f>
        <v/>
      </c>
      <c r="C251">
        <f>IFERROR(INDEX(InternalTrades!$E$2:$E$461,MATCH($A251,InternalTrades!$A$2:$A$461,0)),INDEX(ExchangeConfirms!$E$2:$E$460,MATCH($A251,ExchangeConfirms!$A$2:$A$460,0)))</f>
        <v/>
      </c>
      <c r="D251">
        <f>IFERROR(INDEX(InternalTrades!$K$2:$K$461,MATCH($A251,InternalTrades!$A$2:$A$461,0)),INDEX(ExchangeConfirms!$K$2:$K$460,MATCH($A251,ExchangeConfirms!$A$2:$A$460,0)))</f>
        <v/>
      </c>
      <c r="E251">
        <f>IF(COUNTIF(InternalTrades!$A$2:$A$461,$A251)&gt;0,1,0)</f>
        <v/>
      </c>
      <c r="F251">
        <f>IF(COUNTIF(ExchangeConfirms!$A$2:$A$460,$A251)&gt;0,1,0)</f>
        <v/>
      </c>
      <c r="G251">
        <f>IFERROR(INDEX(InternalTrades!$F$2:$F$461,MATCH($A251,InternalTrades!$A$2:$A$461,0)),"")</f>
        <v/>
      </c>
      <c r="H251">
        <f>IFERROR(INDEX(ExchangeConfirms!$F$2:$F$460,MATCH($A251,ExchangeConfirms!$A$2:$A$460,0)),"")</f>
        <v/>
      </c>
      <c r="I251">
        <f>IFERROR(INDEX(InternalTrades!$G$2:$G$461,MATCH($A251,InternalTrades!$A$2:$A$461,0)),"")</f>
        <v/>
      </c>
      <c r="J251">
        <f>IFERROR(INDEX(ExchangeConfirms!$G$2:$G$460,MATCH($A251,ExchangeConfirms!$A$2:$A$460,0)),"")</f>
        <v/>
      </c>
      <c r="K251">
        <f>IFERROR(INDEX(InternalTrades!$H$2:$H$461,MATCH($A251,InternalTrades!$A$2:$A$461,0)),"")</f>
        <v/>
      </c>
      <c r="L251">
        <f>IFERROR(INDEX(ExchangeConfirms!$H$2:$H$460,MATCH($A251,ExchangeConfirms!$A$2:$A$460,0)),"")</f>
        <v/>
      </c>
      <c r="M251">
        <f>IFERROR(INDEX(InternalTrades!$J$2:$J$461,MATCH($A251,InternalTrades!$A$2:$A$461,0)),"")</f>
        <v/>
      </c>
      <c r="N251">
        <f>IFERROR(INDEX(ExchangeConfirms!$J$2:$J$460,MATCH($A251,ExchangeConfirms!$A$2:$A$460,0)),"")</f>
        <v/>
      </c>
      <c r="O251">
        <f>IFERROR(INDEX(InternalTrades!$I$2:$I$461,MATCH($A251,InternalTrades!$A$2:$A$461,0)),"")</f>
        <v/>
      </c>
      <c r="P251">
        <f>IFERROR(INDEX(ExchangeConfirms!$I$2:$I$460,MATCH($A251,ExchangeConfirms!$A$2:$A$460,0)),"")</f>
        <v/>
      </c>
      <c r="Q251">
        <f>IF(AND($E251=1,$F251=0),"MISSING IN EXCHANGE",IF(AND($E251=0,$F251=1),"MISSING IN INTERNAL",IF($G251&lt;&gt;$H251,"SIDE BREAK",IF($I251&lt;&gt;$J251,"QTY BREAK",IF(ABS($K251-$L251)&gt;0.005,"PRICE BREAK",IF(ABS($M251-$N251)&gt;0.01,"FEE BREAK","MATCHED"))))))</f>
        <v/>
      </c>
      <c r="R251">
        <f>IF($Q251="MATCHED",0,1)</f>
        <v/>
      </c>
      <c r="S251">
        <f>IF($Q251="MATCHED",0,IF($Q251="MISSING IN EXCHANGE",$O251,IF($Q251="MISSING IN INTERNAL",$P251,ABS(N($O251)-N($P251)))))</f>
        <v/>
      </c>
    </row>
    <row r="252">
      <c r="A252" t="inlineStr">
        <is>
          <t>T100251</t>
        </is>
      </c>
      <c r="B252">
        <f>IFERROR(INDEX(InternalTrades!$D$2:$D$461,MATCH($A252,InternalTrades!$A$2:$A$461,0)),INDEX(ExchangeConfirms!$D$2:$D$460,MATCH($A252,ExchangeConfirms!$A$2:$A$460,0)))</f>
        <v/>
      </c>
      <c r="C252">
        <f>IFERROR(INDEX(InternalTrades!$E$2:$E$461,MATCH($A252,InternalTrades!$A$2:$A$461,0)),INDEX(ExchangeConfirms!$E$2:$E$460,MATCH($A252,ExchangeConfirms!$A$2:$A$460,0)))</f>
        <v/>
      </c>
      <c r="D252">
        <f>IFERROR(INDEX(InternalTrades!$K$2:$K$461,MATCH($A252,InternalTrades!$A$2:$A$461,0)),INDEX(ExchangeConfirms!$K$2:$K$460,MATCH($A252,ExchangeConfirms!$A$2:$A$460,0)))</f>
        <v/>
      </c>
      <c r="E252">
        <f>IF(COUNTIF(InternalTrades!$A$2:$A$461,$A252)&gt;0,1,0)</f>
        <v/>
      </c>
      <c r="F252">
        <f>IF(COUNTIF(ExchangeConfirms!$A$2:$A$460,$A252)&gt;0,1,0)</f>
        <v/>
      </c>
      <c r="G252">
        <f>IFERROR(INDEX(InternalTrades!$F$2:$F$461,MATCH($A252,InternalTrades!$A$2:$A$461,0)),"")</f>
        <v/>
      </c>
      <c r="H252">
        <f>IFERROR(INDEX(ExchangeConfirms!$F$2:$F$460,MATCH($A252,ExchangeConfirms!$A$2:$A$460,0)),"")</f>
        <v/>
      </c>
      <c r="I252">
        <f>IFERROR(INDEX(InternalTrades!$G$2:$G$461,MATCH($A252,InternalTrades!$A$2:$A$461,0)),"")</f>
        <v/>
      </c>
      <c r="J252">
        <f>IFERROR(INDEX(ExchangeConfirms!$G$2:$G$460,MATCH($A252,ExchangeConfirms!$A$2:$A$460,0)),"")</f>
        <v/>
      </c>
      <c r="K252">
        <f>IFERROR(INDEX(InternalTrades!$H$2:$H$461,MATCH($A252,InternalTrades!$A$2:$A$461,0)),"")</f>
        <v/>
      </c>
      <c r="L252">
        <f>IFERROR(INDEX(ExchangeConfirms!$H$2:$H$460,MATCH($A252,ExchangeConfirms!$A$2:$A$460,0)),"")</f>
        <v/>
      </c>
      <c r="M252">
        <f>IFERROR(INDEX(InternalTrades!$J$2:$J$461,MATCH($A252,InternalTrades!$A$2:$A$461,0)),"")</f>
        <v/>
      </c>
      <c r="N252">
        <f>IFERROR(INDEX(ExchangeConfirms!$J$2:$J$460,MATCH($A252,ExchangeConfirms!$A$2:$A$460,0)),"")</f>
        <v/>
      </c>
      <c r="O252">
        <f>IFERROR(INDEX(InternalTrades!$I$2:$I$461,MATCH($A252,InternalTrades!$A$2:$A$461,0)),"")</f>
        <v/>
      </c>
      <c r="P252">
        <f>IFERROR(INDEX(ExchangeConfirms!$I$2:$I$460,MATCH($A252,ExchangeConfirms!$A$2:$A$460,0)),"")</f>
        <v/>
      </c>
      <c r="Q252">
        <f>IF(AND($E252=1,$F252=0),"MISSING IN EXCHANGE",IF(AND($E252=0,$F252=1),"MISSING IN INTERNAL",IF($G252&lt;&gt;$H252,"SIDE BREAK",IF($I252&lt;&gt;$J252,"QTY BREAK",IF(ABS($K252-$L252)&gt;0.005,"PRICE BREAK",IF(ABS($M252-$N252)&gt;0.01,"FEE BREAK","MATCHED"))))))</f>
        <v/>
      </c>
      <c r="R252">
        <f>IF($Q252="MATCHED",0,1)</f>
        <v/>
      </c>
      <c r="S252">
        <f>IF($Q252="MATCHED",0,IF($Q252="MISSING IN EXCHANGE",$O252,IF($Q252="MISSING IN INTERNAL",$P252,ABS(N($O252)-N($P252)))))</f>
        <v/>
      </c>
    </row>
    <row r="253">
      <c r="A253" t="inlineStr">
        <is>
          <t>T100252</t>
        </is>
      </c>
      <c r="B253">
        <f>IFERROR(INDEX(InternalTrades!$D$2:$D$461,MATCH($A253,InternalTrades!$A$2:$A$461,0)),INDEX(ExchangeConfirms!$D$2:$D$460,MATCH($A253,ExchangeConfirms!$A$2:$A$460,0)))</f>
        <v/>
      </c>
      <c r="C253">
        <f>IFERROR(INDEX(InternalTrades!$E$2:$E$461,MATCH($A253,InternalTrades!$A$2:$A$461,0)),INDEX(ExchangeConfirms!$E$2:$E$460,MATCH($A253,ExchangeConfirms!$A$2:$A$460,0)))</f>
        <v/>
      </c>
      <c r="D253">
        <f>IFERROR(INDEX(InternalTrades!$K$2:$K$461,MATCH($A253,InternalTrades!$A$2:$A$461,0)),INDEX(ExchangeConfirms!$K$2:$K$460,MATCH($A253,ExchangeConfirms!$A$2:$A$460,0)))</f>
        <v/>
      </c>
      <c r="E253">
        <f>IF(COUNTIF(InternalTrades!$A$2:$A$461,$A253)&gt;0,1,0)</f>
        <v/>
      </c>
      <c r="F253">
        <f>IF(COUNTIF(ExchangeConfirms!$A$2:$A$460,$A253)&gt;0,1,0)</f>
        <v/>
      </c>
      <c r="G253">
        <f>IFERROR(INDEX(InternalTrades!$F$2:$F$461,MATCH($A253,InternalTrades!$A$2:$A$461,0)),"")</f>
        <v/>
      </c>
      <c r="H253">
        <f>IFERROR(INDEX(ExchangeConfirms!$F$2:$F$460,MATCH($A253,ExchangeConfirms!$A$2:$A$460,0)),"")</f>
        <v/>
      </c>
      <c r="I253">
        <f>IFERROR(INDEX(InternalTrades!$G$2:$G$461,MATCH($A253,InternalTrades!$A$2:$A$461,0)),"")</f>
        <v/>
      </c>
      <c r="J253">
        <f>IFERROR(INDEX(ExchangeConfirms!$G$2:$G$460,MATCH($A253,ExchangeConfirms!$A$2:$A$460,0)),"")</f>
        <v/>
      </c>
      <c r="K253">
        <f>IFERROR(INDEX(InternalTrades!$H$2:$H$461,MATCH($A253,InternalTrades!$A$2:$A$461,0)),"")</f>
        <v/>
      </c>
      <c r="L253">
        <f>IFERROR(INDEX(ExchangeConfirms!$H$2:$H$460,MATCH($A253,ExchangeConfirms!$A$2:$A$460,0)),"")</f>
        <v/>
      </c>
      <c r="M253">
        <f>IFERROR(INDEX(InternalTrades!$J$2:$J$461,MATCH($A253,InternalTrades!$A$2:$A$461,0)),"")</f>
        <v/>
      </c>
      <c r="N253">
        <f>IFERROR(INDEX(ExchangeConfirms!$J$2:$J$460,MATCH($A253,ExchangeConfirms!$A$2:$A$460,0)),"")</f>
        <v/>
      </c>
      <c r="O253">
        <f>IFERROR(INDEX(InternalTrades!$I$2:$I$461,MATCH($A253,InternalTrades!$A$2:$A$461,0)),"")</f>
        <v/>
      </c>
      <c r="P253">
        <f>IFERROR(INDEX(ExchangeConfirms!$I$2:$I$460,MATCH($A253,ExchangeConfirms!$A$2:$A$460,0)),"")</f>
        <v/>
      </c>
      <c r="Q253">
        <f>IF(AND($E253=1,$F253=0),"MISSING IN EXCHANGE",IF(AND($E253=0,$F253=1),"MISSING IN INTERNAL",IF($G253&lt;&gt;$H253,"SIDE BREAK",IF($I253&lt;&gt;$J253,"QTY BREAK",IF(ABS($K253-$L253)&gt;0.005,"PRICE BREAK",IF(ABS($M253-$N253)&gt;0.01,"FEE BREAK","MATCHED"))))))</f>
        <v/>
      </c>
      <c r="R253">
        <f>IF($Q253="MATCHED",0,1)</f>
        <v/>
      </c>
      <c r="S253">
        <f>IF($Q253="MATCHED",0,IF($Q253="MISSING IN EXCHANGE",$O253,IF($Q253="MISSING IN INTERNAL",$P253,ABS(N($O253)-N($P253)))))</f>
        <v/>
      </c>
    </row>
    <row r="254">
      <c r="A254" t="inlineStr">
        <is>
          <t>T100253</t>
        </is>
      </c>
      <c r="B254">
        <f>IFERROR(INDEX(InternalTrades!$D$2:$D$461,MATCH($A254,InternalTrades!$A$2:$A$461,0)),INDEX(ExchangeConfirms!$D$2:$D$460,MATCH($A254,ExchangeConfirms!$A$2:$A$460,0)))</f>
        <v/>
      </c>
      <c r="C254">
        <f>IFERROR(INDEX(InternalTrades!$E$2:$E$461,MATCH($A254,InternalTrades!$A$2:$A$461,0)),INDEX(ExchangeConfirms!$E$2:$E$460,MATCH($A254,ExchangeConfirms!$A$2:$A$460,0)))</f>
        <v/>
      </c>
      <c r="D254">
        <f>IFERROR(INDEX(InternalTrades!$K$2:$K$461,MATCH($A254,InternalTrades!$A$2:$A$461,0)),INDEX(ExchangeConfirms!$K$2:$K$460,MATCH($A254,ExchangeConfirms!$A$2:$A$460,0)))</f>
        <v/>
      </c>
      <c r="E254">
        <f>IF(COUNTIF(InternalTrades!$A$2:$A$461,$A254)&gt;0,1,0)</f>
        <v/>
      </c>
      <c r="F254">
        <f>IF(COUNTIF(ExchangeConfirms!$A$2:$A$460,$A254)&gt;0,1,0)</f>
        <v/>
      </c>
      <c r="G254">
        <f>IFERROR(INDEX(InternalTrades!$F$2:$F$461,MATCH($A254,InternalTrades!$A$2:$A$461,0)),"")</f>
        <v/>
      </c>
      <c r="H254">
        <f>IFERROR(INDEX(ExchangeConfirms!$F$2:$F$460,MATCH($A254,ExchangeConfirms!$A$2:$A$460,0)),"")</f>
        <v/>
      </c>
      <c r="I254">
        <f>IFERROR(INDEX(InternalTrades!$G$2:$G$461,MATCH($A254,InternalTrades!$A$2:$A$461,0)),"")</f>
        <v/>
      </c>
      <c r="J254">
        <f>IFERROR(INDEX(ExchangeConfirms!$G$2:$G$460,MATCH($A254,ExchangeConfirms!$A$2:$A$460,0)),"")</f>
        <v/>
      </c>
      <c r="K254">
        <f>IFERROR(INDEX(InternalTrades!$H$2:$H$461,MATCH($A254,InternalTrades!$A$2:$A$461,0)),"")</f>
        <v/>
      </c>
      <c r="L254">
        <f>IFERROR(INDEX(ExchangeConfirms!$H$2:$H$460,MATCH($A254,ExchangeConfirms!$A$2:$A$460,0)),"")</f>
        <v/>
      </c>
      <c r="M254">
        <f>IFERROR(INDEX(InternalTrades!$J$2:$J$461,MATCH($A254,InternalTrades!$A$2:$A$461,0)),"")</f>
        <v/>
      </c>
      <c r="N254">
        <f>IFERROR(INDEX(ExchangeConfirms!$J$2:$J$460,MATCH($A254,ExchangeConfirms!$A$2:$A$460,0)),"")</f>
        <v/>
      </c>
      <c r="O254">
        <f>IFERROR(INDEX(InternalTrades!$I$2:$I$461,MATCH($A254,InternalTrades!$A$2:$A$461,0)),"")</f>
        <v/>
      </c>
      <c r="P254">
        <f>IFERROR(INDEX(ExchangeConfirms!$I$2:$I$460,MATCH($A254,ExchangeConfirms!$A$2:$A$460,0)),"")</f>
        <v/>
      </c>
      <c r="Q254">
        <f>IF(AND($E254=1,$F254=0),"MISSING IN EXCHANGE",IF(AND($E254=0,$F254=1),"MISSING IN INTERNAL",IF($G254&lt;&gt;$H254,"SIDE BREAK",IF($I254&lt;&gt;$J254,"QTY BREAK",IF(ABS($K254-$L254)&gt;0.005,"PRICE BREAK",IF(ABS($M254-$N254)&gt;0.01,"FEE BREAK","MATCHED"))))))</f>
        <v/>
      </c>
      <c r="R254">
        <f>IF($Q254="MATCHED",0,1)</f>
        <v/>
      </c>
      <c r="S254">
        <f>IF($Q254="MATCHED",0,IF($Q254="MISSING IN EXCHANGE",$O254,IF($Q254="MISSING IN INTERNAL",$P254,ABS(N($O254)-N($P254)))))</f>
        <v/>
      </c>
    </row>
    <row r="255">
      <c r="A255" t="inlineStr">
        <is>
          <t>T100254</t>
        </is>
      </c>
      <c r="B255">
        <f>IFERROR(INDEX(InternalTrades!$D$2:$D$461,MATCH($A255,InternalTrades!$A$2:$A$461,0)),INDEX(ExchangeConfirms!$D$2:$D$460,MATCH($A255,ExchangeConfirms!$A$2:$A$460,0)))</f>
        <v/>
      </c>
      <c r="C255">
        <f>IFERROR(INDEX(InternalTrades!$E$2:$E$461,MATCH($A255,InternalTrades!$A$2:$A$461,0)),INDEX(ExchangeConfirms!$E$2:$E$460,MATCH($A255,ExchangeConfirms!$A$2:$A$460,0)))</f>
        <v/>
      </c>
      <c r="D255">
        <f>IFERROR(INDEX(InternalTrades!$K$2:$K$461,MATCH($A255,InternalTrades!$A$2:$A$461,0)),INDEX(ExchangeConfirms!$K$2:$K$460,MATCH($A255,ExchangeConfirms!$A$2:$A$460,0)))</f>
        <v/>
      </c>
      <c r="E255">
        <f>IF(COUNTIF(InternalTrades!$A$2:$A$461,$A255)&gt;0,1,0)</f>
        <v/>
      </c>
      <c r="F255">
        <f>IF(COUNTIF(ExchangeConfirms!$A$2:$A$460,$A255)&gt;0,1,0)</f>
        <v/>
      </c>
      <c r="G255">
        <f>IFERROR(INDEX(InternalTrades!$F$2:$F$461,MATCH($A255,InternalTrades!$A$2:$A$461,0)),"")</f>
        <v/>
      </c>
      <c r="H255">
        <f>IFERROR(INDEX(ExchangeConfirms!$F$2:$F$460,MATCH($A255,ExchangeConfirms!$A$2:$A$460,0)),"")</f>
        <v/>
      </c>
      <c r="I255">
        <f>IFERROR(INDEX(InternalTrades!$G$2:$G$461,MATCH($A255,InternalTrades!$A$2:$A$461,0)),"")</f>
        <v/>
      </c>
      <c r="J255">
        <f>IFERROR(INDEX(ExchangeConfirms!$G$2:$G$460,MATCH($A255,ExchangeConfirms!$A$2:$A$460,0)),"")</f>
        <v/>
      </c>
      <c r="K255">
        <f>IFERROR(INDEX(InternalTrades!$H$2:$H$461,MATCH($A255,InternalTrades!$A$2:$A$461,0)),"")</f>
        <v/>
      </c>
      <c r="L255">
        <f>IFERROR(INDEX(ExchangeConfirms!$H$2:$H$460,MATCH($A255,ExchangeConfirms!$A$2:$A$460,0)),"")</f>
        <v/>
      </c>
      <c r="M255">
        <f>IFERROR(INDEX(InternalTrades!$J$2:$J$461,MATCH($A255,InternalTrades!$A$2:$A$461,0)),"")</f>
        <v/>
      </c>
      <c r="N255">
        <f>IFERROR(INDEX(ExchangeConfirms!$J$2:$J$460,MATCH($A255,ExchangeConfirms!$A$2:$A$460,0)),"")</f>
        <v/>
      </c>
      <c r="O255">
        <f>IFERROR(INDEX(InternalTrades!$I$2:$I$461,MATCH($A255,InternalTrades!$A$2:$A$461,0)),"")</f>
        <v/>
      </c>
      <c r="P255">
        <f>IFERROR(INDEX(ExchangeConfirms!$I$2:$I$460,MATCH($A255,ExchangeConfirms!$A$2:$A$460,0)),"")</f>
        <v/>
      </c>
      <c r="Q255">
        <f>IF(AND($E255=1,$F255=0),"MISSING IN EXCHANGE",IF(AND($E255=0,$F255=1),"MISSING IN INTERNAL",IF($G255&lt;&gt;$H255,"SIDE BREAK",IF($I255&lt;&gt;$J255,"QTY BREAK",IF(ABS($K255-$L255)&gt;0.005,"PRICE BREAK",IF(ABS($M255-$N255)&gt;0.01,"FEE BREAK","MATCHED"))))))</f>
        <v/>
      </c>
      <c r="R255">
        <f>IF($Q255="MATCHED",0,1)</f>
        <v/>
      </c>
      <c r="S255">
        <f>IF($Q255="MATCHED",0,IF($Q255="MISSING IN EXCHANGE",$O255,IF($Q255="MISSING IN INTERNAL",$P255,ABS(N($O255)-N($P255)))))</f>
        <v/>
      </c>
    </row>
    <row r="256">
      <c r="A256" t="inlineStr">
        <is>
          <t>T100255</t>
        </is>
      </c>
      <c r="B256">
        <f>IFERROR(INDEX(InternalTrades!$D$2:$D$461,MATCH($A256,InternalTrades!$A$2:$A$461,0)),INDEX(ExchangeConfirms!$D$2:$D$460,MATCH($A256,ExchangeConfirms!$A$2:$A$460,0)))</f>
        <v/>
      </c>
      <c r="C256">
        <f>IFERROR(INDEX(InternalTrades!$E$2:$E$461,MATCH($A256,InternalTrades!$A$2:$A$461,0)),INDEX(ExchangeConfirms!$E$2:$E$460,MATCH($A256,ExchangeConfirms!$A$2:$A$460,0)))</f>
        <v/>
      </c>
      <c r="D256">
        <f>IFERROR(INDEX(InternalTrades!$K$2:$K$461,MATCH($A256,InternalTrades!$A$2:$A$461,0)),INDEX(ExchangeConfirms!$K$2:$K$460,MATCH($A256,ExchangeConfirms!$A$2:$A$460,0)))</f>
        <v/>
      </c>
      <c r="E256">
        <f>IF(COUNTIF(InternalTrades!$A$2:$A$461,$A256)&gt;0,1,0)</f>
        <v/>
      </c>
      <c r="F256">
        <f>IF(COUNTIF(ExchangeConfirms!$A$2:$A$460,$A256)&gt;0,1,0)</f>
        <v/>
      </c>
      <c r="G256">
        <f>IFERROR(INDEX(InternalTrades!$F$2:$F$461,MATCH($A256,InternalTrades!$A$2:$A$461,0)),"")</f>
        <v/>
      </c>
      <c r="H256">
        <f>IFERROR(INDEX(ExchangeConfirms!$F$2:$F$460,MATCH($A256,ExchangeConfirms!$A$2:$A$460,0)),"")</f>
        <v/>
      </c>
      <c r="I256">
        <f>IFERROR(INDEX(InternalTrades!$G$2:$G$461,MATCH($A256,InternalTrades!$A$2:$A$461,0)),"")</f>
        <v/>
      </c>
      <c r="J256">
        <f>IFERROR(INDEX(ExchangeConfirms!$G$2:$G$460,MATCH($A256,ExchangeConfirms!$A$2:$A$460,0)),"")</f>
        <v/>
      </c>
      <c r="K256">
        <f>IFERROR(INDEX(InternalTrades!$H$2:$H$461,MATCH($A256,InternalTrades!$A$2:$A$461,0)),"")</f>
        <v/>
      </c>
      <c r="L256">
        <f>IFERROR(INDEX(ExchangeConfirms!$H$2:$H$460,MATCH($A256,ExchangeConfirms!$A$2:$A$460,0)),"")</f>
        <v/>
      </c>
      <c r="M256">
        <f>IFERROR(INDEX(InternalTrades!$J$2:$J$461,MATCH($A256,InternalTrades!$A$2:$A$461,0)),"")</f>
        <v/>
      </c>
      <c r="N256">
        <f>IFERROR(INDEX(ExchangeConfirms!$J$2:$J$460,MATCH($A256,ExchangeConfirms!$A$2:$A$460,0)),"")</f>
        <v/>
      </c>
      <c r="O256">
        <f>IFERROR(INDEX(InternalTrades!$I$2:$I$461,MATCH($A256,InternalTrades!$A$2:$A$461,0)),"")</f>
        <v/>
      </c>
      <c r="P256">
        <f>IFERROR(INDEX(ExchangeConfirms!$I$2:$I$460,MATCH($A256,ExchangeConfirms!$A$2:$A$460,0)),"")</f>
        <v/>
      </c>
      <c r="Q256">
        <f>IF(AND($E256=1,$F256=0),"MISSING IN EXCHANGE",IF(AND($E256=0,$F256=1),"MISSING IN INTERNAL",IF($G256&lt;&gt;$H256,"SIDE BREAK",IF($I256&lt;&gt;$J256,"QTY BREAK",IF(ABS($K256-$L256)&gt;0.005,"PRICE BREAK",IF(ABS($M256-$N256)&gt;0.01,"FEE BREAK","MATCHED"))))))</f>
        <v/>
      </c>
      <c r="R256">
        <f>IF($Q256="MATCHED",0,1)</f>
        <v/>
      </c>
      <c r="S256">
        <f>IF($Q256="MATCHED",0,IF($Q256="MISSING IN EXCHANGE",$O256,IF($Q256="MISSING IN INTERNAL",$P256,ABS(N($O256)-N($P256)))))</f>
        <v/>
      </c>
    </row>
    <row r="257">
      <c r="A257" t="inlineStr">
        <is>
          <t>T100256</t>
        </is>
      </c>
      <c r="B257">
        <f>IFERROR(INDEX(InternalTrades!$D$2:$D$461,MATCH($A257,InternalTrades!$A$2:$A$461,0)),INDEX(ExchangeConfirms!$D$2:$D$460,MATCH($A257,ExchangeConfirms!$A$2:$A$460,0)))</f>
        <v/>
      </c>
      <c r="C257">
        <f>IFERROR(INDEX(InternalTrades!$E$2:$E$461,MATCH($A257,InternalTrades!$A$2:$A$461,0)),INDEX(ExchangeConfirms!$E$2:$E$460,MATCH($A257,ExchangeConfirms!$A$2:$A$460,0)))</f>
        <v/>
      </c>
      <c r="D257">
        <f>IFERROR(INDEX(InternalTrades!$K$2:$K$461,MATCH($A257,InternalTrades!$A$2:$A$461,0)),INDEX(ExchangeConfirms!$K$2:$K$460,MATCH($A257,ExchangeConfirms!$A$2:$A$460,0)))</f>
        <v/>
      </c>
      <c r="E257">
        <f>IF(COUNTIF(InternalTrades!$A$2:$A$461,$A257)&gt;0,1,0)</f>
        <v/>
      </c>
      <c r="F257">
        <f>IF(COUNTIF(ExchangeConfirms!$A$2:$A$460,$A257)&gt;0,1,0)</f>
        <v/>
      </c>
      <c r="G257">
        <f>IFERROR(INDEX(InternalTrades!$F$2:$F$461,MATCH($A257,InternalTrades!$A$2:$A$461,0)),"")</f>
        <v/>
      </c>
      <c r="H257">
        <f>IFERROR(INDEX(ExchangeConfirms!$F$2:$F$460,MATCH($A257,ExchangeConfirms!$A$2:$A$460,0)),"")</f>
        <v/>
      </c>
      <c r="I257">
        <f>IFERROR(INDEX(InternalTrades!$G$2:$G$461,MATCH($A257,InternalTrades!$A$2:$A$461,0)),"")</f>
        <v/>
      </c>
      <c r="J257">
        <f>IFERROR(INDEX(ExchangeConfirms!$G$2:$G$460,MATCH($A257,ExchangeConfirms!$A$2:$A$460,0)),"")</f>
        <v/>
      </c>
      <c r="K257">
        <f>IFERROR(INDEX(InternalTrades!$H$2:$H$461,MATCH($A257,InternalTrades!$A$2:$A$461,0)),"")</f>
        <v/>
      </c>
      <c r="L257">
        <f>IFERROR(INDEX(ExchangeConfirms!$H$2:$H$460,MATCH($A257,ExchangeConfirms!$A$2:$A$460,0)),"")</f>
        <v/>
      </c>
      <c r="M257">
        <f>IFERROR(INDEX(InternalTrades!$J$2:$J$461,MATCH($A257,InternalTrades!$A$2:$A$461,0)),"")</f>
        <v/>
      </c>
      <c r="N257">
        <f>IFERROR(INDEX(ExchangeConfirms!$J$2:$J$460,MATCH($A257,ExchangeConfirms!$A$2:$A$460,0)),"")</f>
        <v/>
      </c>
      <c r="O257">
        <f>IFERROR(INDEX(InternalTrades!$I$2:$I$461,MATCH($A257,InternalTrades!$A$2:$A$461,0)),"")</f>
        <v/>
      </c>
      <c r="P257">
        <f>IFERROR(INDEX(ExchangeConfirms!$I$2:$I$460,MATCH($A257,ExchangeConfirms!$A$2:$A$460,0)),"")</f>
        <v/>
      </c>
      <c r="Q257">
        <f>IF(AND($E257=1,$F257=0),"MISSING IN EXCHANGE",IF(AND($E257=0,$F257=1),"MISSING IN INTERNAL",IF($G257&lt;&gt;$H257,"SIDE BREAK",IF($I257&lt;&gt;$J257,"QTY BREAK",IF(ABS($K257-$L257)&gt;0.005,"PRICE BREAK",IF(ABS($M257-$N257)&gt;0.01,"FEE BREAK","MATCHED"))))))</f>
        <v/>
      </c>
      <c r="R257">
        <f>IF($Q257="MATCHED",0,1)</f>
        <v/>
      </c>
      <c r="S257">
        <f>IF($Q257="MATCHED",0,IF($Q257="MISSING IN EXCHANGE",$O257,IF($Q257="MISSING IN INTERNAL",$P257,ABS(N($O257)-N($P257)))))</f>
        <v/>
      </c>
    </row>
    <row r="258">
      <c r="A258" t="inlineStr">
        <is>
          <t>T100257</t>
        </is>
      </c>
      <c r="B258">
        <f>IFERROR(INDEX(InternalTrades!$D$2:$D$461,MATCH($A258,InternalTrades!$A$2:$A$461,0)),INDEX(ExchangeConfirms!$D$2:$D$460,MATCH($A258,ExchangeConfirms!$A$2:$A$460,0)))</f>
        <v/>
      </c>
      <c r="C258">
        <f>IFERROR(INDEX(InternalTrades!$E$2:$E$461,MATCH($A258,InternalTrades!$A$2:$A$461,0)),INDEX(ExchangeConfirms!$E$2:$E$460,MATCH($A258,ExchangeConfirms!$A$2:$A$460,0)))</f>
        <v/>
      </c>
      <c r="D258">
        <f>IFERROR(INDEX(InternalTrades!$K$2:$K$461,MATCH($A258,InternalTrades!$A$2:$A$461,0)),INDEX(ExchangeConfirms!$K$2:$K$460,MATCH($A258,ExchangeConfirms!$A$2:$A$460,0)))</f>
        <v/>
      </c>
      <c r="E258">
        <f>IF(COUNTIF(InternalTrades!$A$2:$A$461,$A258)&gt;0,1,0)</f>
        <v/>
      </c>
      <c r="F258">
        <f>IF(COUNTIF(ExchangeConfirms!$A$2:$A$460,$A258)&gt;0,1,0)</f>
        <v/>
      </c>
      <c r="G258">
        <f>IFERROR(INDEX(InternalTrades!$F$2:$F$461,MATCH($A258,InternalTrades!$A$2:$A$461,0)),"")</f>
        <v/>
      </c>
      <c r="H258">
        <f>IFERROR(INDEX(ExchangeConfirms!$F$2:$F$460,MATCH($A258,ExchangeConfirms!$A$2:$A$460,0)),"")</f>
        <v/>
      </c>
      <c r="I258">
        <f>IFERROR(INDEX(InternalTrades!$G$2:$G$461,MATCH($A258,InternalTrades!$A$2:$A$461,0)),"")</f>
        <v/>
      </c>
      <c r="J258">
        <f>IFERROR(INDEX(ExchangeConfirms!$G$2:$G$460,MATCH($A258,ExchangeConfirms!$A$2:$A$460,0)),"")</f>
        <v/>
      </c>
      <c r="K258">
        <f>IFERROR(INDEX(InternalTrades!$H$2:$H$461,MATCH($A258,InternalTrades!$A$2:$A$461,0)),"")</f>
        <v/>
      </c>
      <c r="L258">
        <f>IFERROR(INDEX(ExchangeConfirms!$H$2:$H$460,MATCH($A258,ExchangeConfirms!$A$2:$A$460,0)),"")</f>
        <v/>
      </c>
      <c r="M258">
        <f>IFERROR(INDEX(InternalTrades!$J$2:$J$461,MATCH($A258,InternalTrades!$A$2:$A$461,0)),"")</f>
        <v/>
      </c>
      <c r="N258">
        <f>IFERROR(INDEX(ExchangeConfirms!$J$2:$J$460,MATCH($A258,ExchangeConfirms!$A$2:$A$460,0)),"")</f>
        <v/>
      </c>
      <c r="O258">
        <f>IFERROR(INDEX(InternalTrades!$I$2:$I$461,MATCH($A258,InternalTrades!$A$2:$A$461,0)),"")</f>
        <v/>
      </c>
      <c r="P258">
        <f>IFERROR(INDEX(ExchangeConfirms!$I$2:$I$460,MATCH($A258,ExchangeConfirms!$A$2:$A$460,0)),"")</f>
        <v/>
      </c>
      <c r="Q258">
        <f>IF(AND($E258=1,$F258=0),"MISSING IN EXCHANGE",IF(AND($E258=0,$F258=1),"MISSING IN INTERNAL",IF($G258&lt;&gt;$H258,"SIDE BREAK",IF($I258&lt;&gt;$J258,"QTY BREAK",IF(ABS($K258-$L258)&gt;0.005,"PRICE BREAK",IF(ABS($M258-$N258)&gt;0.01,"FEE BREAK","MATCHED"))))))</f>
        <v/>
      </c>
      <c r="R258">
        <f>IF($Q258="MATCHED",0,1)</f>
        <v/>
      </c>
      <c r="S258">
        <f>IF($Q258="MATCHED",0,IF($Q258="MISSING IN EXCHANGE",$O258,IF($Q258="MISSING IN INTERNAL",$P258,ABS(N($O258)-N($P258)))))</f>
        <v/>
      </c>
    </row>
    <row r="259">
      <c r="A259" t="inlineStr">
        <is>
          <t>T100258</t>
        </is>
      </c>
      <c r="B259">
        <f>IFERROR(INDEX(InternalTrades!$D$2:$D$461,MATCH($A259,InternalTrades!$A$2:$A$461,0)),INDEX(ExchangeConfirms!$D$2:$D$460,MATCH($A259,ExchangeConfirms!$A$2:$A$460,0)))</f>
        <v/>
      </c>
      <c r="C259">
        <f>IFERROR(INDEX(InternalTrades!$E$2:$E$461,MATCH($A259,InternalTrades!$A$2:$A$461,0)),INDEX(ExchangeConfirms!$E$2:$E$460,MATCH($A259,ExchangeConfirms!$A$2:$A$460,0)))</f>
        <v/>
      </c>
      <c r="D259">
        <f>IFERROR(INDEX(InternalTrades!$K$2:$K$461,MATCH($A259,InternalTrades!$A$2:$A$461,0)),INDEX(ExchangeConfirms!$K$2:$K$460,MATCH($A259,ExchangeConfirms!$A$2:$A$460,0)))</f>
        <v/>
      </c>
      <c r="E259">
        <f>IF(COUNTIF(InternalTrades!$A$2:$A$461,$A259)&gt;0,1,0)</f>
        <v/>
      </c>
      <c r="F259">
        <f>IF(COUNTIF(ExchangeConfirms!$A$2:$A$460,$A259)&gt;0,1,0)</f>
        <v/>
      </c>
      <c r="G259">
        <f>IFERROR(INDEX(InternalTrades!$F$2:$F$461,MATCH($A259,InternalTrades!$A$2:$A$461,0)),"")</f>
        <v/>
      </c>
      <c r="H259">
        <f>IFERROR(INDEX(ExchangeConfirms!$F$2:$F$460,MATCH($A259,ExchangeConfirms!$A$2:$A$460,0)),"")</f>
        <v/>
      </c>
      <c r="I259">
        <f>IFERROR(INDEX(InternalTrades!$G$2:$G$461,MATCH($A259,InternalTrades!$A$2:$A$461,0)),"")</f>
        <v/>
      </c>
      <c r="J259">
        <f>IFERROR(INDEX(ExchangeConfirms!$G$2:$G$460,MATCH($A259,ExchangeConfirms!$A$2:$A$460,0)),"")</f>
        <v/>
      </c>
      <c r="K259">
        <f>IFERROR(INDEX(InternalTrades!$H$2:$H$461,MATCH($A259,InternalTrades!$A$2:$A$461,0)),"")</f>
        <v/>
      </c>
      <c r="L259">
        <f>IFERROR(INDEX(ExchangeConfirms!$H$2:$H$460,MATCH($A259,ExchangeConfirms!$A$2:$A$460,0)),"")</f>
        <v/>
      </c>
      <c r="M259">
        <f>IFERROR(INDEX(InternalTrades!$J$2:$J$461,MATCH($A259,InternalTrades!$A$2:$A$461,0)),"")</f>
        <v/>
      </c>
      <c r="N259">
        <f>IFERROR(INDEX(ExchangeConfirms!$J$2:$J$460,MATCH($A259,ExchangeConfirms!$A$2:$A$460,0)),"")</f>
        <v/>
      </c>
      <c r="O259">
        <f>IFERROR(INDEX(InternalTrades!$I$2:$I$461,MATCH($A259,InternalTrades!$A$2:$A$461,0)),"")</f>
        <v/>
      </c>
      <c r="P259">
        <f>IFERROR(INDEX(ExchangeConfirms!$I$2:$I$460,MATCH($A259,ExchangeConfirms!$A$2:$A$460,0)),"")</f>
        <v/>
      </c>
      <c r="Q259">
        <f>IF(AND($E259=1,$F259=0),"MISSING IN EXCHANGE",IF(AND($E259=0,$F259=1),"MISSING IN INTERNAL",IF($G259&lt;&gt;$H259,"SIDE BREAK",IF($I259&lt;&gt;$J259,"QTY BREAK",IF(ABS($K259-$L259)&gt;0.005,"PRICE BREAK",IF(ABS($M259-$N259)&gt;0.01,"FEE BREAK","MATCHED"))))))</f>
        <v/>
      </c>
      <c r="R259">
        <f>IF($Q259="MATCHED",0,1)</f>
        <v/>
      </c>
      <c r="S259">
        <f>IF($Q259="MATCHED",0,IF($Q259="MISSING IN EXCHANGE",$O259,IF($Q259="MISSING IN INTERNAL",$P259,ABS(N($O259)-N($P259)))))</f>
        <v/>
      </c>
    </row>
    <row r="260">
      <c r="A260" t="inlineStr">
        <is>
          <t>T100259</t>
        </is>
      </c>
      <c r="B260">
        <f>IFERROR(INDEX(InternalTrades!$D$2:$D$461,MATCH($A260,InternalTrades!$A$2:$A$461,0)),INDEX(ExchangeConfirms!$D$2:$D$460,MATCH($A260,ExchangeConfirms!$A$2:$A$460,0)))</f>
        <v/>
      </c>
      <c r="C260">
        <f>IFERROR(INDEX(InternalTrades!$E$2:$E$461,MATCH($A260,InternalTrades!$A$2:$A$461,0)),INDEX(ExchangeConfirms!$E$2:$E$460,MATCH($A260,ExchangeConfirms!$A$2:$A$460,0)))</f>
        <v/>
      </c>
      <c r="D260">
        <f>IFERROR(INDEX(InternalTrades!$K$2:$K$461,MATCH($A260,InternalTrades!$A$2:$A$461,0)),INDEX(ExchangeConfirms!$K$2:$K$460,MATCH($A260,ExchangeConfirms!$A$2:$A$460,0)))</f>
        <v/>
      </c>
      <c r="E260">
        <f>IF(COUNTIF(InternalTrades!$A$2:$A$461,$A260)&gt;0,1,0)</f>
        <v/>
      </c>
      <c r="F260">
        <f>IF(COUNTIF(ExchangeConfirms!$A$2:$A$460,$A260)&gt;0,1,0)</f>
        <v/>
      </c>
      <c r="G260">
        <f>IFERROR(INDEX(InternalTrades!$F$2:$F$461,MATCH($A260,InternalTrades!$A$2:$A$461,0)),"")</f>
        <v/>
      </c>
      <c r="H260">
        <f>IFERROR(INDEX(ExchangeConfirms!$F$2:$F$460,MATCH($A260,ExchangeConfirms!$A$2:$A$460,0)),"")</f>
        <v/>
      </c>
      <c r="I260">
        <f>IFERROR(INDEX(InternalTrades!$G$2:$G$461,MATCH($A260,InternalTrades!$A$2:$A$461,0)),"")</f>
        <v/>
      </c>
      <c r="J260">
        <f>IFERROR(INDEX(ExchangeConfirms!$G$2:$G$460,MATCH($A260,ExchangeConfirms!$A$2:$A$460,0)),"")</f>
        <v/>
      </c>
      <c r="K260">
        <f>IFERROR(INDEX(InternalTrades!$H$2:$H$461,MATCH($A260,InternalTrades!$A$2:$A$461,0)),"")</f>
        <v/>
      </c>
      <c r="L260">
        <f>IFERROR(INDEX(ExchangeConfirms!$H$2:$H$460,MATCH($A260,ExchangeConfirms!$A$2:$A$460,0)),"")</f>
        <v/>
      </c>
      <c r="M260">
        <f>IFERROR(INDEX(InternalTrades!$J$2:$J$461,MATCH($A260,InternalTrades!$A$2:$A$461,0)),"")</f>
        <v/>
      </c>
      <c r="N260">
        <f>IFERROR(INDEX(ExchangeConfirms!$J$2:$J$460,MATCH($A260,ExchangeConfirms!$A$2:$A$460,0)),"")</f>
        <v/>
      </c>
      <c r="O260">
        <f>IFERROR(INDEX(InternalTrades!$I$2:$I$461,MATCH($A260,InternalTrades!$A$2:$A$461,0)),"")</f>
        <v/>
      </c>
      <c r="P260">
        <f>IFERROR(INDEX(ExchangeConfirms!$I$2:$I$460,MATCH($A260,ExchangeConfirms!$A$2:$A$460,0)),"")</f>
        <v/>
      </c>
      <c r="Q260">
        <f>IF(AND($E260=1,$F260=0),"MISSING IN EXCHANGE",IF(AND($E260=0,$F260=1),"MISSING IN INTERNAL",IF($G260&lt;&gt;$H260,"SIDE BREAK",IF($I260&lt;&gt;$J260,"QTY BREAK",IF(ABS($K260-$L260)&gt;0.005,"PRICE BREAK",IF(ABS($M260-$N260)&gt;0.01,"FEE BREAK","MATCHED"))))))</f>
        <v/>
      </c>
      <c r="R260">
        <f>IF($Q260="MATCHED",0,1)</f>
        <v/>
      </c>
      <c r="S260">
        <f>IF($Q260="MATCHED",0,IF($Q260="MISSING IN EXCHANGE",$O260,IF($Q260="MISSING IN INTERNAL",$P260,ABS(N($O260)-N($P260)))))</f>
        <v/>
      </c>
    </row>
    <row r="261">
      <c r="A261" t="inlineStr">
        <is>
          <t>T100260</t>
        </is>
      </c>
      <c r="B261">
        <f>IFERROR(INDEX(InternalTrades!$D$2:$D$461,MATCH($A261,InternalTrades!$A$2:$A$461,0)),INDEX(ExchangeConfirms!$D$2:$D$460,MATCH($A261,ExchangeConfirms!$A$2:$A$460,0)))</f>
        <v/>
      </c>
      <c r="C261">
        <f>IFERROR(INDEX(InternalTrades!$E$2:$E$461,MATCH($A261,InternalTrades!$A$2:$A$461,0)),INDEX(ExchangeConfirms!$E$2:$E$460,MATCH($A261,ExchangeConfirms!$A$2:$A$460,0)))</f>
        <v/>
      </c>
      <c r="D261">
        <f>IFERROR(INDEX(InternalTrades!$K$2:$K$461,MATCH($A261,InternalTrades!$A$2:$A$461,0)),INDEX(ExchangeConfirms!$K$2:$K$460,MATCH($A261,ExchangeConfirms!$A$2:$A$460,0)))</f>
        <v/>
      </c>
      <c r="E261">
        <f>IF(COUNTIF(InternalTrades!$A$2:$A$461,$A261)&gt;0,1,0)</f>
        <v/>
      </c>
      <c r="F261">
        <f>IF(COUNTIF(ExchangeConfirms!$A$2:$A$460,$A261)&gt;0,1,0)</f>
        <v/>
      </c>
      <c r="G261">
        <f>IFERROR(INDEX(InternalTrades!$F$2:$F$461,MATCH($A261,InternalTrades!$A$2:$A$461,0)),"")</f>
        <v/>
      </c>
      <c r="H261">
        <f>IFERROR(INDEX(ExchangeConfirms!$F$2:$F$460,MATCH($A261,ExchangeConfirms!$A$2:$A$460,0)),"")</f>
        <v/>
      </c>
      <c r="I261">
        <f>IFERROR(INDEX(InternalTrades!$G$2:$G$461,MATCH($A261,InternalTrades!$A$2:$A$461,0)),"")</f>
        <v/>
      </c>
      <c r="J261">
        <f>IFERROR(INDEX(ExchangeConfirms!$G$2:$G$460,MATCH($A261,ExchangeConfirms!$A$2:$A$460,0)),"")</f>
        <v/>
      </c>
      <c r="K261">
        <f>IFERROR(INDEX(InternalTrades!$H$2:$H$461,MATCH($A261,InternalTrades!$A$2:$A$461,0)),"")</f>
        <v/>
      </c>
      <c r="L261">
        <f>IFERROR(INDEX(ExchangeConfirms!$H$2:$H$460,MATCH($A261,ExchangeConfirms!$A$2:$A$460,0)),"")</f>
        <v/>
      </c>
      <c r="M261">
        <f>IFERROR(INDEX(InternalTrades!$J$2:$J$461,MATCH($A261,InternalTrades!$A$2:$A$461,0)),"")</f>
        <v/>
      </c>
      <c r="N261">
        <f>IFERROR(INDEX(ExchangeConfirms!$J$2:$J$460,MATCH($A261,ExchangeConfirms!$A$2:$A$460,0)),"")</f>
        <v/>
      </c>
      <c r="O261">
        <f>IFERROR(INDEX(InternalTrades!$I$2:$I$461,MATCH($A261,InternalTrades!$A$2:$A$461,0)),"")</f>
        <v/>
      </c>
      <c r="P261">
        <f>IFERROR(INDEX(ExchangeConfirms!$I$2:$I$460,MATCH($A261,ExchangeConfirms!$A$2:$A$460,0)),"")</f>
        <v/>
      </c>
      <c r="Q261">
        <f>IF(AND($E261=1,$F261=0),"MISSING IN EXCHANGE",IF(AND($E261=0,$F261=1),"MISSING IN INTERNAL",IF($G261&lt;&gt;$H261,"SIDE BREAK",IF($I261&lt;&gt;$J261,"QTY BREAK",IF(ABS($K261-$L261)&gt;0.005,"PRICE BREAK",IF(ABS($M261-$N261)&gt;0.01,"FEE BREAK","MATCHED"))))))</f>
        <v/>
      </c>
      <c r="R261">
        <f>IF($Q261="MATCHED",0,1)</f>
        <v/>
      </c>
      <c r="S261">
        <f>IF($Q261="MATCHED",0,IF($Q261="MISSING IN EXCHANGE",$O261,IF($Q261="MISSING IN INTERNAL",$P261,ABS(N($O261)-N($P261)))))</f>
        <v/>
      </c>
    </row>
    <row r="262">
      <c r="A262" t="inlineStr">
        <is>
          <t>T100261</t>
        </is>
      </c>
      <c r="B262">
        <f>IFERROR(INDEX(InternalTrades!$D$2:$D$461,MATCH($A262,InternalTrades!$A$2:$A$461,0)),INDEX(ExchangeConfirms!$D$2:$D$460,MATCH($A262,ExchangeConfirms!$A$2:$A$460,0)))</f>
        <v/>
      </c>
      <c r="C262">
        <f>IFERROR(INDEX(InternalTrades!$E$2:$E$461,MATCH($A262,InternalTrades!$A$2:$A$461,0)),INDEX(ExchangeConfirms!$E$2:$E$460,MATCH($A262,ExchangeConfirms!$A$2:$A$460,0)))</f>
        <v/>
      </c>
      <c r="D262">
        <f>IFERROR(INDEX(InternalTrades!$K$2:$K$461,MATCH($A262,InternalTrades!$A$2:$A$461,0)),INDEX(ExchangeConfirms!$K$2:$K$460,MATCH($A262,ExchangeConfirms!$A$2:$A$460,0)))</f>
        <v/>
      </c>
      <c r="E262">
        <f>IF(COUNTIF(InternalTrades!$A$2:$A$461,$A262)&gt;0,1,0)</f>
        <v/>
      </c>
      <c r="F262">
        <f>IF(COUNTIF(ExchangeConfirms!$A$2:$A$460,$A262)&gt;0,1,0)</f>
        <v/>
      </c>
      <c r="G262">
        <f>IFERROR(INDEX(InternalTrades!$F$2:$F$461,MATCH($A262,InternalTrades!$A$2:$A$461,0)),"")</f>
        <v/>
      </c>
      <c r="H262">
        <f>IFERROR(INDEX(ExchangeConfirms!$F$2:$F$460,MATCH($A262,ExchangeConfirms!$A$2:$A$460,0)),"")</f>
        <v/>
      </c>
      <c r="I262">
        <f>IFERROR(INDEX(InternalTrades!$G$2:$G$461,MATCH($A262,InternalTrades!$A$2:$A$461,0)),"")</f>
        <v/>
      </c>
      <c r="J262">
        <f>IFERROR(INDEX(ExchangeConfirms!$G$2:$G$460,MATCH($A262,ExchangeConfirms!$A$2:$A$460,0)),"")</f>
        <v/>
      </c>
      <c r="K262">
        <f>IFERROR(INDEX(InternalTrades!$H$2:$H$461,MATCH($A262,InternalTrades!$A$2:$A$461,0)),"")</f>
        <v/>
      </c>
      <c r="L262">
        <f>IFERROR(INDEX(ExchangeConfirms!$H$2:$H$460,MATCH($A262,ExchangeConfirms!$A$2:$A$460,0)),"")</f>
        <v/>
      </c>
      <c r="M262">
        <f>IFERROR(INDEX(InternalTrades!$J$2:$J$461,MATCH($A262,InternalTrades!$A$2:$A$461,0)),"")</f>
        <v/>
      </c>
      <c r="N262">
        <f>IFERROR(INDEX(ExchangeConfirms!$J$2:$J$460,MATCH($A262,ExchangeConfirms!$A$2:$A$460,0)),"")</f>
        <v/>
      </c>
      <c r="O262">
        <f>IFERROR(INDEX(InternalTrades!$I$2:$I$461,MATCH($A262,InternalTrades!$A$2:$A$461,0)),"")</f>
        <v/>
      </c>
      <c r="P262">
        <f>IFERROR(INDEX(ExchangeConfirms!$I$2:$I$460,MATCH($A262,ExchangeConfirms!$A$2:$A$460,0)),"")</f>
        <v/>
      </c>
      <c r="Q262">
        <f>IF(AND($E262=1,$F262=0),"MISSING IN EXCHANGE",IF(AND($E262=0,$F262=1),"MISSING IN INTERNAL",IF($G262&lt;&gt;$H262,"SIDE BREAK",IF($I262&lt;&gt;$J262,"QTY BREAK",IF(ABS($K262-$L262)&gt;0.005,"PRICE BREAK",IF(ABS($M262-$N262)&gt;0.01,"FEE BREAK","MATCHED"))))))</f>
        <v/>
      </c>
      <c r="R262">
        <f>IF($Q262="MATCHED",0,1)</f>
        <v/>
      </c>
      <c r="S262">
        <f>IF($Q262="MATCHED",0,IF($Q262="MISSING IN EXCHANGE",$O262,IF($Q262="MISSING IN INTERNAL",$P262,ABS(N($O262)-N($P262)))))</f>
        <v/>
      </c>
    </row>
    <row r="263">
      <c r="A263" t="inlineStr">
        <is>
          <t>T100262</t>
        </is>
      </c>
      <c r="B263">
        <f>IFERROR(INDEX(InternalTrades!$D$2:$D$461,MATCH($A263,InternalTrades!$A$2:$A$461,0)),INDEX(ExchangeConfirms!$D$2:$D$460,MATCH($A263,ExchangeConfirms!$A$2:$A$460,0)))</f>
        <v/>
      </c>
      <c r="C263">
        <f>IFERROR(INDEX(InternalTrades!$E$2:$E$461,MATCH($A263,InternalTrades!$A$2:$A$461,0)),INDEX(ExchangeConfirms!$E$2:$E$460,MATCH($A263,ExchangeConfirms!$A$2:$A$460,0)))</f>
        <v/>
      </c>
      <c r="D263">
        <f>IFERROR(INDEX(InternalTrades!$K$2:$K$461,MATCH($A263,InternalTrades!$A$2:$A$461,0)),INDEX(ExchangeConfirms!$K$2:$K$460,MATCH($A263,ExchangeConfirms!$A$2:$A$460,0)))</f>
        <v/>
      </c>
      <c r="E263">
        <f>IF(COUNTIF(InternalTrades!$A$2:$A$461,$A263)&gt;0,1,0)</f>
        <v/>
      </c>
      <c r="F263">
        <f>IF(COUNTIF(ExchangeConfirms!$A$2:$A$460,$A263)&gt;0,1,0)</f>
        <v/>
      </c>
      <c r="G263">
        <f>IFERROR(INDEX(InternalTrades!$F$2:$F$461,MATCH($A263,InternalTrades!$A$2:$A$461,0)),"")</f>
        <v/>
      </c>
      <c r="H263">
        <f>IFERROR(INDEX(ExchangeConfirms!$F$2:$F$460,MATCH($A263,ExchangeConfirms!$A$2:$A$460,0)),"")</f>
        <v/>
      </c>
      <c r="I263">
        <f>IFERROR(INDEX(InternalTrades!$G$2:$G$461,MATCH($A263,InternalTrades!$A$2:$A$461,0)),"")</f>
        <v/>
      </c>
      <c r="J263">
        <f>IFERROR(INDEX(ExchangeConfirms!$G$2:$G$460,MATCH($A263,ExchangeConfirms!$A$2:$A$460,0)),"")</f>
        <v/>
      </c>
      <c r="K263">
        <f>IFERROR(INDEX(InternalTrades!$H$2:$H$461,MATCH($A263,InternalTrades!$A$2:$A$461,0)),"")</f>
        <v/>
      </c>
      <c r="L263">
        <f>IFERROR(INDEX(ExchangeConfirms!$H$2:$H$460,MATCH($A263,ExchangeConfirms!$A$2:$A$460,0)),"")</f>
        <v/>
      </c>
      <c r="M263">
        <f>IFERROR(INDEX(InternalTrades!$J$2:$J$461,MATCH($A263,InternalTrades!$A$2:$A$461,0)),"")</f>
        <v/>
      </c>
      <c r="N263">
        <f>IFERROR(INDEX(ExchangeConfirms!$J$2:$J$460,MATCH($A263,ExchangeConfirms!$A$2:$A$460,0)),"")</f>
        <v/>
      </c>
      <c r="O263">
        <f>IFERROR(INDEX(InternalTrades!$I$2:$I$461,MATCH($A263,InternalTrades!$A$2:$A$461,0)),"")</f>
        <v/>
      </c>
      <c r="P263">
        <f>IFERROR(INDEX(ExchangeConfirms!$I$2:$I$460,MATCH($A263,ExchangeConfirms!$A$2:$A$460,0)),"")</f>
        <v/>
      </c>
      <c r="Q263">
        <f>IF(AND($E263=1,$F263=0),"MISSING IN EXCHANGE",IF(AND($E263=0,$F263=1),"MISSING IN INTERNAL",IF($G263&lt;&gt;$H263,"SIDE BREAK",IF($I263&lt;&gt;$J263,"QTY BREAK",IF(ABS($K263-$L263)&gt;0.005,"PRICE BREAK",IF(ABS($M263-$N263)&gt;0.01,"FEE BREAK","MATCHED"))))))</f>
        <v/>
      </c>
      <c r="R263">
        <f>IF($Q263="MATCHED",0,1)</f>
        <v/>
      </c>
      <c r="S263">
        <f>IF($Q263="MATCHED",0,IF($Q263="MISSING IN EXCHANGE",$O263,IF($Q263="MISSING IN INTERNAL",$P263,ABS(N($O263)-N($P263)))))</f>
        <v/>
      </c>
    </row>
    <row r="264">
      <c r="A264" t="inlineStr">
        <is>
          <t>T100263</t>
        </is>
      </c>
      <c r="B264">
        <f>IFERROR(INDEX(InternalTrades!$D$2:$D$461,MATCH($A264,InternalTrades!$A$2:$A$461,0)),INDEX(ExchangeConfirms!$D$2:$D$460,MATCH($A264,ExchangeConfirms!$A$2:$A$460,0)))</f>
        <v/>
      </c>
      <c r="C264">
        <f>IFERROR(INDEX(InternalTrades!$E$2:$E$461,MATCH($A264,InternalTrades!$A$2:$A$461,0)),INDEX(ExchangeConfirms!$E$2:$E$460,MATCH($A264,ExchangeConfirms!$A$2:$A$460,0)))</f>
        <v/>
      </c>
      <c r="D264">
        <f>IFERROR(INDEX(InternalTrades!$K$2:$K$461,MATCH($A264,InternalTrades!$A$2:$A$461,0)),INDEX(ExchangeConfirms!$K$2:$K$460,MATCH($A264,ExchangeConfirms!$A$2:$A$460,0)))</f>
        <v/>
      </c>
      <c r="E264">
        <f>IF(COUNTIF(InternalTrades!$A$2:$A$461,$A264)&gt;0,1,0)</f>
        <v/>
      </c>
      <c r="F264">
        <f>IF(COUNTIF(ExchangeConfirms!$A$2:$A$460,$A264)&gt;0,1,0)</f>
        <v/>
      </c>
      <c r="G264">
        <f>IFERROR(INDEX(InternalTrades!$F$2:$F$461,MATCH($A264,InternalTrades!$A$2:$A$461,0)),"")</f>
        <v/>
      </c>
      <c r="H264">
        <f>IFERROR(INDEX(ExchangeConfirms!$F$2:$F$460,MATCH($A264,ExchangeConfirms!$A$2:$A$460,0)),"")</f>
        <v/>
      </c>
      <c r="I264">
        <f>IFERROR(INDEX(InternalTrades!$G$2:$G$461,MATCH($A264,InternalTrades!$A$2:$A$461,0)),"")</f>
        <v/>
      </c>
      <c r="J264">
        <f>IFERROR(INDEX(ExchangeConfirms!$G$2:$G$460,MATCH($A264,ExchangeConfirms!$A$2:$A$460,0)),"")</f>
        <v/>
      </c>
      <c r="K264">
        <f>IFERROR(INDEX(InternalTrades!$H$2:$H$461,MATCH($A264,InternalTrades!$A$2:$A$461,0)),"")</f>
        <v/>
      </c>
      <c r="L264">
        <f>IFERROR(INDEX(ExchangeConfirms!$H$2:$H$460,MATCH($A264,ExchangeConfirms!$A$2:$A$460,0)),"")</f>
        <v/>
      </c>
      <c r="M264">
        <f>IFERROR(INDEX(InternalTrades!$J$2:$J$461,MATCH($A264,InternalTrades!$A$2:$A$461,0)),"")</f>
        <v/>
      </c>
      <c r="N264">
        <f>IFERROR(INDEX(ExchangeConfirms!$J$2:$J$460,MATCH($A264,ExchangeConfirms!$A$2:$A$460,0)),"")</f>
        <v/>
      </c>
      <c r="O264">
        <f>IFERROR(INDEX(InternalTrades!$I$2:$I$461,MATCH($A264,InternalTrades!$A$2:$A$461,0)),"")</f>
        <v/>
      </c>
      <c r="P264">
        <f>IFERROR(INDEX(ExchangeConfirms!$I$2:$I$460,MATCH($A264,ExchangeConfirms!$A$2:$A$460,0)),"")</f>
        <v/>
      </c>
      <c r="Q264">
        <f>IF(AND($E264=1,$F264=0),"MISSING IN EXCHANGE",IF(AND($E264=0,$F264=1),"MISSING IN INTERNAL",IF($G264&lt;&gt;$H264,"SIDE BREAK",IF($I264&lt;&gt;$J264,"QTY BREAK",IF(ABS($K264-$L264)&gt;0.005,"PRICE BREAK",IF(ABS($M264-$N264)&gt;0.01,"FEE BREAK","MATCHED"))))))</f>
        <v/>
      </c>
      <c r="R264">
        <f>IF($Q264="MATCHED",0,1)</f>
        <v/>
      </c>
      <c r="S264">
        <f>IF($Q264="MATCHED",0,IF($Q264="MISSING IN EXCHANGE",$O264,IF($Q264="MISSING IN INTERNAL",$P264,ABS(N($O264)-N($P264)))))</f>
        <v/>
      </c>
    </row>
    <row r="265">
      <c r="A265" t="inlineStr">
        <is>
          <t>T100264</t>
        </is>
      </c>
      <c r="B265">
        <f>IFERROR(INDEX(InternalTrades!$D$2:$D$461,MATCH($A265,InternalTrades!$A$2:$A$461,0)),INDEX(ExchangeConfirms!$D$2:$D$460,MATCH($A265,ExchangeConfirms!$A$2:$A$460,0)))</f>
        <v/>
      </c>
      <c r="C265">
        <f>IFERROR(INDEX(InternalTrades!$E$2:$E$461,MATCH($A265,InternalTrades!$A$2:$A$461,0)),INDEX(ExchangeConfirms!$E$2:$E$460,MATCH($A265,ExchangeConfirms!$A$2:$A$460,0)))</f>
        <v/>
      </c>
      <c r="D265">
        <f>IFERROR(INDEX(InternalTrades!$K$2:$K$461,MATCH($A265,InternalTrades!$A$2:$A$461,0)),INDEX(ExchangeConfirms!$K$2:$K$460,MATCH($A265,ExchangeConfirms!$A$2:$A$460,0)))</f>
        <v/>
      </c>
      <c r="E265">
        <f>IF(COUNTIF(InternalTrades!$A$2:$A$461,$A265)&gt;0,1,0)</f>
        <v/>
      </c>
      <c r="F265">
        <f>IF(COUNTIF(ExchangeConfirms!$A$2:$A$460,$A265)&gt;0,1,0)</f>
        <v/>
      </c>
      <c r="G265">
        <f>IFERROR(INDEX(InternalTrades!$F$2:$F$461,MATCH($A265,InternalTrades!$A$2:$A$461,0)),"")</f>
        <v/>
      </c>
      <c r="H265">
        <f>IFERROR(INDEX(ExchangeConfirms!$F$2:$F$460,MATCH($A265,ExchangeConfirms!$A$2:$A$460,0)),"")</f>
        <v/>
      </c>
      <c r="I265">
        <f>IFERROR(INDEX(InternalTrades!$G$2:$G$461,MATCH($A265,InternalTrades!$A$2:$A$461,0)),"")</f>
        <v/>
      </c>
      <c r="J265">
        <f>IFERROR(INDEX(ExchangeConfirms!$G$2:$G$460,MATCH($A265,ExchangeConfirms!$A$2:$A$460,0)),"")</f>
        <v/>
      </c>
      <c r="K265">
        <f>IFERROR(INDEX(InternalTrades!$H$2:$H$461,MATCH($A265,InternalTrades!$A$2:$A$461,0)),"")</f>
        <v/>
      </c>
      <c r="L265">
        <f>IFERROR(INDEX(ExchangeConfirms!$H$2:$H$460,MATCH($A265,ExchangeConfirms!$A$2:$A$460,0)),"")</f>
        <v/>
      </c>
      <c r="M265">
        <f>IFERROR(INDEX(InternalTrades!$J$2:$J$461,MATCH($A265,InternalTrades!$A$2:$A$461,0)),"")</f>
        <v/>
      </c>
      <c r="N265">
        <f>IFERROR(INDEX(ExchangeConfirms!$J$2:$J$460,MATCH($A265,ExchangeConfirms!$A$2:$A$460,0)),"")</f>
        <v/>
      </c>
      <c r="O265">
        <f>IFERROR(INDEX(InternalTrades!$I$2:$I$461,MATCH($A265,InternalTrades!$A$2:$A$461,0)),"")</f>
        <v/>
      </c>
      <c r="P265">
        <f>IFERROR(INDEX(ExchangeConfirms!$I$2:$I$460,MATCH($A265,ExchangeConfirms!$A$2:$A$460,0)),"")</f>
        <v/>
      </c>
      <c r="Q265">
        <f>IF(AND($E265=1,$F265=0),"MISSING IN EXCHANGE",IF(AND($E265=0,$F265=1),"MISSING IN INTERNAL",IF($G265&lt;&gt;$H265,"SIDE BREAK",IF($I265&lt;&gt;$J265,"QTY BREAK",IF(ABS($K265-$L265)&gt;0.005,"PRICE BREAK",IF(ABS($M265-$N265)&gt;0.01,"FEE BREAK","MATCHED"))))))</f>
        <v/>
      </c>
      <c r="R265">
        <f>IF($Q265="MATCHED",0,1)</f>
        <v/>
      </c>
      <c r="S265">
        <f>IF($Q265="MATCHED",0,IF($Q265="MISSING IN EXCHANGE",$O265,IF($Q265="MISSING IN INTERNAL",$P265,ABS(N($O265)-N($P265)))))</f>
        <v/>
      </c>
    </row>
    <row r="266">
      <c r="A266" t="inlineStr">
        <is>
          <t>T100265</t>
        </is>
      </c>
      <c r="B266">
        <f>IFERROR(INDEX(InternalTrades!$D$2:$D$461,MATCH($A266,InternalTrades!$A$2:$A$461,0)),INDEX(ExchangeConfirms!$D$2:$D$460,MATCH($A266,ExchangeConfirms!$A$2:$A$460,0)))</f>
        <v/>
      </c>
      <c r="C266">
        <f>IFERROR(INDEX(InternalTrades!$E$2:$E$461,MATCH($A266,InternalTrades!$A$2:$A$461,0)),INDEX(ExchangeConfirms!$E$2:$E$460,MATCH($A266,ExchangeConfirms!$A$2:$A$460,0)))</f>
        <v/>
      </c>
      <c r="D266">
        <f>IFERROR(INDEX(InternalTrades!$K$2:$K$461,MATCH($A266,InternalTrades!$A$2:$A$461,0)),INDEX(ExchangeConfirms!$K$2:$K$460,MATCH($A266,ExchangeConfirms!$A$2:$A$460,0)))</f>
        <v/>
      </c>
      <c r="E266">
        <f>IF(COUNTIF(InternalTrades!$A$2:$A$461,$A266)&gt;0,1,0)</f>
        <v/>
      </c>
      <c r="F266">
        <f>IF(COUNTIF(ExchangeConfirms!$A$2:$A$460,$A266)&gt;0,1,0)</f>
        <v/>
      </c>
      <c r="G266">
        <f>IFERROR(INDEX(InternalTrades!$F$2:$F$461,MATCH($A266,InternalTrades!$A$2:$A$461,0)),"")</f>
        <v/>
      </c>
      <c r="H266">
        <f>IFERROR(INDEX(ExchangeConfirms!$F$2:$F$460,MATCH($A266,ExchangeConfirms!$A$2:$A$460,0)),"")</f>
        <v/>
      </c>
      <c r="I266">
        <f>IFERROR(INDEX(InternalTrades!$G$2:$G$461,MATCH($A266,InternalTrades!$A$2:$A$461,0)),"")</f>
        <v/>
      </c>
      <c r="J266">
        <f>IFERROR(INDEX(ExchangeConfirms!$G$2:$G$460,MATCH($A266,ExchangeConfirms!$A$2:$A$460,0)),"")</f>
        <v/>
      </c>
      <c r="K266">
        <f>IFERROR(INDEX(InternalTrades!$H$2:$H$461,MATCH($A266,InternalTrades!$A$2:$A$461,0)),"")</f>
        <v/>
      </c>
      <c r="L266">
        <f>IFERROR(INDEX(ExchangeConfirms!$H$2:$H$460,MATCH($A266,ExchangeConfirms!$A$2:$A$460,0)),"")</f>
        <v/>
      </c>
      <c r="M266">
        <f>IFERROR(INDEX(InternalTrades!$J$2:$J$461,MATCH($A266,InternalTrades!$A$2:$A$461,0)),"")</f>
        <v/>
      </c>
      <c r="N266">
        <f>IFERROR(INDEX(ExchangeConfirms!$J$2:$J$460,MATCH($A266,ExchangeConfirms!$A$2:$A$460,0)),"")</f>
        <v/>
      </c>
      <c r="O266">
        <f>IFERROR(INDEX(InternalTrades!$I$2:$I$461,MATCH($A266,InternalTrades!$A$2:$A$461,0)),"")</f>
        <v/>
      </c>
      <c r="P266">
        <f>IFERROR(INDEX(ExchangeConfirms!$I$2:$I$460,MATCH($A266,ExchangeConfirms!$A$2:$A$460,0)),"")</f>
        <v/>
      </c>
      <c r="Q266">
        <f>IF(AND($E266=1,$F266=0),"MISSING IN EXCHANGE",IF(AND($E266=0,$F266=1),"MISSING IN INTERNAL",IF($G266&lt;&gt;$H266,"SIDE BREAK",IF($I266&lt;&gt;$J266,"QTY BREAK",IF(ABS($K266-$L266)&gt;0.005,"PRICE BREAK",IF(ABS($M266-$N266)&gt;0.01,"FEE BREAK","MATCHED"))))))</f>
        <v/>
      </c>
      <c r="R266">
        <f>IF($Q266="MATCHED",0,1)</f>
        <v/>
      </c>
      <c r="S266">
        <f>IF($Q266="MATCHED",0,IF($Q266="MISSING IN EXCHANGE",$O266,IF($Q266="MISSING IN INTERNAL",$P266,ABS(N($O266)-N($P266)))))</f>
        <v/>
      </c>
    </row>
    <row r="267">
      <c r="A267" t="inlineStr">
        <is>
          <t>T100266</t>
        </is>
      </c>
      <c r="B267">
        <f>IFERROR(INDEX(InternalTrades!$D$2:$D$461,MATCH($A267,InternalTrades!$A$2:$A$461,0)),INDEX(ExchangeConfirms!$D$2:$D$460,MATCH($A267,ExchangeConfirms!$A$2:$A$460,0)))</f>
        <v/>
      </c>
      <c r="C267">
        <f>IFERROR(INDEX(InternalTrades!$E$2:$E$461,MATCH($A267,InternalTrades!$A$2:$A$461,0)),INDEX(ExchangeConfirms!$E$2:$E$460,MATCH($A267,ExchangeConfirms!$A$2:$A$460,0)))</f>
        <v/>
      </c>
      <c r="D267">
        <f>IFERROR(INDEX(InternalTrades!$K$2:$K$461,MATCH($A267,InternalTrades!$A$2:$A$461,0)),INDEX(ExchangeConfirms!$K$2:$K$460,MATCH($A267,ExchangeConfirms!$A$2:$A$460,0)))</f>
        <v/>
      </c>
      <c r="E267">
        <f>IF(COUNTIF(InternalTrades!$A$2:$A$461,$A267)&gt;0,1,0)</f>
        <v/>
      </c>
      <c r="F267">
        <f>IF(COUNTIF(ExchangeConfirms!$A$2:$A$460,$A267)&gt;0,1,0)</f>
        <v/>
      </c>
      <c r="G267">
        <f>IFERROR(INDEX(InternalTrades!$F$2:$F$461,MATCH($A267,InternalTrades!$A$2:$A$461,0)),"")</f>
        <v/>
      </c>
      <c r="H267">
        <f>IFERROR(INDEX(ExchangeConfirms!$F$2:$F$460,MATCH($A267,ExchangeConfirms!$A$2:$A$460,0)),"")</f>
        <v/>
      </c>
      <c r="I267">
        <f>IFERROR(INDEX(InternalTrades!$G$2:$G$461,MATCH($A267,InternalTrades!$A$2:$A$461,0)),"")</f>
        <v/>
      </c>
      <c r="J267">
        <f>IFERROR(INDEX(ExchangeConfirms!$G$2:$G$460,MATCH($A267,ExchangeConfirms!$A$2:$A$460,0)),"")</f>
        <v/>
      </c>
      <c r="K267">
        <f>IFERROR(INDEX(InternalTrades!$H$2:$H$461,MATCH($A267,InternalTrades!$A$2:$A$461,0)),"")</f>
        <v/>
      </c>
      <c r="L267">
        <f>IFERROR(INDEX(ExchangeConfirms!$H$2:$H$460,MATCH($A267,ExchangeConfirms!$A$2:$A$460,0)),"")</f>
        <v/>
      </c>
      <c r="M267">
        <f>IFERROR(INDEX(InternalTrades!$J$2:$J$461,MATCH($A267,InternalTrades!$A$2:$A$461,0)),"")</f>
        <v/>
      </c>
      <c r="N267">
        <f>IFERROR(INDEX(ExchangeConfirms!$J$2:$J$460,MATCH($A267,ExchangeConfirms!$A$2:$A$460,0)),"")</f>
        <v/>
      </c>
      <c r="O267">
        <f>IFERROR(INDEX(InternalTrades!$I$2:$I$461,MATCH($A267,InternalTrades!$A$2:$A$461,0)),"")</f>
        <v/>
      </c>
      <c r="P267">
        <f>IFERROR(INDEX(ExchangeConfirms!$I$2:$I$460,MATCH($A267,ExchangeConfirms!$A$2:$A$460,0)),"")</f>
        <v/>
      </c>
      <c r="Q267">
        <f>IF(AND($E267=1,$F267=0),"MISSING IN EXCHANGE",IF(AND($E267=0,$F267=1),"MISSING IN INTERNAL",IF($G267&lt;&gt;$H267,"SIDE BREAK",IF($I267&lt;&gt;$J267,"QTY BREAK",IF(ABS($K267-$L267)&gt;0.005,"PRICE BREAK",IF(ABS($M267-$N267)&gt;0.01,"FEE BREAK","MATCHED"))))))</f>
        <v/>
      </c>
      <c r="R267">
        <f>IF($Q267="MATCHED",0,1)</f>
        <v/>
      </c>
      <c r="S267">
        <f>IF($Q267="MATCHED",0,IF($Q267="MISSING IN EXCHANGE",$O267,IF($Q267="MISSING IN INTERNAL",$P267,ABS(N($O267)-N($P267)))))</f>
        <v/>
      </c>
    </row>
    <row r="268">
      <c r="A268" t="inlineStr">
        <is>
          <t>T100267</t>
        </is>
      </c>
      <c r="B268">
        <f>IFERROR(INDEX(InternalTrades!$D$2:$D$461,MATCH($A268,InternalTrades!$A$2:$A$461,0)),INDEX(ExchangeConfirms!$D$2:$D$460,MATCH($A268,ExchangeConfirms!$A$2:$A$460,0)))</f>
        <v/>
      </c>
      <c r="C268">
        <f>IFERROR(INDEX(InternalTrades!$E$2:$E$461,MATCH($A268,InternalTrades!$A$2:$A$461,0)),INDEX(ExchangeConfirms!$E$2:$E$460,MATCH($A268,ExchangeConfirms!$A$2:$A$460,0)))</f>
        <v/>
      </c>
      <c r="D268">
        <f>IFERROR(INDEX(InternalTrades!$K$2:$K$461,MATCH($A268,InternalTrades!$A$2:$A$461,0)),INDEX(ExchangeConfirms!$K$2:$K$460,MATCH($A268,ExchangeConfirms!$A$2:$A$460,0)))</f>
        <v/>
      </c>
      <c r="E268">
        <f>IF(COUNTIF(InternalTrades!$A$2:$A$461,$A268)&gt;0,1,0)</f>
        <v/>
      </c>
      <c r="F268">
        <f>IF(COUNTIF(ExchangeConfirms!$A$2:$A$460,$A268)&gt;0,1,0)</f>
        <v/>
      </c>
      <c r="G268">
        <f>IFERROR(INDEX(InternalTrades!$F$2:$F$461,MATCH($A268,InternalTrades!$A$2:$A$461,0)),"")</f>
        <v/>
      </c>
      <c r="H268">
        <f>IFERROR(INDEX(ExchangeConfirms!$F$2:$F$460,MATCH($A268,ExchangeConfirms!$A$2:$A$460,0)),"")</f>
        <v/>
      </c>
      <c r="I268">
        <f>IFERROR(INDEX(InternalTrades!$G$2:$G$461,MATCH($A268,InternalTrades!$A$2:$A$461,0)),"")</f>
        <v/>
      </c>
      <c r="J268">
        <f>IFERROR(INDEX(ExchangeConfirms!$G$2:$G$460,MATCH($A268,ExchangeConfirms!$A$2:$A$460,0)),"")</f>
        <v/>
      </c>
      <c r="K268">
        <f>IFERROR(INDEX(InternalTrades!$H$2:$H$461,MATCH($A268,InternalTrades!$A$2:$A$461,0)),"")</f>
        <v/>
      </c>
      <c r="L268">
        <f>IFERROR(INDEX(ExchangeConfirms!$H$2:$H$460,MATCH($A268,ExchangeConfirms!$A$2:$A$460,0)),"")</f>
        <v/>
      </c>
      <c r="M268">
        <f>IFERROR(INDEX(InternalTrades!$J$2:$J$461,MATCH($A268,InternalTrades!$A$2:$A$461,0)),"")</f>
        <v/>
      </c>
      <c r="N268">
        <f>IFERROR(INDEX(ExchangeConfirms!$J$2:$J$460,MATCH($A268,ExchangeConfirms!$A$2:$A$460,0)),"")</f>
        <v/>
      </c>
      <c r="O268">
        <f>IFERROR(INDEX(InternalTrades!$I$2:$I$461,MATCH($A268,InternalTrades!$A$2:$A$461,0)),"")</f>
        <v/>
      </c>
      <c r="P268">
        <f>IFERROR(INDEX(ExchangeConfirms!$I$2:$I$460,MATCH($A268,ExchangeConfirms!$A$2:$A$460,0)),"")</f>
        <v/>
      </c>
      <c r="Q268">
        <f>IF(AND($E268=1,$F268=0),"MISSING IN EXCHANGE",IF(AND($E268=0,$F268=1),"MISSING IN INTERNAL",IF($G268&lt;&gt;$H268,"SIDE BREAK",IF($I268&lt;&gt;$J268,"QTY BREAK",IF(ABS($K268-$L268)&gt;0.005,"PRICE BREAK",IF(ABS($M268-$N268)&gt;0.01,"FEE BREAK","MATCHED"))))))</f>
        <v/>
      </c>
      <c r="R268">
        <f>IF($Q268="MATCHED",0,1)</f>
        <v/>
      </c>
      <c r="S268">
        <f>IF($Q268="MATCHED",0,IF($Q268="MISSING IN EXCHANGE",$O268,IF($Q268="MISSING IN INTERNAL",$P268,ABS(N($O268)-N($P268)))))</f>
        <v/>
      </c>
    </row>
    <row r="269">
      <c r="A269" t="inlineStr">
        <is>
          <t>T100268</t>
        </is>
      </c>
      <c r="B269">
        <f>IFERROR(INDEX(InternalTrades!$D$2:$D$461,MATCH($A269,InternalTrades!$A$2:$A$461,0)),INDEX(ExchangeConfirms!$D$2:$D$460,MATCH($A269,ExchangeConfirms!$A$2:$A$460,0)))</f>
        <v/>
      </c>
      <c r="C269">
        <f>IFERROR(INDEX(InternalTrades!$E$2:$E$461,MATCH($A269,InternalTrades!$A$2:$A$461,0)),INDEX(ExchangeConfirms!$E$2:$E$460,MATCH($A269,ExchangeConfirms!$A$2:$A$460,0)))</f>
        <v/>
      </c>
      <c r="D269">
        <f>IFERROR(INDEX(InternalTrades!$K$2:$K$461,MATCH($A269,InternalTrades!$A$2:$A$461,0)),INDEX(ExchangeConfirms!$K$2:$K$460,MATCH($A269,ExchangeConfirms!$A$2:$A$460,0)))</f>
        <v/>
      </c>
      <c r="E269">
        <f>IF(COUNTIF(InternalTrades!$A$2:$A$461,$A269)&gt;0,1,0)</f>
        <v/>
      </c>
      <c r="F269">
        <f>IF(COUNTIF(ExchangeConfirms!$A$2:$A$460,$A269)&gt;0,1,0)</f>
        <v/>
      </c>
      <c r="G269">
        <f>IFERROR(INDEX(InternalTrades!$F$2:$F$461,MATCH($A269,InternalTrades!$A$2:$A$461,0)),"")</f>
        <v/>
      </c>
      <c r="H269">
        <f>IFERROR(INDEX(ExchangeConfirms!$F$2:$F$460,MATCH($A269,ExchangeConfirms!$A$2:$A$460,0)),"")</f>
        <v/>
      </c>
      <c r="I269">
        <f>IFERROR(INDEX(InternalTrades!$G$2:$G$461,MATCH($A269,InternalTrades!$A$2:$A$461,0)),"")</f>
        <v/>
      </c>
      <c r="J269">
        <f>IFERROR(INDEX(ExchangeConfirms!$G$2:$G$460,MATCH($A269,ExchangeConfirms!$A$2:$A$460,0)),"")</f>
        <v/>
      </c>
      <c r="K269">
        <f>IFERROR(INDEX(InternalTrades!$H$2:$H$461,MATCH($A269,InternalTrades!$A$2:$A$461,0)),"")</f>
        <v/>
      </c>
      <c r="L269">
        <f>IFERROR(INDEX(ExchangeConfirms!$H$2:$H$460,MATCH($A269,ExchangeConfirms!$A$2:$A$460,0)),"")</f>
        <v/>
      </c>
      <c r="M269">
        <f>IFERROR(INDEX(InternalTrades!$J$2:$J$461,MATCH($A269,InternalTrades!$A$2:$A$461,0)),"")</f>
        <v/>
      </c>
      <c r="N269">
        <f>IFERROR(INDEX(ExchangeConfirms!$J$2:$J$460,MATCH($A269,ExchangeConfirms!$A$2:$A$460,0)),"")</f>
        <v/>
      </c>
      <c r="O269">
        <f>IFERROR(INDEX(InternalTrades!$I$2:$I$461,MATCH($A269,InternalTrades!$A$2:$A$461,0)),"")</f>
        <v/>
      </c>
      <c r="P269">
        <f>IFERROR(INDEX(ExchangeConfirms!$I$2:$I$460,MATCH($A269,ExchangeConfirms!$A$2:$A$460,0)),"")</f>
        <v/>
      </c>
      <c r="Q269">
        <f>IF(AND($E269=1,$F269=0),"MISSING IN EXCHANGE",IF(AND($E269=0,$F269=1),"MISSING IN INTERNAL",IF($G269&lt;&gt;$H269,"SIDE BREAK",IF($I269&lt;&gt;$J269,"QTY BREAK",IF(ABS($K269-$L269)&gt;0.005,"PRICE BREAK",IF(ABS($M269-$N269)&gt;0.01,"FEE BREAK","MATCHED"))))))</f>
        <v/>
      </c>
      <c r="R269">
        <f>IF($Q269="MATCHED",0,1)</f>
        <v/>
      </c>
      <c r="S269">
        <f>IF($Q269="MATCHED",0,IF($Q269="MISSING IN EXCHANGE",$O269,IF($Q269="MISSING IN INTERNAL",$P269,ABS(N($O269)-N($P269)))))</f>
        <v/>
      </c>
    </row>
    <row r="270">
      <c r="A270" t="inlineStr">
        <is>
          <t>T100269</t>
        </is>
      </c>
      <c r="B270">
        <f>IFERROR(INDEX(InternalTrades!$D$2:$D$461,MATCH($A270,InternalTrades!$A$2:$A$461,0)),INDEX(ExchangeConfirms!$D$2:$D$460,MATCH($A270,ExchangeConfirms!$A$2:$A$460,0)))</f>
        <v/>
      </c>
      <c r="C270">
        <f>IFERROR(INDEX(InternalTrades!$E$2:$E$461,MATCH($A270,InternalTrades!$A$2:$A$461,0)),INDEX(ExchangeConfirms!$E$2:$E$460,MATCH($A270,ExchangeConfirms!$A$2:$A$460,0)))</f>
        <v/>
      </c>
      <c r="D270">
        <f>IFERROR(INDEX(InternalTrades!$K$2:$K$461,MATCH($A270,InternalTrades!$A$2:$A$461,0)),INDEX(ExchangeConfirms!$K$2:$K$460,MATCH($A270,ExchangeConfirms!$A$2:$A$460,0)))</f>
        <v/>
      </c>
      <c r="E270">
        <f>IF(COUNTIF(InternalTrades!$A$2:$A$461,$A270)&gt;0,1,0)</f>
        <v/>
      </c>
      <c r="F270">
        <f>IF(COUNTIF(ExchangeConfirms!$A$2:$A$460,$A270)&gt;0,1,0)</f>
        <v/>
      </c>
      <c r="G270">
        <f>IFERROR(INDEX(InternalTrades!$F$2:$F$461,MATCH($A270,InternalTrades!$A$2:$A$461,0)),"")</f>
        <v/>
      </c>
      <c r="H270">
        <f>IFERROR(INDEX(ExchangeConfirms!$F$2:$F$460,MATCH($A270,ExchangeConfirms!$A$2:$A$460,0)),"")</f>
        <v/>
      </c>
      <c r="I270">
        <f>IFERROR(INDEX(InternalTrades!$G$2:$G$461,MATCH($A270,InternalTrades!$A$2:$A$461,0)),"")</f>
        <v/>
      </c>
      <c r="J270">
        <f>IFERROR(INDEX(ExchangeConfirms!$G$2:$G$460,MATCH($A270,ExchangeConfirms!$A$2:$A$460,0)),"")</f>
        <v/>
      </c>
      <c r="K270">
        <f>IFERROR(INDEX(InternalTrades!$H$2:$H$461,MATCH($A270,InternalTrades!$A$2:$A$461,0)),"")</f>
        <v/>
      </c>
      <c r="L270">
        <f>IFERROR(INDEX(ExchangeConfirms!$H$2:$H$460,MATCH($A270,ExchangeConfirms!$A$2:$A$460,0)),"")</f>
        <v/>
      </c>
      <c r="M270">
        <f>IFERROR(INDEX(InternalTrades!$J$2:$J$461,MATCH($A270,InternalTrades!$A$2:$A$461,0)),"")</f>
        <v/>
      </c>
      <c r="N270">
        <f>IFERROR(INDEX(ExchangeConfirms!$J$2:$J$460,MATCH($A270,ExchangeConfirms!$A$2:$A$460,0)),"")</f>
        <v/>
      </c>
      <c r="O270">
        <f>IFERROR(INDEX(InternalTrades!$I$2:$I$461,MATCH($A270,InternalTrades!$A$2:$A$461,0)),"")</f>
        <v/>
      </c>
      <c r="P270">
        <f>IFERROR(INDEX(ExchangeConfirms!$I$2:$I$460,MATCH($A270,ExchangeConfirms!$A$2:$A$460,0)),"")</f>
        <v/>
      </c>
      <c r="Q270">
        <f>IF(AND($E270=1,$F270=0),"MISSING IN EXCHANGE",IF(AND($E270=0,$F270=1),"MISSING IN INTERNAL",IF($G270&lt;&gt;$H270,"SIDE BREAK",IF($I270&lt;&gt;$J270,"QTY BREAK",IF(ABS($K270-$L270)&gt;0.005,"PRICE BREAK",IF(ABS($M270-$N270)&gt;0.01,"FEE BREAK","MATCHED"))))))</f>
        <v/>
      </c>
      <c r="R270">
        <f>IF($Q270="MATCHED",0,1)</f>
        <v/>
      </c>
      <c r="S270">
        <f>IF($Q270="MATCHED",0,IF($Q270="MISSING IN EXCHANGE",$O270,IF($Q270="MISSING IN INTERNAL",$P270,ABS(N($O270)-N($P270)))))</f>
        <v/>
      </c>
    </row>
    <row r="271">
      <c r="A271" t="inlineStr">
        <is>
          <t>T100270</t>
        </is>
      </c>
      <c r="B271">
        <f>IFERROR(INDEX(InternalTrades!$D$2:$D$461,MATCH($A271,InternalTrades!$A$2:$A$461,0)),INDEX(ExchangeConfirms!$D$2:$D$460,MATCH($A271,ExchangeConfirms!$A$2:$A$460,0)))</f>
        <v/>
      </c>
      <c r="C271">
        <f>IFERROR(INDEX(InternalTrades!$E$2:$E$461,MATCH($A271,InternalTrades!$A$2:$A$461,0)),INDEX(ExchangeConfirms!$E$2:$E$460,MATCH($A271,ExchangeConfirms!$A$2:$A$460,0)))</f>
        <v/>
      </c>
      <c r="D271">
        <f>IFERROR(INDEX(InternalTrades!$K$2:$K$461,MATCH($A271,InternalTrades!$A$2:$A$461,0)),INDEX(ExchangeConfirms!$K$2:$K$460,MATCH($A271,ExchangeConfirms!$A$2:$A$460,0)))</f>
        <v/>
      </c>
      <c r="E271">
        <f>IF(COUNTIF(InternalTrades!$A$2:$A$461,$A271)&gt;0,1,0)</f>
        <v/>
      </c>
      <c r="F271">
        <f>IF(COUNTIF(ExchangeConfirms!$A$2:$A$460,$A271)&gt;0,1,0)</f>
        <v/>
      </c>
      <c r="G271">
        <f>IFERROR(INDEX(InternalTrades!$F$2:$F$461,MATCH($A271,InternalTrades!$A$2:$A$461,0)),"")</f>
        <v/>
      </c>
      <c r="H271">
        <f>IFERROR(INDEX(ExchangeConfirms!$F$2:$F$460,MATCH($A271,ExchangeConfirms!$A$2:$A$460,0)),"")</f>
        <v/>
      </c>
      <c r="I271">
        <f>IFERROR(INDEX(InternalTrades!$G$2:$G$461,MATCH($A271,InternalTrades!$A$2:$A$461,0)),"")</f>
        <v/>
      </c>
      <c r="J271">
        <f>IFERROR(INDEX(ExchangeConfirms!$G$2:$G$460,MATCH($A271,ExchangeConfirms!$A$2:$A$460,0)),"")</f>
        <v/>
      </c>
      <c r="K271">
        <f>IFERROR(INDEX(InternalTrades!$H$2:$H$461,MATCH($A271,InternalTrades!$A$2:$A$461,0)),"")</f>
        <v/>
      </c>
      <c r="L271">
        <f>IFERROR(INDEX(ExchangeConfirms!$H$2:$H$460,MATCH($A271,ExchangeConfirms!$A$2:$A$460,0)),"")</f>
        <v/>
      </c>
      <c r="M271">
        <f>IFERROR(INDEX(InternalTrades!$J$2:$J$461,MATCH($A271,InternalTrades!$A$2:$A$461,0)),"")</f>
        <v/>
      </c>
      <c r="N271">
        <f>IFERROR(INDEX(ExchangeConfirms!$J$2:$J$460,MATCH($A271,ExchangeConfirms!$A$2:$A$460,0)),"")</f>
        <v/>
      </c>
      <c r="O271">
        <f>IFERROR(INDEX(InternalTrades!$I$2:$I$461,MATCH($A271,InternalTrades!$A$2:$A$461,0)),"")</f>
        <v/>
      </c>
      <c r="P271">
        <f>IFERROR(INDEX(ExchangeConfirms!$I$2:$I$460,MATCH($A271,ExchangeConfirms!$A$2:$A$460,0)),"")</f>
        <v/>
      </c>
      <c r="Q271">
        <f>IF(AND($E271=1,$F271=0),"MISSING IN EXCHANGE",IF(AND($E271=0,$F271=1),"MISSING IN INTERNAL",IF($G271&lt;&gt;$H271,"SIDE BREAK",IF($I271&lt;&gt;$J271,"QTY BREAK",IF(ABS($K271-$L271)&gt;0.005,"PRICE BREAK",IF(ABS($M271-$N271)&gt;0.01,"FEE BREAK","MATCHED"))))))</f>
        <v/>
      </c>
      <c r="R271">
        <f>IF($Q271="MATCHED",0,1)</f>
        <v/>
      </c>
      <c r="S271">
        <f>IF($Q271="MATCHED",0,IF($Q271="MISSING IN EXCHANGE",$O271,IF($Q271="MISSING IN INTERNAL",$P271,ABS(N($O271)-N($P271)))))</f>
        <v/>
      </c>
    </row>
    <row r="272">
      <c r="A272" t="inlineStr">
        <is>
          <t>T100271</t>
        </is>
      </c>
      <c r="B272">
        <f>IFERROR(INDEX(InternalTrades!$D$2:$D$461,MATCH($A272,InternalTrades!$A$2:$A$461,0)),INDEX(ExchangeConfirms!$D$2:$D$460,MATCH($A272,ExchangeConfirms!$A$2:$A$460,0)))</f>
        <v/>
      </c>
      <c r="C272">
        <f>IFERROR(INDEX(InternalTrades!$E$2:$E$461,MATCH($A272,InternalTrades!$A$2:$A$461,0)),INDEX(ExchangeConfirms!$E$2:$E$460,MATCH($A272,ExchangeConfirms!$A$2:$A$460,0)))</f>
        <v/>
      </c>
      <c r="D272">
        <f>IFERROR(INDEX(InternalTrades!$K$2:$K$461,MATCH($A272,InternalTrades!$A$2:$A$461,0)),INDEX(ExchangeConfirms!$K$2:$K$460,MATCH($A272,ExchangeConfirms!$A$2:$A$460,0)))</f>
        <v/>
      </c>
      <c r="E272">
        <f>IF(COUNTIF(InternalTrades!$A$2:$A$461,$A272)&gt;0,1,0)</f>
        <v/>
      </c>
      <c r="F272">
        <f>IF(COUNTIF(ExchangeConfirms!$A$2:$A$460,$A272)&gt;0,1,0)</f>
        <v/>
      </c>
      <c r="G272">
        <f>IFERROR(INDEX(InternalTrades!$F$2:$F$461,MATCH($A272,InternalTrades!$A$2:$A$461,0)),"")</f>
        <v/>
      </c>
      <c r="H272">
        <f>IFERROR(INDEX(ExchangeConfirms!$F$2:$F$460,MATCH($A272,ExchangeConfirms!$A$2:$A$460,0)),"")</f>
        <v/>
      </c>
      <c r="I272">
        <f>IFERROR(INDEX(InternalTrades!$G$2:$G$461,MATCH($A272,InternalTrades!$A$2:$A$461,0)),"")</f>
        <v/>
      </c>
      <c r="J272">
        <f>IFERROR(INDEX(ExchangeConfirms!$G$2:$G$460,MATCH($A272,ExchangeConfirms!$A$2:$A$460,0)),"")</f>
        <v/>
      </c>
      <c r="K272">
        <f>IFERROR(INDEX(InternalTrades!$H$2:$H$461,MATCH($A272,InternalTrades!$A$2:$A$461,0)),"")</f>
        <v/>
      </c>
      <c r="L272">
        <f>IFERROR(INDEX(ExchangeConfirms!$H$2:$H$460,MATCH($A272,ExchangeConfirms!$A$2:$A$460,0)),"")</f>
        <v/>
      </c>
      <c r="M272">
        <f>IFERROR(INDEX(InternalTrades!$J$2:$J$461,MATCH($A272,InternalTrades!$A$2:$A$461,0)),"")</f>
        <v/>
      </c>
      <c r="N272">
        <f>IFERROR(INDEX(ExchangeConfirms!$J$2:$J$460,MATCH($A272,ExchangeConfirms!$A$2:$A$460,0)),"")</f>
        <v/>
      </c>
      <c r="O272">
        <f>IFERROR(INDEX(InternalTrades!$I$2:$I$461,MATCH($A272,InternalTrades!$A$2:$A$461,0)),"")</f>
        <v/>
      </c>
      <c r="P272">
        <f>IFERROR(INDEX(ExchangeConfirms!$I$2:$I$460,MATCH($A272,ExchangeConfirms!$A$2:$A$460,0)),"")</f>
        <v/>
      </c>
      <c r="Q272">
        <f>IF(AND($E272=1,$F272=0),"MISSING IN EXCHANGE",IF(AND($E272=0,$F272=1),"MISSING IN INTERNAL",IF($G272&lt;&gt;$H272,"SIDE BREAK",IF($I272&lt;&gt;$J272,"QTY BREAK",IF(ABS($K272-$L272)&gt;0.005,"PRICE BREAK",IF(ABS($M272-$N272)&gt;0.01,"FEE BREAK","MATCHED"))))))</f>
        <v/>
      </c>
      <c r="R272">
        <f>IF($Q272="MATCHED",0,1)</f>
        <v/>
      </c>
      <c r="S272">
        <f>IF($Q272="MATCHED",0,IF($Q272="MISSING IN EXCHANGE",$O272,IF($Q272="MISSING IN INTERNAL",$P272,ABS(N($O272)-N($P272)))))</f>
        <v/>
      </c>
    </row>
    <row r="273">
      <c r="A273" t="inlineStr">
        <is>
          <t>T100272</t>
        </is>
      </c>
      <c r="B273">
        <f>IFERROR(INDEX(InternalTrades!$D$2:$D$461,MATCH($A273,InternalTrades!$A$2:$A$461,0)),INDEX(ExchangeConfirms!$D$2:$D$460,MATCH($A273,ExchangeConfirms!$A$2:$A$460,0)))</f>
        <v/>
      </c>
      <c r="C273">
        <f>IFERROR(INDEX(InternalTrades!$E$2:$E$461,MATCH($A273,InternalTrades!$A$2:$A$461,0)),INDEX(ExchangeConfirms!$E$2:$E$460,MATCH($A273,ExchangeConfirms!$A$2:$A$460,0)))</f>
        <v/>
      </c>
      <c r="D273">
        <f>IFERROR(INDEX(InternalTrades!$K$2:$K$461,MATCH($A273,InternalTrades!$A$2:$A$461,0)),INDEX(ExchangeConfirms!$K$2:$K$460,MATCH($A273,ExchangeConfirms!$A$2:$A$460,0)))</f>
        <v/>
      </c>
      <c r="E273">
        <f>IF(COUNTIF(InternalTrades!$A$2:$A$461,$A273)&gt;0,1,0)</f>
        <v/>
      </c>
      <c r="F273">
        <f>IF(COUNTIF(ExchangeConfirms!$A$2:$A$460,$A273)&gt;0,1,0)</f>
        <v/>
      </c>
      <c r="G273">
        <f>IFERROR(INDEX(InternalTrades!$F$2:$F$461,MATCH($A273,InternalTrades!$A$2:$A$461,0)),"")</f>
        <v/>
      </c>
      <c r="H273">
        <f>IFERROR(INDEX(ExchangeConfirms!$F$2:$F$460,MATCH($A273,ExchangeConfirms!$A$2:$A$460,0)),"")</f>
        <v/>
      </c>
      <c r="I273">
        <f>IFERROR(INDEX(InternalTrades!$G$2:$G$461,MATCH($A273,InternalTrades!$A$2:$A$461,0)),"")</f>
        <v/>
      </c>
      <c r="J273">
        <f>IFERROR(INDEX(ExchangeConfirms!$G$2:$G$460,MATCH($A273,ExchangeConfirms!$A$2:$A$460,0)),"")</f>
        <v/>
      </c>
      <c r="K273">
        <f>IFERROR(INDEX(InternalTrades!$H$2:$H$461,MATCH($A273,InternalTrades!$A$2:$A$461,0)),"")</f>
        <v/>
      </c>
      <c r="L273">
        <f>IFERROR(INDEX(ExchangeConfirms!$H$2:$H$460,MATCH($A273,ExchangeConfirms!$A$2:$A$460,0)),"")</f>
        <v/>
      </c>
      <c r="M273">
        <f>IFERROR(INDEX(InternalTrades!$J$2:$J$461,MATCH($A273,InternalTrades!$A$2:$A$461,0)),"")</f>
        <v/>
      </c>
      <c r="N273">
        <f>IFERROR(INDEX(ExchangeConfirms!$J$2:$J$460,MATCH($A273,ExchangeConfirms!$A$2:$A$460,0)),"")</f>
        <v/>
      </c>
      <c r="O273">
        <f>IFERROR(INDEX(InternalTrades!$I$2:$I$461,MATCH($A273,InternalTrades!$A$2:$A$461,0)),"")</f>
        <v/>
      </c>
      <c r="P273">
        <f>IFERROR(INDEX(ExchangeConfirms!$I$2:$I$460,MATCH($A273,ExchangeConfirms!$A$2:$A$460,0)),"")</f>
        <v/>
      </c>
      <c r="Q273">
        <f>IF(AND($E273=1,$F273=0),"MISSING IN EXCHANGE",IF(AND($E273=0,$F273=1),"MISSING IN INTERNAL",IF($G273&lt;&gt;$H273,"SIDE BREAK",IF($I273&lt;&gt;$J273,"QTY BREAK",IF(ABS($K273-$L273)&gt;0.005,"PRICE BREAK",IF(ABS($M273-$N273)&gt;0.01,"FEE BREAK","MATCHED"))))))</f>
        <v/>
      </c>
      <c r="R273">
        <f>IF($Q273="MATCHED",0,1)</f>
        <v/>
      </c>
      <c r="S273">
        <f>IF($Q273="MATCHED",0,IF($Q273="MISSING IN EXCHANGE",$O273,IF($Q273="MISSING IN INTERNAL",$P273,ABS(N($O273)-N($P273)))))</f>
        <v/>
      </c>
    </row>
    <row r="274">
      <c r="A274" t="inlineStr">
        <is>
          <t>T100273</t>
        </is>
      </c>
      <c r="B274">
        <f>IFERROR(INDEX(InternalTrades!$D$2:$D$461,MATCH($A274,InternalTrades!$A$2:$A$461,0)),INDEX(ExchangeConfirms!$D$2:$D$460,MATCH($A274,ExchangeConfirms!$A$2:$A$460,0)))</f>
        <v/>
      </c>
      <c r="C274">
        <f>IFERROR(INDEX(InternalTrades!$E$2:$E$461,MATCH($A274,InternalTrades!$A$2:$A$461,0)),INDEX(ExchangeConfirms!$E$2:$E$460,MATCH($A274,ExchangeConfirms!$A$2:$A$460,0)))</f>
        <v/>
      </c>
      <c r="D274">
        <f>IFERROR(INDEX(InternalTrades!$K$2:$K$461,MATCH($A274,InternalTrades!$A$2:$A$461,0)),INDEX(ExchangeConfirms!$K$2:$K$460,MATCH($A274,ExchangeConfirms!$A$2:$A$460,0)))</f>
        <v/>
      </c>
      <c r="E274">
        <f>IF(COUNTIF(InternalTrades!$A$2:$A$461,$A274)&gt;0,1,0)</f>
        <v/>
      </c>
      <c r="F274">
        <f>IF(COUNTIF(ExchangeConfirms!$A$2:$A$460,$A274)&gt;0,1,0)</f>
        <v/>
      </c>
      <c r="G274">
        <f>IFERROR(INDEX(InternalTrades!$F$2:$F$461,MATCH($A274,InternalTrades!$A$2:$A$461,0)),"")</f>
        <v/>
      </c>
      <c r="H274">
        <f>IFERROR(INDEX(ExchangeConfirms!$F$2:$F$460,MATCH($A274,ExchangeConfirms!$A$2:$A$460,0)),"")</f>
        <v/>
      </c>
      <c r="I274">
        <f>IFERROR(INDEX(InternalTrades!$G$2:$G$461,MATCH($A274,InternalTrades!$A$2:$A$461,0)),"")</f>
        <v/>
      </c>
      <c r="J274">
        <f>IFERROR(INDEX(ExchangeConfirms!$G$2:$G$460,MATCH($A274,ExchangeConfirms!$A$2:$A$460,0)),"")</f>
        <v/>
      </c>
      <c r="K274">
        <f>IFERROR(INDEX(InternalTrades!$H$2:$H$461,MATCH($A274,InternalTrades!$A$2:$A$461,0)),"")</f>
        <v/>
      </c>
      <c r="L274">
        <f>IFERROR(INDEX(ExchangeConfirms!$H$2:$H$460,MATCH($A274,ExchangeConfirms!$A$2:$A$460,0)),"")</f>
        <v/>
      </c>
      <c r="M274">
        <f>IFERROR(INDEX(InternalTrades!$J$2:$J$461,MATCH($A274,InternalTrades!$A$2:$A$461,0)),"")</f>
        <v/>
      </c>
      <c r="N274">
        <f>IFERROR(INDEX(ExchangeConfirms!$J$2:$J$460,MATCH($A274,ExchangeConfirms!$A$2:$A$460,0)),"")</f>
        <v/>
      </c>
      <c r="O274">
        <f>IFERROR(INDEX(InternalTrades!$I$2:$I$461,MATCH($A274,InternalTrades!$A$2:$A$461,0)),"")</f>
        <v/>
      </c>
      <c r="P274">
        <f>IFERROR(INDEX(ExchangeConfirms!$I$2:$I$460,MATCH($A274,ExchangeConfirms!$A$2:$A$460,0)),"")</f>
        <v/>
      </c>
      <c r="Q274">
        <f>IF(AND($E274=1,$F274=0),"MISSING IN EXCHANGE",IF(AND($E274=0,$F274=1),"MISSING IN INTERNAL",IF($G274&lt;&gt;$H274,"SIDE BREAK",IF($I274&lt;&gt;$J274,"QTY BREAK",IF(ABS($K274-$L274)&gt;0.005,"PRICE BREAK",IF(ABS($M274-$N274)&gt;0.01,"FEE BREAK","MATCHED"))))))</f>
        <v/>
      </c>
      <c r="R274">
        <f>IF($Q274="MATCHED",0,1)</f>
        <v/>
      </c>
      <c r="S274">
        <f>IF($Q274="MATCHED",0,IF($Q274="MISSING IN EXCHANGE",$O274,IF($Q274="MISSING IN INTERNAL",$P274,ABS(N($O274)-N($P274)))))</f>
        <v/>
      </c>
    </row>
    <row r="275">
      <c r="A275" t="inlineStr">
        <is>
          <t>T100274</t>
        </is>
      </c>
      <c r="B275">
        <f>IFERROR(INDEX(InternalTrades!$D$2:$D$461,MATCH($A275,InternalTrades!$A$2:$A$461,0)),INDEX(ExchangeConfirms!$D$2:$D$460,MATCH($A275,ExchangeConfirms!$A$2:$A$460,0)))</f>
        <v/>
      </c>
      <c r="C275">
        <f>IFERROR(INDEX(InternalTrades!$E$2:$E$461,MATCH($A275,InternalTrades!$A$2:$A$461,0)),INDEX(ExchangeConfirms!$E$2:$E$460,MATCH($A275,ExchangeConfirms!$A$2:$A$460,0)))</f>
        <v/>
      </c>
      <c r="D275">
        <f>IFERROR(INDEX(InternalTrades!$K$2:$K$461,MATCH($A275,InternalTrades!$A$2:$A$461,0)),INDEX(ExchangeConfirms!$K$2:$K$460,MATCH($A275,ExchangeConfirms!$A$2:$A$460,0)))</f>
        <v/>
      </c>
      <c r="E275">
        <f>IF(COUNTIF(InternalTrades!$A$2:$A$461,$A275)&gt;0,1,0)</f>
        <v/>
      </c>
      <c r="F275">
        <f>IF(COUNTIF(ExchangeConfirms!$A$2:$A$460,$A275)&gt;0,1,0)</f>
        <v/>
      </c>
      <c r="G275">
        <f>IFERROR(INDEX(InternalTrades!$F$2:$F$461,MATCH($A275,InternalTrades!$A$2:$A$461,0)),"")</f>
        <v/>
      </c>
      <c r="H275">
        <f>IFERROR(INDEX(ExchangeConfirms!$F$2:$F$460,MATCH($A275,ExchangeConfirms!$A$2:$A$460,0)),"")</f>
        <v/>
      </c>
      <c r="I275">
        <f>IFERROR(INDEX(InternalTrades!$G$2:$G$461,MATCH($A275,InternalTrades!$A$2:$A$461,0)),"")</f>
        <v/>
      </c>
      <c r="J275">
        <f>IFERROR(INDEX(ExchangeConfirms!$G$2:$G$460,MATCH($A275,ExchangeConfirms!$A$2:$A$460,0)),"")</f>
        <v/>
      </c>
      <c r="K275">
        <f>IFERROR(INDEX(InternalTrades!$H$2:$H$461,MATCH($A275,InternalTrades!$A$2:$A$461,0)),"")</f>
        <v/>
      </c>
      <c r="L275">
        <f>IFERROR(INDEX(ExchangeConfirms!$H$2:$H$460,MATCH($A275,ExchangeConfirms!$A$2:$A$460,0)),"")</f>
        <v/>
      </c>
      <c r="M275">
        <f>IFERROR(INDEX(InternalTrades!$J$2:$J$461,MATCH($A275,InternalTrades!$A$2:$A$461,0)),"")</f>
        <v/>
      </c>
      <c r="N275">
        <f>IFERROR(INDEX(ExchangeConfirms!$J$2:$J$460,MATCH($A275,ExchangeConfirms!$A$2:$A$460,0)),"")</f>
        <v/>
      </c>
      <c r="O275">
        <f>IFERROR(INDEX(InternalTrades!$I$2:$I$461,MATCH($A275,InternalTrades!$A$2:$A$461,0)),"")</f>
        <v/>
      </c>
      <c r="P275">
        <f>IFERROR(INDEX(ExchangeConfirms!$I$2:$I$460,MATCH($A275,ExchangeConfirms!$A$2:$A$460,0)),"")</f>
        <v/>
      </c>
      <c r="Q275">
        <f>IF(AND($E275=1,$F275=0),"MISSING IN EXCHANGE",IF(AND($E275=0,$F275=1),"MISSING IN INTERNAL",IF($G275&lt;&gt;$H275,"SIDE BREAK",IF($I275&lt;&gt;$J275,"QTY BREAK",IF(ABS($K275-$L275)&gt;0.005,"PRICE BREAK",IF(ABS($M275-$N275)&gt;0.01,"FEE BREAK","MATCHED"))))))</f>
        <v/>
      </c>
      <c r="R275">
        <f>IF($Q275="MATCHED",0,1)</f>
        <v/>
      </c>
      <c r="S275">
        <f>IF($Q275="MATCHED",0,IF($Q275="MISSING IN EXCHANGE",$O275,IF($Q275="MISSING IN INTERNAL",$P275,ABS(N($O275)-N($P275)))))</f>
        <v/>
      </c>
    </row>
    <row r="276">
      <c r="A276" t="inlineStr">
        <is>
          <t>T100275</t>
        </is>
      </c>
      <c r="B276">
        <f>IFERROR(INDEX(InternalTrades!$D$2:$D$461,MATCH($A276,InternalTrades!$A$2:$A$461,0)),INDEX(ExchangeConfirms!$D$2:$D$460,MATCH($A276,ExchangeConfirms!$A$2:$A$460,0)))</f>
        <v/>
      </c>
      <c r="C276">
        <f>IFERROR(INDEX(InternalTrades!$E$2:$E$461,MATCH($A276,InternalTrades!$A$2:$A$461,0)),INDEX(ExchangeConfirms!$E$2:$E$460,MATCH($A276,ExchangeConfirms!$A$2:$A$460,0)))</f>
        <v/>
      </c>
      <c r="D276">
        <f>IFERROR(INDEX(InternalTrades!$K$2:$K$461,MATCH($A276,InternalTrades!$A$2:$A$461,0)),INDEX(ExchangeConfirms!$K$2:$K$460,MATCH($A276,ExchangeConfirms!$A$2:$A$460,0)))</f>
        <v/>
      </c>
      <c r="E276">
        <f>IF(COUNTIF(InternalTrades!$A$2:$A$461,$A276)&gt;0,1,0)</f>
        <v/>
      </c>
      <c r="F276">
        <f>IF(COUNTIF(ExchangeConfirms!$A$2:$A$460,$A276)&gt;0,1,0)</f>
        <v/>
      </c>
      <c r="G276">
        <f>IFERROR(INDEX(InternalTrades!$F$2:$F$461,MATCH($A276,InternalTrades!$A$2:$A$461,0)),"")</f>
        <v/>
      </c>
      <c r="H276">
        <f>IFERROR(INDEX(ExchangeConfirms!$F$2:$F$460,MATCH($A276,ExchangeConfirms!$A$2:$A$460,0)),"")</f>
        <v/>
      </c>
      <c r="I276">
        <f>IFERROR(INDEX(InternalTrades!$G$2:$G$461,MATCH($A276,InternalTrades!$A$2:$A$461,0)),"")</f>
        <v/>
      </c>
      <c r="J276">
        <f>IFERROR(INDEX(ExchangeConfirms!$G$2:$G$460,MATCH($A276,ExchangeConfirms!$A$2:$A$460,0)),"")</f>
        <v/>
      </c>
      <c r="K276">
        <f>IFERROR(INDEX(InternalTrades!$H$2:$H$461,MATCH($A276,InternalTrades!$A$2:$A$461,0)),"")</f>
        <v/>
      </c>
      <c r="L276">
        <f>IFERROR(INDEX(ExchangeConfirms!$H$2:$H$460,MATCH($A276,ExchangeConfirms!$A$2:$A$460,0)),"")</f>
        <v/>
      </c>
      <c r="M276">
        <f>IFERROR(INDEX(InternalTrades!$J$2:$J$461,MATCH($A276,InternalTrades!$A$2:$A$461,0)),"")</f>
        <v/>
      </c>
      <c r="N276">
        <f>IFERROR(INDEX(ExchangeConfirms!$J$2:$J$460,MATCH($A276,ExchangeConfirms!$A$2:$A$460,0)),"")</f>
        <v/>
      </c>
      <c r="O276">
        <f>IFERROR(INDEX(InternalTrades!$I$2:$I$461,MATCH($A276,InternalTrades!$A$2:$A$461,0)),"")</f>
        <v/>
      </c>
      <c r="P276">
        <f>IFERROR(INDEX(ExchangeConfirms!$I$2:$I$460,MATCH($A276,ExchangeConfirms!$A$2:$A$460,0)),"")</f>
        <v/>
      </c>
      <c r="Q276">
        <f>IF(AND($E276=1,$F276=0),"MISSING IN EXCHANGE",IF(AND($E276=0,$F276=1),"MISSING IN INTERNAL",IF($G276&lt;&gt;$H276,"SIDE BREAK",IF($I276&lt;&gt;$J276,"QTY BREAK",IF(ABS($K276-$L276)&gt;0.005,"PRICE BREAK",IF(ABS($M276-$N276)&gt;0.01,"FEE BREAK","MATCHED"))))))</f>
        <v/>
      </c>
      <c r="R276">
        <f>IF($Q276="MATCHED",0,1)</f>
        <v/>
      </c>
      <c r="S276">
        <f>IF($Q276="MATCHED",0,IF($Q276="MISSING IN EXCHANGE",$O276,IF($Q276="MISSING IN INTERNAL",$P276,ABS(N($O276)-N($P276)))))</f>
        <v/>
      </c>
    </row>
    <row r="277">
      <c r="A277" t="inlineStr">
        <is>
          <t>T100276</t>
        </is>
      </c>
      <c r="B277">
        <f>IFERROR(INDEX(InternalTrades!$D$2:$D$461,MATCH($A277,InternalTrades!$A$2:$A$461,0)),INDEX(ExchangeConfirms!$D$2:$D$460,MATCH($A277,ExchangeConfirms!$A$2:$A$460,0)))</f>
        <v/>
      </c>
      <c r="C277">
        <f>IFERROR(INDEX(InternalTrades!$E$2:$E$461,MATCH($A277,InternalTrades!$A$2:$A$461,0)),INDEX(ExchangeConfirms!$E$2:$E$460,MATCH($A277,ExchangeConfirms!$A$2:$A$460,0)))</f>
        <v/>
      </c>
      <c r="D277">
        <f>IFERROR(INDEX(InternalTrades!$K$2:$K$461,MATCH($A277,InternalTrades!$A$2:$A$461,0)),INDEX(ExchangeConfirms!$K$2:$K$460,MATCH($A277,ExchangeConfirms!$A$2:$A$460,0)))</f>
        <v/>
      </c>
      <c r="E277">
        <f>IF(COUNTIF(InternalTrades!$A$2:$A$461,$A277)&gt;0,1,0)</f>
        <v/>
      </c>
      <c r="F277">
        <f>IF(COUNTIF(ExchangeConfirms!$A$2:$A$460,$A277)&gt;0,1,0)</f>
        <v/>
      </c>
      <c r="G277">
        <f>IFERROR(INDEX(InternalTrades!$F$2:$F$461,MATCH($A277,InternalTrades!$A$2:$A$461,0)),"")</f>
        <v/>
      </c>
      <c r="H277">
        <f>IFERROR(INDEX(ExchangeConfirms!$F$2:$F$460,MATCH($A277,ExchangeConfirms!$A$2:$A$460,0)),"")</f>
        <v/>
      </c>
      <c r="I277">
        <f>IFERROR(INDEX(InternalTrades!$G$2:$G$461,MATCH($A277,InternalTrades!$A$2:$A$461,0)),"")</f>
        <v/>
      </c>
      <c r="J277">
        <f>IFERROR(INDEX(ExchangeConfirms!$G$2:$G$460,MATCH($A277,ExchangeConfirms!$A$2:$A$460,0)),"")</f>
        <v/>
      </c>
      <c r="K277">
        <f>IFERROR(INDEX(InternalTrades!$H$2:$H$461,MATCH($A277,InternalTrades!$A$2:$A$461,0)),"")</f>
        <v/>
      </c>
      <c r="L277">
        <f>IFERROR(INDEX(ExchangeConfirms!$H$2:$H$460,MATCH($A277,ExchangeConfirms!$A$2:$A$460,0)),"")</f>
        <v/>
      </c>
      <c r="M277">
        <f>IFERROR(INDEX(InternalTrades!$J$2:$J$461,MATCH($A277,InternalTrades!$A$2:$A$461,0)),"")</f>
        <v/>
      </c>
      <c r="N277">
        <f>IFERROR(INDEX(ExchangeConfirms!$J$2:$J$460,MATCH($A277,ExchangeConfirms!$A$2:$A$460,0)),"")</f>
        <v/>
      </c>
      <c r="O277">
        <f>IFERROR(INDEX(InternalTrades!$I$2:$I$461,MATCH($A277,InternalTrades!$A$2:$A$461,0)),"")</f>
        <v/>
      </c>
      <c r="P277">
        <f>IFERROR(INDEX(ExchangeConfirms!$I$2:$I$460,MATCH($A277,ExchangeConfirms!$A$2:$A$460,0)),"")</f>
        <v/>
      </c>
      <c r="Q277">
        <f>IF(AND($E277=1,$F277=0),"MISSING IN EXCHANGE",IF(AND($E277=0,$F277=1),"MISSING IN INTERNAL",IF($G277&lt;&gt;$H277,"SIDE BREAK",IF($I277&lt;&gt;$J277,"QTY BREAK",IF(ABS($K277-$L277)&gt;0.005,"PRICE BREAK",IF(ABS($M277-$N277)&gt;0.01,"FEE BREAK","MATCHED"))))))</f>
        <v/>
      </c>
      <c r="R277">
        <f>IF($Q277="MATCHED",0,1)</f>
        <v/>
      </c>
      <c r="S277">
        <f>IF($Q277="MATCHED",0,IF($Q277="MISSING IN EXCHANGE",$O277,IF($Q277="MISSING IN INTERNAL",$P277,ABS(N($O277)-N($P277)))))</f>
        <v/>
      </c>
    </row>
    <row r="278">
      <c r="A278" t="inlineStr">
        <is>
          <t>T100277</t>
        </is>
      </c>
      <c r="B278">
        <f>IFERROR(INDEX(InternalTrades!$D$2:$D$461,MATCH($A278,InternalTrades!$A$2:$A$461,0)),INDEX(ExchangeConfirms!$D$2:$D$460,MATCH($A278,ExchangeConfirms!$A$2:$A$460,0)))</f>
        <v/>
      </c>
      <c r="C278">
        <f>IFERROR(INDEX(InternalTrades!$E$2:$E$461,MATCH($A278,InternalTrades!$A$2:$A$461,0)),INDEX(ExchangeConfirms!$E$2:$E$460,MATCH($A278,ExchangeConfirms!$A$2:$A$460,0)))</f>
        <v/>
      </c>
      <c r="D278">
        <f>IFERROR(INDEX(InternalTrades!$K$2:$K$461,MATCH($A278,InternalTrades!$A$2:$A$461,0)),INDEX(ExchangeConfirms!$K$2:$K$460,MATCH($A278,ExchangeConfirms!$A$2:$A$460,0)))</f>
        <v/>
      </c>
      <c r="E278">
        <f>IF(COUNTIF(InternalTrades!$A$2:$A$461,$A278)&gt;0,1,0)</f>
        <v/>
      </c>
      <c r="F278">
        <f>IF(COUNTIF(ExchangeConfirms!$A$2:$A$460,$A278)&gt;0,1,0)</f>
        <v/>
      </c>
      <c r="G278">
        <f>IFERROR(INDEX(InternalTrades!$F$2:$F$461,MATCH($A278,InternalTrades!$A$2:$A$461,0)),"")</f>
        <v/>
      </c>
      <c r="H278">
        <f>IFERROR(INDEX(ExchangeConfirms!$F$2:$F$460,MATCH($A278,ExchangeConfirms!$A$2:$A$460,0)),"")</f>
        <v/>
      </c>
      <c r="I278">
        <f>IFERROR(INDEX(InternalTrades!$G$2:$G$461,MATCH($A278,InternalTrades!$A$2:$A$461,0)),"")</f>
        <v/>
      </c>
      <c r="J278">
        <f>IFERROR(INDEX(ExchangeConfirms!$G$2:$G$460,MATCH($A278,ExchangeConfirms!$A$2:$A$460,0)),"")</f>
        <v/>
      </c>
      <c r="K278">
        <f>IFERROR(INDEX(InternalTrades!$H$2:$H$461,MATCH($A278,InternalTrades!$A$2:$A$461,0)),"")</f>
        <v/>
      </c>
      <c r="L278">
        <f>IFERROR(INDEX(ExchangeConfirms!$H$2:$H$460,MATCH($A278,ExchangeConfirms!$A$2:$A$460,0)),"")</f>
        <v/>
      </c>
      <c r="M278">
        <f>IFERROR(INDEX(InternalTrades!$J$2:$J$461,MATCH($A278,InternalTrades!$A$2:$A$461,0)),"")</f>
        <v/>
      </c>
      <c r="N278">
        <f>IFERROR(INDEX(ExchangeConfirms!$J$2:$J$460,MATCH($A278,ExchangeConfirms!$A$2:$A$460,0)),"")</f>
        <v/>
      </c>
      <c r="O278">
        <f>IFERROR(INDEX(InternalTrades!$I$2:$I$461,MATCH($A278,InternalTrades!$A$2:$A$461,0)),"")</f>
        <v/>
      </c>
      <c r="P278">
        <f>IFERROR(INDEX(ExchangeConfirms!$I$2:$I$460,MATCH($A278,ExchangeConfirms!$A$2:$A$460,0)),"")</f>
        <v/>
      </c>
      <c r="Q278">
        <f>IF(AND($E278=1,$F278=0),"MISSING IN EXCHANGE",IF(AND($E278=0,$F278=1),"MISSING IN INTERNAL",IF($G278&lt;&gt;$H278,"SIDE BREAK",IF($I278&lt;&gt;$J278,"QTY BREAK",IF(ABS($K278-$L278)&gt;0.005,"PRICE BREAK",IF(ABS($M278-$N278)&gt;0.01,"FEE BREAK","MATCHED"))))))</f>
        <v/>
      </c>
      <c r="R278">
        <f>IF($Q278="MATCHED",0,1)</f>
        <v/>
      </c>
      <c r="S278">
        <f>IF($Q278="MATCHED",0,IF($Q278="MISSING IN EXCHANGE",$O278,IF($Q278="MISSING IN INTERNAL",$P278,ABS(N($O278)-N($P278)))))</f>
        <v/>
      </c>
    </row>
    <row r="279">
      <c r="A279" t="inlineStr">
        <is>
          <t>T100278</t>
        </is>
      </c>
      <c r="B279">
        <f>IFERROR(INDEX(InternalTrades!$D$2:$D$461,MATCH($A279,InternalTrades!$A$2:$A$461,0)),INDEX(ExchangeConfirms!$D$2:$D$460,MATCH($A279,ExchangeConfirms!$A$2:$A$460,0)))</f>
        <v/>
      </c>
      <c r="C279">
        <f>IFERROR(INDEX(InternalTrades!$E$2:$E$461,MATCH($A279,InternalTrades!$A$2:$A$461,0)),INDEX(ExchangeConfirms!$E$2:$E$460,MATCH($A279,ExchangeConfirms!$A$2:$A$460,0)))</f>
        <v/>
      </c>
      <c r="D279">
        <f>IFERROR(INDEX(InternalTrades!$K$2:$K$461,MATCH($A279,InternalTrades!$A$2:$A$461,0)),INDEX(ExchangeConfirms!$K$2:$K$460,MATCH($A279,ExchangeConfirms!$A$2:$A$460,0)))</f>
        <v/>
      </c>
      <c r="E279">
        <f>IF(COUNTIF(InternalTrades!$A$2:$A$461,$A279)&gt;0,1,0)</f>
        <v/>
      </c>
      <c r="F279">
        <f>IF(COUNTIF(ExchangeConfirms!$A$2:$A$460,$A279)&gt;0,1,0)</f>
        <v/>
      </c>
      <c r="G279">
        <f>IFERROR(INDEX(InternalTrades!$F$2:$F$461,MATCH($A279,InternalTrades!$A$2:$A$461,0)),"")</f>
        <v/>
      </c>
      <c r="H279">
        <f>IFERROR(INDEX(ExchangeConfirms!$F$2:$F$460,MATCH($A279,ExchangeConfirms!$A$2:$A$460,0)),"")</f>
        <v/>
      </c>
      <c r="I279">
        <f>IFERROR(INDEX(InternalTrades!$G$2:$G$461,MATCH($A279,InternalTrades!$A$2:$A$461,0)),"")</f>
        <v/>
      </c>
      <c r="J279">
        <f>IFERROR(INDEX(ExchangeConfirms!$G$2:$G$460,MATCH($A279,ExchangeConfirms!$A$2:$A$460,0)),"")</f>
        <v/>
      </c>
      <c r="K279">
        <f>IFERROR(INDEX(InternalTrades!$H$2:$H$461,MATCH($A279,InternalTrades!$A$2:$A$461,0)),"")</f>
        <v/>
      </c>
      <c r="L279">
        <f>IFERROR(INDEX(ExchangeConfirms!$H$2:$H$460,MATCH($A279,ExchangeConfirms!$A$2:$A$460,0)),"")</f>
        <v/>
      </c>
      <c r="M279">
        <f>IFERROR(INDEX(InternalTrades!$J$2:$J$461,MATCH($A279,InternalTrades!$A$2:$A$461,0)),"")</f>
        <v/>
      </c>
      <c r="N279">
        <f>IFERROR(INDEX(ExchangeConfirms!$J$2:$J$460,MATCH($A279,ExchangeConfirms!$A$2:$A$460,0)),"")</f>
        <v/>
      </c>
      <c r="O279">
        <f>IFERROR(INDEX(InternalTrades!$I$2:$I$461,MATCH($A279,InternalTrades!$A$2:$A$461,0)),"")</f>
        <v/>
      </c>
      <c r="P279">
        <f>IFERROR(INDEX(ExchangeConfirms!$I$2:$I$460,MATCH($A279,ExchangeConfirms!$A$2:$A$460,0)),"")</f>
        <v/>
      </c>
      <c r="Q279">
        <f>IF(AND($E279=1,$F279=0),"MISSING IN EXCHANGE",IF(AND($E279=0,$F279=1),"MISSING IN INTERNAL",IF($G279&lt;&gt;$H279,"SIDE BREAK",IF($I279&lt;&gt;$J279,"QTY BREAK",IF(ABS($K279-$L279)&gt;0.005,"PRICE BREAK",IF(ABS($M279-$N279)&gt;0.01,"FEE BREAK","MATCHED"))))))</f>
        <v/>
      </c>
      <c r="R279">
        <f>IF($Q279="MATCHED",0,1)</f>
        <v/>
      </c>
      <c r="S279">
        <f>IF($Q279="MATCHED",0,IF($Q279="MISSING IN EXCHANGE",$O279,IF($Q279="MISSING IN INTERNAL",$P279,ABS(N($O279)-N($P279)))))</f>
        <v/>
      </c>
    </row>
    <row r="280">
      <c r="A280" t="inlineStr">
        <is>
          <t>T100279</t>
        </is>
      </c>
      <c r="B280">
        <f>IFERROR(INDEX(InternalTrades!$D$2:$D$461,MATCH($A280,InternalTrades!$A$2:$A$461,0)),INDEX(ExchangeConfirms!$D$2:$D$460,MATCH($A280,ExchangeConfirms!$A$2:$A$460,0)))</f>
        <v/>
      </c>
      <c r="C280">
        <f>IFERROR(INDEX(InternalTrades!$E$2:$E$461,MATCH($A280,InternalTrades!$A$2:$A$461,0)),INDEX(ExchangeConfirms!$E$2:$E$460,MATCH($A280,ExchangeConfirms!$A$2:$A$460,0)))</f>
        <v/>
      </c>
      <c r="D280">
        <f>IFERROR(INDEX(InternalTrades!$K$2:$K$461,MATCH($A280,InternalTrades!$A$2:$A$461,0)),INDEX(ExchangeConfirms!$K$2:$K$460,MATCH($A280,ExchangeConfirms!$A$2:$A$460,0)))</f>
        <v/>
      </c>
      <c r="E280">
        <f>IF(COUNTIF(InternalTrades!$A$2:$A$461,$A280)&gt;0,1,0)</f>
        <v/>
      </c>
      <c r="F280">
        <f>IF(COUNTIF(ExchangeConfirms!$A$2:$A$460,$A280)&gt;0,1,0)</f>
        <v/>
      </c>
      <c r="G280">
        <f>IFERROR(INDEX(InternalTrades!$F$2:$F$461,MATCH($A280,InternalTrades!$A$2:$A$461,0)),"")</f>
        <v/>
      </c>
      <c r="H280">
        <f>IFERROR(INDEX(ExchangeConfirms!$F$2:$F$460,MATCH($A280,ExchangeConfirms!$A$2:$A$460,0)),"")</f>
        <v/>
      </c>
      <c r="I280">
        <f>IFERROR(INDEX(InternalTrades!$G$2:$G$461,MATCH($A280,InternalTrades!$A$2:$A$461,0)),"")</f>
        <v/>
      </c>
      <c r="J280">
        <f>IFERROR(INDEX(ExchangeConfirms!$G$2:$G$460,MATCH($A280,ExchangeConfirms!$A$2:$A$460,0)),"")</f>
        <v/>
      </c>
      <c r="K280">
        <f>IFERROR(INDEX(InternalTrades!$H$2:$H$461,MATCH($A280,InternalTrades!$A$2:$A$461,0)),"")</f>
        <v/>
      </c>
      <c r="L280">
        <f>IFERROR(INDEX(ExchangeConfirms!$H$2:$H$460,MATCH($A280,ExchangeConfirms!$A$2:$A$460,0)),"")</f>
        <v/>
      </c>
      <c r="M280">
        <f>IFERROR(INDEX(InternalTrades!$J$2:$J$461,MATCH($A280,InternalTrades!$A$2:$A$461,0)),"")</f>
        <v/>
      </c>
      <c r="N280">
        <f>IFERROR(INDEX(ExchangeConfirms!$J$2:$J$460,MATCH($A280,ExchangeConfirms!$A$2:$A$460,0)),"")</f>
        <v/>
      </c>
      <c r="O280">
        <f>IFERROR(INDEX(InternalTrades!$I$2:$I$461,MATCH($A280,InternalTrades!$A$2:$A$461,0)),"")</f>
        <v/>
      </c>
      <c r="P280">
        <f>IFERROR(INDEX(ExchangeConfirms!$I$2:$I$460,MATCH($A280,ExchangeConfirms!$A$2:$A$460,0)),"")</f>
        <v/>
      </c>
      <c r="Q280">
        <f>IF(AND($E280=1,$F280=0),"MISSING IN EXCHANGE",IF(AND($E280=0,$F280=1),"MISSING IN INTERNAL",IF($G280&lt;&gt;$H280,"SIDE BREAK",IF($I280&lt;&gt;$J280,"QTY BREAK",IF(ABS($K280-$L280)&gt;0.005,"PRICE BREAK",IF(ABS($M280-$N280)&gt;0.01,"FEE BREAK","MATCHED"))))))</f>
        <v/>
      </c>
      <c r="R280">
        <f>IF($Q280="MATCHED",0,1)</f>
        <v/>
      </c>
      <c r="S280">
        <f>IF($Q280="MATCHED",0,IF($Q280="MISSING IN EXCHANGE",$O280,IF($Q280="MISSING IN INTERNAL",$P280,ABS(N($O280)-N($P280)))))</f>
        <v/>
      </c>
    </row>
    <row r="281">
      <c r="A281" t="inlineStr">
        <is>
          <t>T100280</t>
        </is>
      </c>
      <c r="B281">
        <f>IFERROR(INDEX(InternalTrades!$D$2:$D$461,MATCH($A281,InternalTrades!$A$2:$A$461,0)),INDEX(ExchangeConfirms!$D$2:$D$460,MATCH($A281,ExchangeConfirms!$A$2:$A$460,0)))</f>
        <v/>
      </c>
      <c r="C281">
        <f>IFERROR(INDEX(InternalTrades!$E$2:$E$461,MATCH($A281,InternalTrades!$A$2:$A$461,0)),INDEX(ExchangeConfirms!$E$2:$E$460,MATCH($A281,ExchangeConfirms!$A$2:$A$460,0)))</f>
        <v/>
      </c>
      <c r="D281">
        <f>IFERROR(INDEX(InternalTrades!$K$2:$K$461,MATCH($A281,InternalTrades!$A$2:$A$461,0)),INDEX(ExchangeConfirms!$K$2:$K$460,MATCH($A281,ExchangeConfirms!$A$2:$A$460,0)))</f>
        <v/>
      </c>
      <c r="E281">
        <f>IF(COUNTIF(InternalTrades!$A$2:$A$461,$A281)&gt;0,1,0)</f>
        <v/>
      </c>
      <c r="F281">
        <f>IF(COUNTIF(ExchangeConfirms!$A$2:$A$460,$A281)&gt;0,1,0)</f>
        <v/>
      </c>
      <c r="G281">
        <f>IFERROR(INDEX(InternalTrades!$F$2:$F$461,MATCH($A281,InternalTrades!$A$2:$A$461,0)),"")</f>
        <v/>
      </c>
      <c r="H281">
        <f>IFERROR(INDEX(ExchangeConfirms!$F$2:$F$460,MATCH($A281,ExchangeConfirms!$A$2:$A$460,0)),"")</f>
        <v/>
      </c>
      <c r="I281">
        <f>IFERROR(INDEX(InternalTrades!$G$2:$G$461,MATCH($A281,InternalTrades!$A$2:$A$461,0)),"")</f>
        <v/>
      </c>
      <c r="J281">
        <f>IFERROR(INDEX(ExchangeConfirms!$G$2:$G$460,MATCH($A281,ExchangeConfirms!$A$2:$A$460,0)),"")</f>
        <v/>
      </c>
      <c r="K281">
        <f>IFERROR(INDEX(InternalTrades!$H$2:$H$461,MATCH($A281,InternalTrades!$A$2:$A$461,0)),"")</f>
        <v/>
      </c>
      <c r="L281">
        <f>IFERROR(INDEX(ExchangeConfirms!$H$2:$H$460,MATCH($A281,ExchangeConfirms!$A$2:$A$460,0)),"")</f>
        <v/>
      </c>
      <c r="M281">
        <f>IFERROR(INDEX(InternalTrades!$J$2:$J$461,MATCH($A281,InternalTrades!$A$2:$A$461,0)),"")</f>
        <v/>
      </c>
      <c r="N281">
        <f>IFERROR(INDEX(ExchangeConfirms!$J$2:$J$460,MATCH($A281,ExchangeConfirms!$A$2:$A$460,0)),"")</f>
        <v/>
      </c>
      <c r="O281">
        <f>IFERROR(INDEX(InternalTrades!$I$2:$I$461,MATCH($A281,InternalTrades!$A$2:$A$461,0)),"")</f>
        <v/>
      </c>
      <c r="P281">
        <f>IFERROR(INDEX(ExchangeConfirms!$I$2:$I$460,MATCH($A281,ExchangeConfirms!$A$2:$A$460,0)),"")</f>
        <v/>
      </c>
      <c r="Q281">
        <f>IF(AND($E281=1,$F281=0),"MISSING IN EXCHANGE",IF(AND($E281=0,$F281=1),"MISSING IN INTERNAL",IF($G281&lt;&gt;$H281,"SIDE BREAK",IF($I281&lt;&gt;$J281,"QTY BREAK",IF(ABS($K281-$L281)&gt;0.005,"PRICE BREAK",IF(ABS($M281-$N281)&gt;0.01,"FEE BREAK","MATCHED"))))))</f>
        <v/>
      </c>
      <c r="R281">
        <f>IF($Q281="MATCHED",0,1)</f>
        <v/>
      </c>
      <c r="S281">
        <f>IF($Q281="MATCHED",0,IF($Q281="MISSING IN EXCHANGE",$O281,IF($Q281="MISSING IN INTERNAL",$P281,ABS(N($O281)-N($P281)))))</f>
        <v/>
      </c>
    </row>
    <row r="282">
      <c r="A282" t="inlineStr">
        <is>
          <t>T100281</t>
        </is>
      </c>
      <c r="B282">
        <f>IFERROR(INDEX(InternalTrades!$D$2:$D$461,MATCH($A282,InternalTrades!$A$2:$A$461,0)),INDEX(ExchangeConfirms!$D$2:$D$460,MATCH($A282,ExchangeConfirms!$A$2:$A$460,0)))</f>
        <v/>
      </c>
      <c r="C282">
        <f>IFERROR(INDEX(InternalTrades!$E$2:$E$461,MATCH($A282,InternalTrades!$A$2:$A$461,0)),INDEX(ExchangeConfirms!$E$2:$E$460,MATCH($A282,ExchangeConfirms!$A$2:$A$460,0)))</f>
        <v/>
      </c>
      <c r="D282">
        <f>IFERROR(INDEX(InternalTrades!$K$2:$K$461,MATCH($A282,InternalTrades!$A$2:$A$461,0)),INDEX(ExchangeConfirms!$K$2:$K$460,MATCH($A282,ExchangeConfirms!$A$2:$A$460,0)))</f>
        <v/>
      </c>
      <c r="E282">
        <f>IF(COUNTIF(InternalTrades!$A$2:$A$461,$A282)&gt;0,1,0)</f>
        <v/>
      </c>
      <c r="F282">
        <f>IF(COUNTIF(ExchangeConfirms!$A$2:$A$460,$A282)&gt;0,1,0)</f>
        <v/>
      </c>
      <c r="G282">
        <f>IFERROR(INDEX(InternalTrades!$F$2:$F$461,MATCH($A282,InternalTrades!$A$2:$A$461,0)),"")</f>
        <v/>
      </c>
      <c r="H282">
        <f>IFERROR(INDEX(ExchangeConfirms!$F$2:$F$460,MATCH($A282,ExchangeConfirms!$A$2:$A$460,0)),"")</f>
        <v/>
      </c>
      <c r="I282">
        <f>IFERROR(INDEX(InternalTrades!$G$2:$G$461,MATCH($A282,InternalTrades!$A$2:$A$461,0)),"")</f>
        <v/>
      </c>
      <c r="J282">
        <f>IFERROR(INDEX(ExchangeConfirms!$G$2:$G$460,MATCH($A282,ExchangeConfirms!$A$2:$A$460,0)),"")</f>
        <v/>
      </c>
      <c r="K282">
        <f>IFERROR(INDEX(InternalTrades!$H$2:$H$461,MATCH($A282,InternalTrades!$A$2:$A$461,0)),"")</f>
        <v/>
      </c>
      <c r="L282">
        <f>IFERROR(INDEX(ExchangeConfirms!$H$2:$H$460,MATCH($A282,ExchangeConfirms!$A$2:$A$460,0)),"")</f>
        <v/>
      </c>
      <c r="M282">
        <f>IFERROR(INDEX(InternalTrades!$J$2:$J$461,MATCH($A282,InternalTrades!$A$2:$A$461,0)),"")</f>
        <v/>
      </c>
      <c r="N282">
        <f>IFERROR(INDEX(ExchangeConfirms!$J$2:$J$460,MATCH($A282,ExchangeConfirms!$A$2:$A$460,0)),"")</f>
        <v/>
      </c>
      <c r="O282">
        <f>IFERROR(INDEX(InternalTrades!$I$2:$I$461,MATCH($A282,InternalTrades!$A$2:$A$461,0)),"")</f>
        <v/>
      </c>
      <c r="P282">
        <f>IFERROR(INDEX(ExchangeConfirms!$I$2:$I$460,MATCH($A282,ExchangeConfirms!$A$2:$A$460,0)),"")</f>
        <v/>
      </c>
      <c r="Q282">
        <f>IF(AND($E282=1,$F282=0),"MISSING IN EXCHANGE",IF(AND($E282=0,$F282=1),"MISSING IN INTERNAL",IF($G282&lt;&gt;$H282,"SIDE BREAK",IF($I282&lt;&gt;$J282,"QTY BREAK",IF(ABS($K282-$L282)&gt;0.005,"PRICE BREAK",IF(ABS($M282-$N282)&gt;0.01,"FEE BREAK","MATCHED"))))))</f>
        <v/>
      </c>
      <c r="R282">
        <f>IF($Q282="MATCHED",0,1)</f>
        <v/>
      </c>
      <c r="S282">
        <f>IF($Q282="MATCHED",0,IF($Q282="MISSING IN EXCHANGE",$O282,IF($Q282="MISSING IN INTERNAL",$P282,ABS(N($O282)-N($P282)))))</f>
        <v/>
      </c>
    </row>
    <row r="283">
      <c r="A283" t="inlineStr">
        <is>
          <t>T100282</t>
        </is>
      </c>
      <c r="B283">
        <f>IFERROR(INDEX(InternalTrades!$D$2:$D$461,MATCH($A283,InternalTrades!$A$2:$A$461,0)),INDEX(ExchangeConfirms!$D$2:$D$460,MATCH($A283,ExchangeConfirms!$A$2:$A$460,0)))</f>
        <v/>
      </c>
      <c r="C283">
        <f>IFERROR(INDEX(InternalTrades!$E$2:$E$461,MATCH($A283,InternalTrades!$A$2:$A$461,0)),INDEX(ExchangeConfirms!$E$2:$E$460,MATCH($A283,ExchangeConfirms!$A$2:$A$460,0)))</f>
        <v/>
      </c>
      <c r="D283">
        <f>IFERROR(INDEX(InternalTrades!$K$2:$K$461,MATCH($A283,InternalTrades!$A$2:$A$461,0)),INDEX(ExchangeConfirms!$K$2:$K$460,MATCH($A283,ExchangeConfirms!$A$2:$A$460,0)))</f>
        <v/>
      </c>
      <c r="E283">
        <f>IF(COUNTIF(InternalTrades!$A$2:$A$461,$A283)&gt;0,1,0)</f>
        <v/>
      </c>
      <c r="F283">
        <f>IF(COUNTIF(ExchangeConfirms!$A$2:$A$460,$A283)&gt;0,1,0)</f>
        <v/>
      </c>
      <c r="G283">
        <f>IFERROR(INDEX(InternalTrades!$F$2:$F$461,MATCH($A283,InternalTrades!$A$2:$A$461,0)),"")</f>
        <v/>
      </c>
      <c r="H283">
        <f>IFERROR(INDEX(ExchangeConfirms!$F$2:$F$460,MATCH($A283,ExchangeConfirms!$A$2:$A$460,0)),"")</f>
        <v/>
      </c>
      <c r="I283">
        <f>IFERROR(INDEX(InternalTrades!$G$2:$G$461,MATCH($A283,InternalTrades!$A$2:$A$461,0)),"")</f>
        <v/>
      </c>
      <c r="J283">
        <f>IFERROR(INDEX(ExchangeConfirms!$G$2:$G$460,MATCH($A283,ExchangeConfirms!$A$2:$A$460,0)),"")</f>
        <v/>
      </c>
      <c r="K283">
        <f>IFERROR(INDEX(InternalTrades!$H$2:$H$461,MATCH($A283,InternalTrades!$A$2:$A$461,0)),"")</f>
        <v/>
      </c>
      <c r="L283">
        <f>IFERROR(INDEX(ExchangeConfirms!$H$2:$H$460,MATCH($A283,ExchangeConfirms!$A$2:$A$460,0)),"")</f>
        <v/>
      </c>
      <c r="M283">
        <f>IFERROR(INDEX(InternalTrades!$J$2:$J$461,MATCH($A283,InternalTrades!$A$2:$A$461,0)),"")</f>
        <v/>
      </c>
      <c r="N283">
        <f>IFERROR(INDEX(ExchangeConfirms!$J$2:$J$460,MATCH($A283,ExchangeConfirms!$A$2:$A$460,0)),"")</f>
        <v/>
      </c>
      <c r="O283">
        <f>IFERROR(INDEX(InternalTrades!$I$2:$I$461,MATCH($A283,InternalTrades!$A$2:$A$461,0)),"")</f>
        <v/>
      </c>
      <c r="P283">
        <f>IFERROR(INDEX(ExchangeConfirms!$I$2:$I$460,MATCH($A283,ExchangeConfirms!$A$2:$A$460,0)),"")</f>
        <v/>
      </c>
      <c r="Q283">
        <f>IF(AND($E283=1,$F283=0),"MISSING IN EXCHANGE",IF(AND($E283=0,$F283=1),"MISSING IN INTERNAL",IF($G283&lt;&gt;$H283,"SIDE BREAK",IF($I283&lt;&gt;$J283,"QTY BREAK",IF(ABS($K283-$L283)&gt;0.005,"PRICE BREAK",IF(ABS($M283-$N283)&gt;0.01,"FEE BREAK","MATCHED"))))))</f>
        <v/>
      </c>
      <c r="R283">
        <f>IF($Q283="MATCHED",0,1)</f>
        <v/>
      </c>
      <c r="S283">
        <f>IF($Q283="MATCHED",0,IF($Q283="MISSING IN EXCHANGE",$O283,IF($Q283="MISSING IN INTERNAL",$P283,ABS(N($O283)-N($P283)))))</f>
        <v/>
      </c>
    </row>
    <row r="284">
      <c r="A284" t="inlineStr">
        <is>
          <t>T100283</t>
        </is>
      </c>
      <c r="B284">
        <f>IFERROR(INDEX(InternalTrades!$D$2:$D$461,MATCH($A284,InternalTrades!$A$2:$A$461,0)),INDEX(ExchangeConfirms!$D$2:$D$460,MATCH($A284,ExchangeConfirms!$A$2:$A$460,0)))</f>
        <v/>
      </c>
      <c r="C284">
        <f>IFERROR(INDEX(InternalTrades!$E$2:$E$461,MATCH($A284,InternalTrades!$A$2:$A$461,0)),INDEX(ExchangeConfirms!$E$2:$E$460,MATCH($A284,ExchangeConfirms!$A$2:$A$460,0)))</f>
        <v/>
      </c>
      <c r="D284">
        <f>IFERROR(INDEX(InternalTrades!$K$2:$K$461,MATCH($A284,InternalTrades!$A$2:$A$461,0)),INDEX(ExchangeConfirms!$K$2:$K$460,MATCH($A284,ExchangeConfirms!$A$2:$A$460,0)))</f>
        <v/>
      </c>
      <c r="E284">
        <f>IF(COUNTIF(InternalTrades!$A$2:$A$461,$A284)&gt;0,1,0)</f>
        <v/>
      </c>
      <c r="F284">
        <f>IF(COUNTIF(ExchangeConfirms!$A$2:$A$460,$A284)&gt;0,1,0)</f>
        <v/>
      </c>
      <c r="G284">
        <f>IFERROR(INDEX(InternalTrades!$F$2:$F$461,MATCH($A284,InternalTrades!$A$2:$A$461,0)),"")</f>
        <v/>
      </c>
      <c r="H284">
        <f>IFERROR(INDEX(ExchangeConfirms!$F$2:$F$460,MATCH($A284,ExchangeConfirms!$A$2:$A$460,0)),"")</f>
        <v/>
      </c>
      <c r="I284">
        <f>IFERROR(INDEX(InternalTrades!$G$2:$G$461,MATCH($A284,InternalTrades!$A$2:$A$461,0)),"")</f>
        <v/>
      </c>
      <c r="J284">
        <f>IFERROR(INDEX(ExchangeConfirms!$G$2:$G$460,MATCH($A284,ExchangeConfirms!$A$2:$A$460,0)),"")</f>
        <v/>
      </c>
      <c r="K284">
        <f>IFERROR(INDEX(InternalTrades!$H$2:$H$461,MATCH($A284,InternalTrades!$A$2:$A$461,0)),"")</f>
        <v/>
      </c>
      <c r="L284">
        <f>IFERROR(INDEX(ExchangeConfirms!$H$2:$H$460,MATCH($A284,ExchangeConfirms!$A$2:$A$460,0)),"")</f>
        <v/>
      </c>
      <c r="M284">
        <f>IFERROR(INDEX(InternalTrades!$J$2:$J$461,MATCH($A284,InternalTrades!$A$2:$A$461,0)),"")</f>
        <v/>
      </c>
      <c r="N284">
        <f>IFERROR(INDEX(ExchangeConfirms!$J$2:$J$460,MATCH($A284,ExchangeConfirms!$A$2:$A$460,0)),"")</f>
        <v/>
      </c>
      <c r="O284">
        <f>IFERROR(INDEX(InternalTrades!$I$2:$I$461,MATCH($A284,InternalTrades!$A$2:$A$461,0)),"")</f>
        <v/>
      </c>
      <c r="P284">
        <f>IFERROR(INDEX(ExchangeConfirms!$I$2:$I$460,MATCH($A284,ExchangeConfirms!$A$2:$A$460,0)),"")</f>
        <v/>
      </c>
      <c r="Q284">
        <f>IF(AND($E284=1,$F284=0),"MISSING IN EXCHANGE",IF(AND($E284=0,$F284=1),"MISSING IN INTERNAL",IF($G284&lt;&gt;$H284,"SIDE BREAK",IF($I284&lt;&gt;$J284,"QTY BREAK",IF(ABS($K284-$L284)&gt;0.005,"PRICE BREAK",IF(ABS($M284-$N284)&gt;0.01,"FEE BREAK","MATCHED"))))))</f>
        <v/>
      </c>
      <c r="R284">
        <f>IF($Q284="MATCHED",0,1)</f>
        <v/>
      </c>
      <c r="S284">
        <f>IF($Q284="MATCHED",0,IF($Q284="MISSING IN EXCHANGE",$O284,IF($Q284="MISSING IN INTERNAL",$P284,ABS(N($O284)-N($P284)))))</f>
        <v/>
      </c>
    </row>
    <row r="285">
      <c r="A285" t="inlineStr">
        <is>
          <t>T100284</t>
        </is>
      </c>
      <c r="B285">
        <f>IFERROR(INDEX(InternalTrades!$D$2:$D$461,MATCH($A285,InternalTrades!$A$2:$A$461,0)),INDEX(ExchangeConfirms!$D$2:$D$460,MATCH($A285,ExchangeConfirms!$A$2:$A$460,0)))</f>
        <v/>
      </c>
      <c r="C285">
        <f>IFERROR(INDEX(InternalTrades!$E$2:$E$461,MATCH($A285,InternalTrades!$A$2:$A$461,0)),INDEX(ExchangeConfirms!$E$2:$E$460,MATCH($A285,ExchangeConfirms!$A$2:$A$460,0)))</f>
        <v/>
      </c>
      <c r="D285">
        <f>IFERROR(INDEX(InternalTrades!$K$2:$K$461,MATCH($A285,InternalTrades!$A$2:$A$461,0)),INDEX(ExchangeConfirms!$K$2:$K$460,MATCH($A285,ExchangeConfirms!$A$2:$A$460,0)))</f>
        <v/>
      </c>
      <c r="E285">
        <f>IF(COUNTIF(InternalTrades!$A$2:$A$461,$A285)&gt;0,1,0)</f>
        <v/>
      </c>
      <c r="F285">
        <f>IF(COUNTIF(ExchangeConfirms!$A$2:$A$460,$A285)&gt;0,1,0)</f>
        <v/>
      </c>
      <c r="G285">
        <f>IFERROR(INDEX(InternalTrades!$F$2:$F$461,MATCH($A285,InternalTrades!$A$2:$A$461,0)),"")</f>
        <v/>
      </c>
      <c r="H285">
        <f>IFERROR(INDEX(ExchangeConfirms!$F$2:$F$460,MATCH($A285,ExchangeConfirms!$A$2:$A$460,0)),"")</f>
        <v/>
      </c>
      <c r="I285">
        <f>IFERROR(INDEX(InternalTrades!$G$2:$G$461,MATCH($A285,InternalTrades!$A$2:$A$461,0)),"")</f>
        <v/>
      </c>
      <c r="J285">
        <f>IFERROR(INDEX(ExchangeConfirms!$G$2:$G$460,MATCH($A285,ExchangeConfirms!$A$2:$A$460,0)),"")</f>
        <v/>
      </c>
      <c r="K285">
        <f>IFERROR(INDEX(InternalTrades!$H$2:$H$461,MATCH($A285,InternalTrades!$A$2:$A$461,0)),"")</f>
        <v/>
      </c>
      <c r="L285">
        <f>IFERROR(INDEX(ExchangeConfirms!$H$2:$H$460,MATCH($A285,ExchangeConfirms!$A$2:$A$460,0)),"")</f>
        <v/>
      </c>
      <c r="M285">
        <f>IFERROR(INDEX(InternalTrades!$J$2:$J$461,MATCH($A285,InternalTrades!$A$2:$A$461,0)),"")</f>
        <v/>
      </c>
      <c r="N285">
        <f>IFERROR(INDEX(ExchangeConfirms!$J$2:$J$460,MATCH($A285,ExchangeConfirms!$A$2:$A$460,0)),"")</f>
        <v/>
      </c>
      <c r="O285">
        <f>IFERROR(INDEX(InternalTrades!$I$2:$I$461,MATCH($A285,InternalTrades!$A$2:$A$461,0)),"")</f>
        <v/>
      </c>
      <c r="P285">
        <f>IFERROR(INDEX(ExchangeConfirms!$I$2:$I$460,MATCH($A285,ExchangeConfirms!$A$2:$A$460,0)),"")</f>
        <v/>
      </c>
      <c r="Q285">
        <f>IF(AND($E285=1,$F285=0),"MISSING IN EXCHANGE",IF(AND($E285=0,$F285=1),"MISSING IN INTERNAL",IF($G285&lt;&gt;$H285,"SIDE BREAK",IF($I285&lt;&gt;$J285,"QTY BREAK",IF(ABS($K285-$L285)&gt;0.005,"PRICE BREAK",IF(ABS($M285-$N285)&gt;0.01,"FEE BREAK","MATCHED"))))))</f>
        <v/>
      </c>
      <c r="R285">
        <f>IF($Q285="MATCHED",0,1)</f>
        <v/>
      </c>
      <c r="S285">
        <f>IF($Q285="MATCHED",0,IF($Q285="MISSING IN EXCHANGE",$O285,IF($Q285="MISSING IN INTERNAL",$P285,ABS(N($O285)-N($P285)))))</f>
        <v/>
      </c>
    </row>
    <row r="286">
      <c r="A286" t="inlineStr">
        <is>
          <t>T100285</t>
        </is>
      </c>
      <c r="B286">
        <f>IFERROR(INDEX(InternalTrades!$D$2:$D$461,MATCH($A286,InternalTrades!$A$2:$A$461,0)),INDEX(ExchangeConfirms!$D$2:$D$460,MATCH($A286,ExchangeConfirms!$A$2:$A$460,0)))</f>
        <v/>
      </c>
      <c r="C286">
        <f>IFERROR(INDEX(InternalTrades!$E$2:$E$461,MATCH($A286,InternalTrades!$A$2:$A$461,0)),INDEX(ExchangeConfirms!$E$2:$E$460,MATCH($A286,ExchangeConfirms!$A$2:$A$460,0)))</f>
        <v/>
      </c>
      <c r="D286">
        <f>IFERROR(INDEX(InternalTrades!$K$2:$K$461,MATCH($A286,InternalTrades!$A$2:$A$461,0)),INDEX(ExchangeConfirms!$K$2:$K$460,MATCH($A286,ExchangeConfirms!$A$2:$A$460,0)))</f>
        <v/>
      </c>
      <c r="E286">
        <f>IF(COUNTIF(InternalTrades!$A$2:$A$461,$A286)&gt;0,1,0)</f>
        <v/>
      </c>
      <c r="F286">
        <f>IF(COUNTIF(ExchangeConfirms!$A$2:$A$460,$A286)&gt;0,1,0)</f>
        <v/>
      </c>
      <c r="G286">
        <f>IFERROR(INDEX(InternalTrades!$F$2:$F$461,MATCH($A286,InternalTrades!$A$2:$A$461,0)),"")</f>
        <v/>
      </c>
      <c r="H286">
        <f>IFERROR(INDEX(ExchangeConfirms!$F$2:$F$460,MATCH($A286,ExchangeConfirms!$A$2:$A$460,0)),"")</f>
        <v/>
      </c>
      <c r="I286">
        <f>IFERROR(INDEX(InternalTrades!$G$2:$G$461,MATCH($A286,InternalTrades!$A$2:$A$461,0)),"")</f>
        <v/>
      </c>
      <c r="J286">
        <f>IFERROR(INDEX(ExchangeConfirms!$G$2:$G$460,MATCH($A286,ExchangeConfirms!$A$2:$A$460,0)),"")</f>
        <v/>
      </c>
      <c r="K286">
        <f>IFERROR(INDEX(InternalTrades!$H$2:$H$461,MATCH($A286,InternalTrades!$A$2:$A$461,0)),"")</f>
        <v/>
      </c>
      <c r="L286">
        <f>IFERROR(INDEX(ExchangeConfirms!$H$2:$H$460,MATCH($A286,ExchangeConfirms!$A$2:$A$460,0)),"")</f>
        <v/>
      </c>
      <c r="M286">
        <f>IFERROR(INDEX(InternalTrades!$J$2:$J$461,MATCH($A286,InternalTrades!$A$2:$A$461,0)),"")</f>
        <v/>
      </c>
      <c r="N286">
        <f>IFERROR(INDEX(ExchangeConfirms!$J$2:$J$460,MATCH($A286,ExchangeConfirms!$A$2:$A$460,0)),"")</f>
        <v/>
      </c>
      <c r="O286">
        <f>IFERROR(INDEX(InternalTrades!$I$2:$I$461,MATCH($A286,InternalTrades!$A$2:$A$461,0)),"")</f>
        <v/>
      </c>
      <c r="P286">
        <f>IFERROR(INDEX(ExchangeConfirms!$I$2:$I$460,MATCH($A286,ExchangeConfirms!$A$2:$A$460,0)),"")</f>
        <v/>
      </c>
      <c r="Q286">
        <f>IF(AND($E286=1,$F286=0),"MISSING IN EXCHANGE",IF(AND($E286=0,$F286=1),"MISSING IN INTERNAL",IF($G286&lt;&gt;$H286,"SIDE BREAK",IF($I286&lt;&gt;$J286,"QTY BREAK",IF(ABS($K286-$L286)&gt;0.005,"PRICE BREAK",IF(ABS($M286-$N286)&gt;0.01,"FEE BREAK","MATCHED"))))))</f>
        <v/>
      </c>
      <c r="R286">
        <f>IF($Q286="MATCHED",0,1)</f>
        <v/>
      </c>
      <c r="S286">
        <f>IF($Q286="MATCHED",0,IF($Q286="MISSING IN EXCHANGE",$O286,IF($Q286="MISSING IN INTERNAL",$P286,ABS(N($O286)-N($P286)))))</f>
        <v/>
      </c>
    </row>
    <row r="287">
      <c r="A287" t="inlineStr">
        <is>
          <t>T100286</t>
        </is>
      </c>
      <c r="B287">
        <f>IFERROR(INDEX(InternalTrades!$D$2:$D$461,MATCH($A287,InternalTrades!$A$2:$A$461,0)),INDEX(ExchangeConfirms!$D$2:$D$460,MATCH($A287,ExchangeConfirms!$A$2:$A$460,0)))</f>
        <v/>
      </c>
      <c r="C287">
        <f>IFERROR(INDEX(InternalTrades!$E$2:$E$461,MATCH($A287,InternalTrades!$A$2:$A$461,0)),INDEX(ExchangeConfirms!$E$2:$E$460,MATCH($A287,ExchangeConfirms!$A$2:$A$460,0)))</f>
        <v/>
      </c>
      <c r="D287">
        <f>IFERROR(INDEX(InternalTrades!$K$2:$K$461,MATCH($A287,InternalTrades!$A$2:$A$461,0)),INDEX(ExchangeConfirms!$K$2:$K$460,MATCH($A287,ExchangeConfirms!$A$2:$A$460,0)))</f>
        <v/>
      </c>
      <c r="E287">
        <f>IF(COUNTIF(InternalTrades!$A$2:$A$461,$A287)&gt;0,1,0)</f>
        <v/>
      </c>
      <c r="F287">
        <f>IF(COUNTIF(ExchangeConfirms!$A$2:$A$460,$A287)&gt;0,1,0)</f>
        <v/>
      </c>
      <c r="G287">
        <f>IFERROR(INDEX(InternalTrades!$F$2:$F$461,MATCH($A287,InternalTrades!$A$2:$A$461,0)),"")</f>
        <v/>
      </c>
      <c r="H287">
        <f>IFERROR(INDEX(ExchangeConfirms!$F$2:$F$460,MATCH($A287,ExchangeConfirms!$A$2:$A$460,0)),"")</f>
        <v/>
      </c>
      <c r="I287">
        <f>IFERROR(INDEX(InternalTrades!$G$2:$G$461,MATCH($A287,InternalTrades!$A$2:$A$461,0)),"")</f>
        <v/>
      </c>
      <c r="J287">
        <f>IFERROR(INDEX(ExchangeConfirms!$G$2:$G$460,MATCH($A287,ExchangeConfirms!$A$2:$A$460,0)),"")</f>
        <v/>
      </c>
      <c r="K287">
        <f>IFERROR(INDEX(InternalTrades!$H$2:$H$461,MATCH($A287,InternalTrades!$A$2:$A$461,0)),"")</f>
        <v/>
      </c>
      <c r="L287">
        <f>IFERROR(INDEX(ExchangeConfirms!$H$2:$H$460,MATCH($A287,ExchangeConfirms!$A$2:$A$460,0)),"")</f>
        <v/>
      </c>
      <c r="M287">
        <f>IFERROR(INDEX(InternalTrades!$J$2:$J$461,MATCH($A287,InternalTrades!$A$2:$A$461,0)),"")</f>
        <v/>
      </c>
      <c r="N287">
        <f>IFERROR(INDEX(ExchangeConfirms!$J$2:$J$460,MATCH($A287,ExchangeConfirms!$A$2:$A$460,0)),"")</f>
        <v/>
      </c>
      <c r="O287">
        <f>IFERROR(INDEX(InternalTrades!$I$2:$I$461,MATCH($A287,InternalTrades!$A$2:$A$461,0)),"")</f>
        <v/>
      </c>
      <c r="P287">
        <f>IFERROR(INDEX(ExchangeConfirms!$I$2:$I$460,MATCH($A287,ExchangeConfirms!$A$2:$A$460,0)),"")</f>
        <v/>
      </c>
      <c r="Q287">
        <f>IF(AND($E287=1,$F287=0),"MISSING IN EXCHANGE",IF(AND($E287=0,$F287=1),"MISSING IN INTERNAL",IF($G287&lt;&gt;$H287,"SIDE BREAK",IF($I287&lt;&gt;$J287,"QTY BREAK",IF(ABS($K287-$L287)&gt;0.005,"PRICE BREAK",IF(ABS($M287-$N287)&gt;0.01,"FEE BREAK","MATCHED"))))))</f>
        <v/>
      </c>
      <c r="R287">
        <f>IF($Q287="MATCHED",0,1)</f>
        <v/>
      </c>
      <c r="S287">
        <f>IF($Q287="MATCHED",0,IF($Q287="MISSING IN EXCHANGE",$O287,IF($Q287="MISSING IN INTERNAL",$P287,ABS(N($O287)-N($P287)))))</f>
        <v/>
      </c>
    </row>
    <row r="288">
      <c r="A288" t="inlineStr">
        <is>
          <t>T100287</t>
        </is>
      </c>
      <c r="B288">
        <f>IFERROR(INDEX(InternalTrades!$D$2:$D$461,MATCH($A288,InternalTrades!$A$2:$A$461,0)),INDEX(ExchangeConfirms!$D$2:$D$460,MATCH($A288,ExchangeConfirms!$A$2:$A$460,0)))</f>
        <v/>
      </c>
      <c r="C288">
        <f>IFERROR(INDEX(InternalTrades!$E$2:$E$461,MATCH($A288,InternalTrades!$A$2:$A$461,0)),INDEX(ExchangeConfirms!$E$2:$E$460,MATCH($A288,ExchangeConfirms!$A$2:$A$460,0)))</f>
        <v/>
      </c>
      <c r="D288">
        <f>IFERROR(INDEX(InternalTrades!$K$2:$K$461,MATCH($A288,InternalTrades!$A$2:$A$461,0)),INDEX(ExchangeConfirms!$K$2:$K$460,MATCH($A288,ExchangeConfirms!$A$2:$A$460,0)))</f>
        <v/>
      </c>
      <c r="E288">
        <f>IF(COUNTIF(InternalTrades!$A$2:$A$461,$A288)&gt;0,1,0)</f>
        <v/>
      </c>
      <c r="F288">
        <f>IF(COUNTIF(ExchangeConfirms!$A$2:$A$460,$A288)&gt;0,1,0)</f>
        <v/>
      </c>
      <c r="G288">
        <f>IFERROR(INDEX(InternalTrades!$F$2:$F$461,MATCH($A288,InternalTrades!$A$2:$A$461,0)),"")</f>
        <v/>
      </c>
      <c r="H288">
        <f>IFERROR(INDEX(ExchangeConfirms!$F$2:$F$460,MATCH($A288,ExchangeConfirms!$A$2:$A$460,0)),"")</f>
        <v/>
      </c>
      <c r="I288">
        <f>IFERROR(INDEX(InternalTrades!$G$2:$G$461,MATCH($A288,InternalTrades!$A$2:$A$461,0)),"")</f>
        <v/>
      </c>
      <c r="J288">
        <f>IFERROR(INDEX(ExchangeConfirms!$G$2:$G$460,MATCH($A288,ExchangeConfirms!$A$2:$A$460,0)),"")</f>
        <v/>
      </c>
      <c r="K288">
        <f>IFERROR(INDEX(InternalTrades!$H$2:$H$461,MATCH($A288,InternalTrades!$A$2:$A$461,0)),"")</f>
        <v/>
      </c>
      <c r="L288">
        <f>IFERROR(INDEX(ExchangeConfirms!$H$2:$H$460,MATCH($A288,ExchangeConfirms!$A$2:$A$460,0)),"")</f>
        <v/>
      </c>
      <c r="M288">
        <f>IFERROR(INDEX(InternalTrades!$J$2:$J$461,MATCH($A288,InternalTrades!$A$2:$A$461,0)),"")</f>
        <v/>
      </c>
      <c r="N288">
        <f>IFERROR(INDEX(ExchangeConfirms!$J$2:$J$460,MATCH($A288,ExchangeConfirms!$A$2:$A$460,0)),"")</f>
        <v/>
      </c>
      <c r="O288">
        <f>IFERROR(INDEX(InternalTrades!$I$2:$I$461,MATCH($A288,InternalTrades!$A$2:$A$461,0)),"")</f>
        <v/>
      </c>
      <c r="P288">
        <f>IFERROR(INDEX(ExchangeConfirms!$I$2:$I$460,MATCH($A288,ExchangeConfirms!$A$2:$A$460,0)),"")</f>
        <v/>
      </c>
      <c r="Q288">
        <f>IF(AND($E288=1,$F288=0),"MISSING IN EXCHANGE",IF(AND($E288=0,$F288=1),"MISSING IN INTERNAL",IF($G288&lt;&gt;$H288,"SIDE BREAK",IF($I288&lt;&gt;$J288,"QTY BREAK",IF(ABS($K288-$L288)&gt;0.005,"PRICE BREAK",IF(ABS($M288-$N288)&gt;0.01,"FEE BREAK","MATCHED"))))))</f>
        <v/>
      </c>
      <c r="R288">
        <f>IF($Q288="MATCHED",0,1)</f>
        <v/>
      </c>
      <c r="S288">
        <f>IF($Q288="MATCHED",0,IF($Q288="MISSING IN EXCHANGE",$O288,IF($Q288="MISSING IN INTERNAL",$P288,ABS(N($O288)-N($P288)))))</f>
        <v/>
      </c>
    </row>
    <row r="289">
      <c r="A289" t="inlineStr">
        <is>
          <t>T100288</t>
        </is>
      </c>
      <c r="B289">
        <f>IFERROR(INDEX(InternalTrades!$D$2:$D$461,MATCH($A289,InternalTrades!$A$2:$A$461,0)),INDEX(ExchangeConfirms!$D$2:$D$460,MATCH($A289,ExchangeConfirms!$A$2:$A$460,0)))</f>
        <v/>
      </c>
      <c r="C289">
        <f>IFERROR(INDEX(InternalTrades!$E$2:$E$461,MATCH($A289,InternalTrades!$A$2:$A$461,0)),INDEX(ExchangeConfirms!$E$2:$E$460,MATCH($A289,ExchangeConfirms!$A$2:$A$460,0)))</f>
        <v/>
      </c>
      <c r="D289">
        <f>IFERROR(INDEX(InternalTrades!$K$2:$K$461,MATCH($A289,InternalTrades!$A$2:$A$461,0)),INDEX(ExchangeConfirms!$K$2:$K$460,MATCH($A289,ExchangeConfirms!$A$2:$A$460,0)))</f>
        <v/>
      </c>
      <c r="E289">
        <f>IF(COUNTIF(InternalTrades!$A$2:$A$461,$A289)&gt;0,1,0)</f>
        <v/>
      </c>
      <c r="F289">
        <f>IF(COUNTIF(ExchangeConfirms!$A$2:$A$460,$A289)&gt;0,1,0)</f>
        <v/>
      </c>
      <c r="G289">
        <f>IFERROR(INDEX(InternalTrades!$F$2:$F$461,MATCH($A289,InternalTrades!$A$2:$A$461,0)),"")</f>
        <v/>
      </c>
      <c r="H289">
        <f>IFERROR(INDEX(ExchangeConfirms!$F$2:$F$460,MATCH($A289,ExchangeConfirms!$A$2:$A$460,0)),"")</f>
        <v/>
      </c>
      <c r="I289">
        <f>IFERROR(INDEX(InternalTrades!$G$2:$G$461,MATCH($A289,InternalTrades!$A$2:$A$461,0)),"")</f>
        <v/>
      </c>
      <c r="J289">
        <f>IFERROR(INDEX(ExchangeConfirms!$G$2:$G$460,MATCH($A289,ExchangeConfirms!$A$2:$A$460,0)),"")</f>
        <v/>
      </c>
      <c r="K289">
        <f>IFERROR(INDEX(InternalTrades!$H$2:$H$461,MATCH($A289,InternalTrades!$A$2:$A$461,0)),"")</f>
        <v/>
      </c>
      <c r="L289">
        <f>IFERROR(INDEX(ExchangeConfirms!$H$2:$H$460,MATCH($A289,ExchangeConfirms!$A$2:$A$460,0)),"")</f>
        <v/>
      </c>
      <c r="M289">
        <f>IFERROR(INDEX(InternalTrades!$J$2:$J$461,MATCH($A289,InternalTrades!$A$2:$A$461,0)),"")</f>
        <v/>
      </c>
      <c r="N289">
        <f>IFERROR(INDEX(ExchangeConfirms!$J$2:$J$460,MATCH($A289,ExchangeConfirms!$A$2:$A$460,0)),"")</f>
        <v/>
      </c>
      <c r="O289">
        <f>IFERROR(INDEX(InternalTrades!$I$2:$I$461,MATCH($A289,InternalTrades!$A$2:$A$461,0)),"")</f>
        <v/>
      </c>
      <c r="P289">
        <f>IFERROR(INDEX(ExchangeConfirms!$I$2:$I$460,MATCH($A289,ExchangeConfirms!$A$2:$A$460,0)),"")</f>
        <v/>
      </c>
      <c r="Q289">
        <f>IF(AND($E289=1,$F289=0),"MISSING IN EXCHANGE",IF(AND($E289=0,$F289=1),"MISSING IN INTERNAL",IF($G289&lt;&gt;$H289,"SIDE BREAK",IF($I289&lt;&gt;$J289,"QTY BREAK",IF(ABS($K289-$L289)&gt;0.005,"PRICE BREAK",IF(ABS($M289-$N289)&gt;0.01,"FEE BREAK","MATCHED"))))))</f>
        <v/>
      </c>
      <c r="R289">
        <f>IF($Q289="MATCHED",0,1)</f>
        <v/>
      </c>
      <c r="S289">
        <f>IF($Q289="MATCHED",0,IF($Q289="MISSING IN EXCHANGE",$O289,IF($Q289="MISSING IN INTERNAL",$P289,ABS(N($O289)-N($P289)))))</f>
        <v/>
      </c>
    </row>
    <row r="290">
      <c r="A290" t="inlineStr">
        <is>
          <t>T100289</t>
        </is>
      </c>
      <c r="B290">
        <f>IFERROR(INDEX(InternalTrades!$D$2:$D$461,MATCH($A290,InternalTrades!$A$2:$A$461,0)),INDEX(ExchangeConfirms!$D$2:$D$460,MATCH($A290,ExchangeConfirms!$A$2:$A$460,0)))</f>
        <v/>
      </c>
      <c r="C290">
        <f>IFERROR(INDEX(InternalTrades!$E$2:$E$461,MATCH($A290,InternalTrades!$A$2:$A$461,0)),INDEX(ExchangeConfirms!$E$2:$E$460,MATCH($A290,ExchangeConfirms!$A$2:$A$460,0)))</f>
        <v/>
      </c>
      <c r="D290">
        <f>IFERROR(INDEX(InternalTrades!$K$2:$K$461,MATCH($A290,InternalTrades!$A$2:$A$461,0)),INDEX(ExchangeConfirms!$K$2:$K$460,MATCH($A290,ExchangeConfirms!$A$2:$A$460,0)))</f>
        <v/>
      </c>
      <c r="E290">
        <f>IF(COUNTIF(InternalTrades!$A$2:$A$461,$A290)&gt;0,1,0)</f>
        <v/>
      </c>
      <c r="F290">
        <f>IF(COUNTIF(ExchangeConfirms!$A$2:$A$460,$A290)&gt;0,1,0)</f>
        <v/>
      </c>
      <c r="G290">
        <f>IFERROR(INDEX(InternalTrades!$F$2:$F$461,MATCH($A290,InternalTrades!$A$2:$A$461,0)),"")</f>
        <v/>
      </c>
      <c r="H290">
        <f>IFERROR(INDEX(ExchangeConfirms!$F$2:$F$460,MATCH($A290,ExchangeConfirms!$A$2:$A$460,0)),"")</f>
        <v/>
      </c>
      <c r="I290">
        <f>IFERROR(INDEX(InternalTrades!$G$2:$G$461,MATCH($A290,InternalTrades!$A$2:$A$461,0)),"")</f>
        <v/>
      </c>
      <c r="J290">
        <f>IFERROR(INDEX(ExchangeConfirms!$G$2:$G$460,MATCH($A290,ExchangeConfirms!$A$2:$A$460,0)),"")</f>
        <v/>
      </c>
      <c r="K290">
        <f>IFERROR(INDEX(InternalTrades!$H$2:$H$461,MATCH($A290,InternalTrades!$A$2:$A$461,0)),"")</f>
        <v/>
      </c>
      <c r="L290">
        <f>IFERROR(INDEX(ExchangeConfirms!$H$2:$H$460,MATCH($A290,ExchangeConfirms!$A$2:$A$460,0)),"")</f>
        <v/>
      </c>
      <c r="M290">
        <f>IFERROR(INDEX(InternalTrades!$J$2:$J$461,MATCH($A290,InternalTrades!$A$2:$A$461,0)),"")</f>
        <v/>
      </c>
      <c r="N290">
        <f>IFERROR(INDEX(ExchangeConfirms!$J$2:$J$460,MATCH($A290,ExchangeConfirms!$A$2:$A$460,0)),"")</f>
        <v/>
      </c>
      <c r="O290">
        <f>IFERROR(INDEX(InternalTrades!$I$2:$I$461,MATCH($A290,InternalTrades!$A$2:$A$461,0)),"")</f>
        <v/>
      </c>
      <c r="P290">
        <f>IFERROR(INDEX(ExchangeConfirms!$I$2:$I$460,MATCH($A290,ExchangeConfirms!$A$2:$A$460,0)),"")</f>
        <v/>
      </c>
      <c r="Q290">
        <f>IF(AND($E290=1,$F290=0),"MISSING IN EXCHANGE",IF(AND($E290=0,$F290=1),"MISSING IN INTERNAL",IF($G290&lt;&gt;$H290,"SIDE BREAK",IF($I290&lt;&gt;$J290,"QTY BREAK",IF(ABS($K290-$L290)&gt;0.005,"PRICE BREAK",IF(ABS($M290-$N290)&gt;0.01,"FEE BREAK","MATCHED"))))))</f>
        <v/>
      </c>
      <c r="R290">
        <f>IF($Q290="MATCHED",0,1)</f>
        <v/>
      </c>
      <c r="S290">
        <f>IF($Q290="MATCHED",0,IF($Q290="MISSING IN EXCHANGE",$O290,IF($Q290="MISSING IN INTERNAL",$P290,ABS(N($O290)-N($P290)))))</f>
        <v/>
      </c>
    </row>
    <row r="291">
      <c r="A291" t="inlineStr">
        <is>
          <t>T100290</t>
        </is>
      </c>
      <c r="B291">
        <f>IFERROR(INDEX(InternalTrades!$D$2:$D$461,MATCH($A291,InternalTrades!$A$2:$A$461,0)),INDEX(ExchangeConfirms!$D$2:$D$460,MATCH($A291,ExchangeConfirms!$A$2:$A$460,0)))</f>
        <v/>
      </c>
      <c r="C291">
        <f>IFERROR(INDEX(InternalTrades!$E$2:$E$461,MATCH($A291,InternalTrades!$A$2:$A$461,0)),INDEX(ExchangeConfirms!$E$2:$E$460,MATCH($A291,ExchangeConfirms!$A$2:$A$460,0)))</f>
        <v/>
      </c>
      <c r="D291">
        <f>IFERROR(INDEX(InternalTrades!$K$2:$K$461,MATCH($A291,InternalTrades!$A$2:$A$461,0)),INDEX(ExchangeConfirms!$K$2:$K$460,MATCH($A291,ExchangeConfirms!$A$2:$A$460,0)))</f>
        <v/>
      </c>
      <c r="E291">
        <f>IF(COUNTIF(InternalTrades!$A$2:$A$461,$A291)&gt;0,1,0)</f>
        <v/>
      </c>
      <c r="F291">
        <f>IF(COUNTIF(ExchangeConfirms!$A$2:$A$460,$A291)&gt;0,1,0)</f>
        <v/>
      </c>
      <c r="G291">
        <f>IFERROR(INDEX(InternalTrades!$F$2:$F$461,MATCH($A291,InternalTrades!$A$2:$A$461,0)),"")</f>
        <v/>
      </c>
      <c r="H291">
        <f>IFERROR(INDEX(ExchangeConfirms!$F$2:$F$460,MATCH($A291,ExchangeConfirms!$A$2:$A$460,0)),"")</f>
        <v/>
      </c>
      <c r="I291">
        <f>IFERROR(INDEX(InternalTrades!$G$2:$G$461,MATCH($A291,InternalTrades!$A$2:$A$461,0)),"")</f>
        <v/>
      </c>
      <c r="J291">
        <f>IFERROR(INDEX(ExchangeConfirms!$G$2:$G$460,MATCH($A291,ExchangeConfirms!$A$2:$A$460,0)),"")</f>
        <v/>
      </c>
      <c r="K291">
        <f>IFERROR(INDEX(InternalTrades!$H$2:$H$461,MATCH($A291,InternalTrades!$A$2:$A$461,0)),"")</f>
        <v/>
      </c>
      <c r="L291">
        <f>IFERROR(INDEX(ExchangeConfirms!$H$2:$H$460,MATCH($A291,ExchangeConfirms!$A$2:$A$460,0)),"")</f>
        <v/>
      </c>
      <c r="M291">
        <f>IFERROR(INDEX(InternalTrades!$J$2:$J$461,MATCH($A291,InternalTrades!$A$2:$A$461,0)),"")</f>
        <v/>
      </c>
      <c r="N291">
        <f>IFERROR(INDEX(ExchangeConfirms!$J$2:$J$460,MATCH($A291,ExchangeConfirms!$A$2:$A$460,0)),"")</f>
        <v/>
      </c>
      <c r="O291">
        <f>IFERROR(INDEX(InternalTrades!$I$2:$I$461,MATCH($A291,InternalTrades!$A$2:$A$461,0)),"")</f>
        <v/>
      </c>
      <c r="P291">
        <f>IFERROR(INDEX(ExchangeConfirms!$I$2:$I$460,MATCH($A291,ExchangeConfirms!$A$2:$A$460,0)),"")</f>
        <v/>
      </c>
      <c r="Q291">
        <f>IF(AND($E291=1,$F291=0),"MISSING IN EXCHANGE",IF(AND($E291=0,$F291=1),"MISSING IN INTERNAL",IF($G291&lt;&gt;$H291,"SIDE BREAK",IF($I291&lt;&gt;$J291,"QTY BREAK",IF(ABS($K291-$L291)&gt;0.005,"PRICE BREAK",IF(ABS($M291-$N291)&gt;0.01,"FEE BREAK","MATCHED"))))))</f>
        <v/>
      </c>
      <c r="R291">
        <f>IF($Q291="MATCHED",0,1)</f>
        <v/>
      </c>
      <c r="S291">
        <f>IF($Q291="MATCHED",0,IF($Q291="MISSING IN EXCHANGE",$O291,IF($Q291="MISSING IN INTERNAL",$P291,ABS(N($O291)-N($P291)))))</f>
        <v/>
      </c>
    </row>
    <row r="292">
      <c r="A292" t="inlineStr">
        <is>
          <t>T100291</t>
        </is>
      </c>
      <c r="B292">
        <f>IFERROR(INDEX(InternalTrades!$D$2:$D$461,MATCH($A292,InternalTrades!$A$2:$A$461,0)),INDEX(ExchangeConfirms!$D$2:$D$460,MATCH($A292,ExchangeConfirms!$A$2:$A$460,0)))</f>
        <v/>
      </c>
      <c r="C292">
        <f>IFERROR(INDEX(InternalTrades!$E$2:$E$461,MATCH($A292,InternalTrades!$A$2:$A$461,0)),INDEX(ExchangeConfirms!$E$2:$E$460,MATCH($A292,ExchangeConfirms!$A$2:$A$460,0)))</f>
        <v/>
      </c>
      <c r="D292">
        <f>IFERROR(INDEX(InternalTrades!$K$2:$K$461,MATCH($A292,InternalTrades!$A$2:$A$461,0)),INDEX(ExchangeConfirms!$K$2:$K$460,MATCH($A292,ExchangeConfirms!$A$2:$A$460,0)))</f>
        <v/>
      </c>
      <c r="E292">
        <f>IF(COUNTIF(InternalTrades!$A$2:$A$461,$A292)&gt;0,1,0)</f>
        <v/>
      </c>
      <c r="F292">
        <f>IF(COUNTIF(ExchangeConfirms!$A$2:$A$460,$A292)&gt;0,1,0)</f>
        <v/>
      </c>
      <c r="G292">
        <f>IFERROR(INDEX(InternalTrades!$F$2:$F$461,MATCH($A292,InternalTrades!$A$2:$A$461,0)),"")</f>
        <v/>
      </c>
      <c r="H292">
        <f>IFERROR(INDEX(ExchangeConfirms!$F$2:$F$460,MATCH($A292,ExchangeConfirms!$A$2:$A$460,0)),"")</f>
        <v/>
      </c>
      <c r="I292">
        <f>IFERROR(INDEX(InternalTrades!$G$2:$G$461,MATCH($A292,InternalTrades!$A$2:$A$461,0)),"")</f>
        <v/>
      </c>
      <c r="J292">
        <f>IFERROR(INDEX(ExchangeConfirms!$G$2:$G$460,MATCH($A292,ExchangeConfirms!$A$2:$A$460,0)),"")</f>
        <v/>
      </c>
      <c r="K292">
        <f>IFERROR(INDEX(InternalTrades!$H$2:$H$461,MATCH($A292,InternalTrades!$A$2:$A$461,0)),"")</f>
        <v/>
      </c>
      <c r="L292">
        <f>IFERROR(INDEX(ExchangeConfirms!$H$2:$H$460,MATCH($A292,ExchangeConfirms!$A$2:$A$460,0)),"")</f>
        <v/>
      </c>
      <c r="M292">
        <f>IFERROR(INDEX(InternalTrades!$J$2:$J$461,MATCH($A292,InternalTrades!$A$2:$A$461,0)),"")</f>
        <v/>
      </c>
      <c r="N292">
        <f>IFERROR(INDEX(ExchangeConfirms!$J$2:$J$460,MATCH($A292,ExchangeConfirms!$A$2:$A$460,0)),"")</f>
        <v/>
      </c>
      <c r="O292">
        <f>IFERROR(INDEX(InternalTrades!$I$2:$I$461,MATCH($A292,InternalTrades!$A$2:$A$461,0)),"")</f>
        <v/>
      </c>
      <c r="P292">
        <f>IFERROR(INDEX(ExchangeConfirms!$I$2:$I$460,MATCH($A292,ExchangeConfirms!$A$2:$A$460,0)),"")</f>
        <v/>
      </c>
      <c r="Q292">
        <f>IF(AND($E292=1,$F292=0),"MISSING IN EXCHANGE",IF(AND($E292=0,$F292=1),"MISSING IN INTERNAL",IF($G292&lt;&gt;$H292,"SIDE BREAK",IF($I292&lt;&gt;$J292,"QTY BREAK",IF(ABS($K292-$L292)&gt;0.005,"PRICE BREAK",IF(ABS($M292-$N292)&gt;0.01,"FEE BREAK","MATCHED"))))))</f>
        <v/>
      </c>
      <c r="R292">
        <f>IF($Q292="MATCHED",0,1)</f>
        <v/>
      </c>
      <c r="S292">
        <f>IF($Q292="MATCHED",0,IF($Q292="MISSING IN EXCHANGE",$O292,IF($Q292="MISSING IN INTERNAL",$P292,ABS(N($O292)-N($P292)))))</f>
        <v/>
      </c>
    </row>
    <row r="293">
      <c r="A293" t="inlineStr">
        <is>
          <t>T100292</t>
        </is>
      </c>
      <c r="B293">
        <f>IFERROR(INDEX(InternalTrades!$D$2:$D$461,MATCH($A293,InternalTrades!$A$2:$A$461,0)),INDEX(ExchangeConfirms!$D$2:$D$460,MATCH($A293,ExchangeConfirms!$A$2:$A$460,0)))</f>
        <v/>
      </c>
      <c r="C293">
        <f>IFERROR(INDEX(InternalTrades!$E$2:$E$461,MATCH($A293,InternalTrades!$A$2:$A$461,0)),INDEX(ExchangeConfirms!$E$2:$E$460,MATCH($A293,ExchangeConfirms!$A$2:$A$460,0)))</f>
        <v/>
      </c>
      <c r="D293">
        <f>IFERROR(INDEX(InternalTrades!$K$2:$K$461,MATCH($A293,InternalTrades!$A$2:$A$461,0)),INDEX(ExchangeConfirms!$K$2:$K$460,MATCH($A293,ExchangeConfirms!$A$2:$A$460,0)))</f>
        <v/>
      </c>
      <c r="E293">
        <f>IF(COUNTIF(InternalTrades!$A$2:$A$461,$A293)&gt;0,1,0)</f>
        <v/>
      </c>
      <c r="F293">
        <f>IF(COUNTIF(ExchangeConfirms!$A$2:$A$460,$A293)&gt;0,1,0)</f>
        <v/>
      </c>
      <c r="G293">
        <f>IFERROR(INDEX(InternalTrades!$F$2:$F$461,MATCH($A293,InternalTrades!$A$2:$A$461,0)),"")</f>
        <v/>
      </c>
      <c r="H293">
        <f>IFERROR(INDEX(ExchangeConfirms!$F$2:$F$460,MATCH($A293,ExchangeConfirms!$A$2:$A$460,0)),"")</f>
        <v/>
      </c>
      <c r="I293">
        <f>IFERROR(INDEX(InternalTrades!$G$2:$G$461,MATCH($A293,InternalTrades!$A$2:$A$461,0)),"")</f>
        <v/>
      </c>
      <c r="J293">
        <f>IFERROR(INDEX(ExchangeConfirms!$G$2:$G$460,MATCH($A293,ExchangeConfirms!$A$2:$A$460,0)),"")</f>
        <v/>
      </c>
      <c r="K293">
        <f>IFERROR(INDEX(InternalTrades!$H$2:$H$461,MATCH($A293,InternalTrades!$A$2:$A$461,0)),"")</f>
        <v/>
      </c>
      <c r="L293">
        <f>IFERROR(INDEX(ExchangeConfirms!$H$2:$H$460,MATCH($A293,ExchangeConfirms!$A$2:$A$460,0)),"")</f>
        <v/>
      </c>
      <c r="M293">
        <f>IFERROR(INDEX(InternalTrades!$J$2:$J$461,MATCH($A293,InternalTrades!$A$2:$A$461,0)),"")</f>
        <v/>
      </c>
      <c r="N293">
        <f>IFERROR(INDEX(ExchangeConfirms!$J$2:$J$460,MATCH($A293,ExchangeConfirms!$A$2:$A$460,0)),"")</f>
        <v/>
      </c>
      <c r="O293">
        <f>IFERROR(INDEX(InternalTrades!$I$2:$I$461,MATCH($A293,InternalTrades!$A$2:$A$461,0)),"")</f>
        <v/>
      </c>
      <c r="P293">
        <f>IFERROR(INDEX(ExchangeConfirms!$I$2:$I$460,MATCH($A293,ExchangeConfirms!$A$2:$A$460,0)),"")</f>
        <v/>
      </c>
      <c r="Q293">
        <f>IF(AND($E293=1,$F293=0),"MISSING IN EXCHANGE",IF(AND($E293=0,$F293=1),"MISSING IN INTERNAL",IF($G293&lt;&gt;$H293,"SIDE BREAK",IF($I293&lt;&gt;$J293,"QTY BREAK",IF(ABS($K293-$L293)&gt;0.005,"PRICE BREAK",IF(ABS($M293-$N293)&gt;0.01,"FEE BREAK","MATCHED"))))))</f>
        <v/>
      </c>
      <c r="R293">
        <f>IF($Q293="MATCHED",0,1)</f>
        <v/>
      </c>
      <c r="S293">
        <f>IF($Q293="MATCHED",0,IF($Q293="MISSING IN EXCHANGE",$O293,IF($Q293="MISSING IN INTERNAL",$P293,ABS(N($O293)-N($P293)))))</f>
        <v/>
      </c>
    </row>
    <row r="294">
      <c r="A294" t="inlineStr">
        <is>
          <t>T100293</t>
        </is>
      </c>
      <c r="B294">
        <f>IFERROR(INDEX(InternalTrades!$D$2:$D$461,MATCH($A294,InternalTrades!$A$2:$A$461,0)),INDEX(ExchangeConfirms!$D$2:$D$460,MATCH($A294,ExchangeConfirms!$A$2:$A$460,0)))</f>
        <v/>
      </c>
      <c r="C294">
        <f>IFERROR(INDEX(InternalTrades!$E$2:$E$461,MATCH($A294,InternalTrades!$A$2:$A$461,0)),INDEX(ExchangeConfirms!$E$2:$E$460,MATCH($A294,ExchangeConfirms!$A$2:$A$460,0)))</f>
        <v/>
      </c>
      <c r="D294">
        <f>IFERROR(INDEX(InternalTrades!$K$2:$K$461,MATCH($A294,InternalTrades!$A$2:$A$461,0)),INDEX(ExchangeConfirms!$K$2:$K$460,MATCH($A294,ExchangeConfirms!$A$2:$A$460,0)))</f>
        <v/>
      </c>
      <c r="E294">
        <f>IF(COUNTIF(InternalTrades!$A$2:$A$461,$A294)&gt;0,1,0)</f>
        <v/>
      </c>
      <c r="F294">
        <f>IF(COUNTIF(ExchangeConfirms!$A$2:$A$460,$A294)&gt;0,1,0)</f>
        <v/>
      </c>
      <c r="G294">
        <f>IFERROR(INDEX(InternalTrades!$F$2:$F$461,MATCH($A294,InternalTrades!$A$2:$A$461,0)),"")</f>
        <v/>
      </c>
      <c r="H294">
        <f>IFERROR(INDEX(ExchangeConfirms!$F$2:$F$460,MATCH($A294,ExchangeConfirms!$A$2:$A$460,0)),"")</f>
        <v/>
      </c>
      <c r="I294">
        <f>IFERROR(INDEX(InternalTrades!$G$2:$G$461,MATCH($A294,InternalTrades!$A$2:$A$461,0)),"")</f>
        <v/>
      </c>
      <c r="J294">
        <f>IFERROR(INDEX(ExchangeConfirms!$G$2:$G$460,MATCH($A294,ExchangeConfirms!$A$2:$A$460,0)),"")</f>
        <v/>
      </c>
      <c r="K294">
        <f>IFERROR(INDEX(InternalTrades!$H$2:$H$461,MATCH($A294,InternalTrades!$A$2:$A$461,0)),"")</f>
        <v/>
      </c>
      <c r="L294">
        <f>IFERROR(INDEX(ExchangeConfirms!$H$2:$H$460,MATCH($A294,ExchangeConfirms!$A$2:$A$460,0)),"")</f>
        <v/>
      </c>
      <c r="M294">
        <f>IFERROR(INDEX(InternalTrades!$J$2:$J$461,MATCH($A294,InternalTrades!$A$2:$A$461,0)),"")</f>
        <v/>
      </c>
      <c r="N294">
        <f>IFERROR(INDEX(ExchangeConfirms!$J$2:$J$460,MATCH($A294,ExchangeConfirms!$A$2:$A$460,0)),"")</f>
        <v/>
      </c>
      <c r="O294">
        <f>IFERROR(INDEX(InternalTrades!$I$2:$I$461,MATCH($A294,InternalTrades!$A$2:$A$461,0)),"")</f>
        <v/>
      </c>
      <c r="P294">
        <f>IFERROR(INDEX(ExchangeConfirms!$I$2:$I$460,MATCH($A294,ExchangeConfirms!$A$2:$A$460,0)),"")</f>
        <v/>
      </c>
      <c r="Q294">
        <f>IF(AND($E294=1,$F294=0),"MISSING IN EXCHANGE",IF(AND($E294=0,$F294=1),"MISSING IN INTERNAL",IF($G294&lt;&gt;$H294,"SIDE BREAK",IF($I294&lt;&gt;$J294,"QTY BREAK",IF(ABS($K294-$L294)&gt;0.005,"PRICE BREAK",IF(ABS($M294-$N294)&gt;0.01,"FEE BREAK","MATCHED"))))))</f>
        <v/>
      </c>
      <c r="R294">
        <f>IF($Q294="MATCHED",0,1)</f>
        <v/>
      </c>
      <c r="S294">
        <f>IF($Q294="MATCHED",0,IF($Q294="MISSING IN EXCHANGE",$O294,IF($Q294="MISSING IN INTERNAL",$P294,ABS(N($O294)-N($P294)))))</f>
        <v/>
      </c>
    </row>
    <row r="295">
      <c r="A295" t="inlineStr">
        <is>
          <t>T100294</t>
        </is>
      </c>
      <c r="B295">
        <f>IFERROR(INDEX(InternalTrades!$D$2:$D$461,MATCH($A295,InternalTrades!$A$2:$A$461,0)),INDEX(ExchangeConfirms!$D$2:$D$460,MATCH($A295,ExchangeConfirms!$A$2:$A$460,0)))</f>
        <v/>
      </c>
      <c r="C295">
        <f>IFERROR(INDEX(InternalTrades!$E$2:$E$461,MATCH($A295,InternalTrades!$A$2:$A$461,0)),INDEX(ExchangeConfirms!$E$2:$E$460,MATCH($A295,ExchangeConfirms!$A$2:$A$460,0)))</f>
        <v/>
      </c>
      <c r="D295">
        <f>IFERROR(INDEX(InternalTrades!$K$2:$K$461,MATCH($A295,InternalTrades!$A$2:$A$461,0)),INDEX(ExchangeConfirms!$K$2:$K$460,MATCH($A295,ExchangeConfirms!$A$2:$A$460,0)))</f>
        <v/>
      </c>
      <c r="E295">
        <f>IF(COUNTIF(InternalTrades!$A$2:$A$461,$A295)&gt;0,1,0)</f>
        <v/>
      </c>
      <c r="F295">
        <f>IF(COUNTIF(ExchangeConfirms!$A$2:$A$460,$A295)&gt;0,1,0)</f>
        <v/>
      </c>
      <c r="G295">
        <f>IFERROR(INDEX(InternalTrades!$F$2:$F$461,MATCH($A295,InternalTrades!$A$2:$A$461,0)),"")</f>
        <v/>
      </c>
      <c r="H295">
        <f>IFERROR(INDEX(ExchangeConfirms!$F$2:$F$460,MATCH($A295,ExchangeConfirms!$A$2:$A$460,0)),"")</f>
        <v/>
      </c>
      <c r="I295">
        <f>IFERROR(INDEX(InternalTrades!$G$2:$G$461,MATCH($A295,InternalTrades!$A$2:$A$461,0)),"")</f>
        <v/>
      </c>
      <c r="J295">
        <f>IFERROR(INDEX(ExchangeConfirms!$G$2:$G$460,MATCH($A295,ExchangeConfirms!$A$2:$A$460,0)),"")</f>
        <v/>
      </c>
      <c r="K295">
        <f>IFERROR(INDEX(InternalTrades!$H$2:$H$461,MATCH($A295,InternalTrades!$A$2:$A$461,0)),"")</f>
        <v/>
      </c>
      <c r="L295">
        <f>IFERROR(INDEX(ExchangeConfirms!$H$2:$H$460,MATCH($A295,ExchangeConfirms!$A$2:$A$460,0)),"")</f>
        <v/>
      </c>
      <c r="M295">
        <f>IFERROR(INDEX(InternalTrades!$J$2:$J$461,MATCH($A295,InternalTrades!$A$2:$A$461,0)),"")</f>
        <v/>
      </c>
      <c r="N295">
        <f>IFERROR(INDEX(ExchangeConfirms!$J$2:$J$460,MATCH($A295,ExchangeConfirms!$A$2:$A$460,0)),"")</f>
        <v/>
      </c>
      <c r="O295">
        <f>IFERROR(INDEX(InternalTrades!$I$2:$I$461,MATCH($A295,InternalTrades!$A$2:$A$461,0)),"")</f>
        <v/>
      </c>
      <c r="P295">
        <f>IFERROR(INDEX(ExchangeConfirms!$I$2:$I$460,MATCH($A295,ExchangeConfirms!$A$2:$A$460,0)),"")</f>
        <v/>
      </c>
      <c r="Q295">
        <f>IF(AND($E295=1,$F295=0),"MISSING IN EXCHANGE",IF(AND($E295=0,$F295=1),"MISSING IN INTERNAL",IF($G295&lt;&gt;$H295,"SIDE BREAK",IF($I295&lt;&gt;$J295,"QTY BREAK",IF(ABS($K295-$L295)&gt;0.005,"PRICE BREAK",IF(ABS($M295-$N295)&gt;0.01,"FEE BREAK","MATCHED"))))))</f>
        <v/>
      </c>
      <c r="R295">
        <f>IF($Q295="MATCHED",0,1)</f>
        <v/>
      </c>
      <c r="S295">
        <f>IF($Q295="MATCHED",0,IF($Q295="MISSING IN EXCHANGE",$O295,IF($Q295="MISSING IN INTERNAL",$P295,ABS(N($O295)-N($P295)))))</f>
        <v/>
      </c>
    </row>
    <row r="296">
      <c r="A296" t="inlineStr">
        <is>
          <t>T100295</t>
        </is>
      </c>
      <c r="B296">
        <f>IFERROR(INDEX(InternalTrades!$D$2:$D$461,MATCH($A296,InternalTrades!$A$2:$A$461,0)),INDEX(ExchangeConfirms!$D$2:$D$460,MATCH($A296,ExchangeConfirms!$A$2:$A$460,0)))</f>
        <v/>
      </c>
      <c r="C296">
        <f>IFERROR(INDEX(InternalTrades!$E$2:$E$461,MATCH($A296,InternalTrades!$A$2:$A$461,0)),INDEX(ExchangeConfirms!$E$2:$E$460,MATCH($A296,ExchangeConfirms!$A$2:$A$460,0)))</f>
        <v/>
      </c>
      <c r="D296">
        <f>IFERROR(INDEX(InternalTrades!$K$2:$K$461,MATCH($A296,InternalTrades!$A$2:$A$461,0)),INDEX(ExchangeConfirms!$K$2:$K$460,MATCH($A296,ExchangeConfirms!$A$2:$A$460,0)))</f>
        <v/>
      </c>
      <c r="E296">
        <f>IF(COUNTIF(InternalTrades!$A$2:$A$461,$A296)&gt;0,1,0)</f>
        <v/>
      </c>
      <c r="F296">
        <f>IF(COUNTIF(ExchangeConfirms!$A$2:$A$460,$A296)&gt;0,1,0)</f>
        <v/>
      </c>
      <c r="G296">
        <f>IFERROR(INDEX(InternalTrades!$F$2:$F$461,MATCH($A296,InternalTrades!$A$2:$A$461,0)),"")</f>
        <v/>
      </c>
      <c r="H296">
        <f>IFERROR(INDEX(ExchangeConfirms!$F$2:$F$460,MATCH($A296,ExchangeConfirms!$A$2:$A$460,0)),"")</f>
        <v/>
      </c>
      <c r="I296">
        <f>IFERROR(INDEX(InternalTrades!$G$2:$G$461,MATCH($A296,InternalTrades!$A$2:$A$461,0)),"")</f>
        <v/>
      </c>
      <c r="J296">
        <f>IFERROR(INDEX(ExchangeConfirms!$G$2:$G$460,MATCH($A296,ExchangeConfirms!$A$2:$A$460,0)),"")</f>
        <v/>
      </c>
      <c r="K296">
        <f>IFERROR(INDEX(InternalTrades!$H$2:$H$461,MATCH($A296,InternalTrades!$A$2:$A$461,0)),"")</f>
        <v/>
      </c>
      <c r="L296">
        <f>IFERROR(INDEX(ExchangeConfirms!$H$2:$H$460,MATCH($A296,ExchangeConfirms!$A$2:$A$460,0)),"")</f>
        <v/>
      </c>
      <c r="M296">
        <f>IFERROR(INDEX(InternalTrades!$J$2:$J$461,MATCH($A296,InternalTrades!$A$2:$A$461,0)),"")</f>
        <v/>
      </c>
      <c r="N296">
        <f>IFERROR(INDEX(ExchangeConfirms!$J$2:$J$460,MATCH($A296,ExchangeConfirms!$A$2:$A$460,0)),"")</f>
        <v/>
      </c>
      <c r="O296">
        <f>IFERROR(INDEX(InternalTrades!$I$2:$I$461,MATCH($A296,InternalTrades!$A$2:$A$461,0)),"")</f>
        <v/>
      </c>
      <c r="P296">
        <f>IFERROR(INDEX(ExchangeConfirms!$I$2:$I$460,MATCH($A296,ExchangeConfirms!$A$2:$A$460,0)),"")</f>
        <v/>
      </c>
      <c r="Q296">
        <f>IF(AND($E296=1,$F296=0),"MISSING IN EXCHANGE",IF(AND($E296=0,$F296=1),"MISSING IN INTERNAL",IF($G296&lt;&gt;$H296,"SIDE BREAK",IF($I296&lt;&gt;$J296,"QTY BREAK",IF(ABS($K296-$L296)&gt;0.005,"PRICE BREAK",IF(ABS($M296-$N296)&gt;0.01,"FEE BREAK","MATCHED"))))))</f>
        <v/>
      </c>
      <c r="R296">
        <f>IF($Q296="MATCHED",0,1)</f>
        <v/>
      </c>
      <c r="S296">
        <f>IF($Q296="MATCHED",0,IF($Q296="MISSING IN EXCHANGE",$O296,IF($Q296="MISSING IN INTERNAL",$P296,ABS(N($O296)-N($P296)))))</f>
        <v/>
      </c>
    </row>
    <row r="297">
      <c r="A297" t="inlineStr">
        <is>
          <t>T100296</t>
        </is>
      </c>
      <c r="B297">
        <f>IFERROR(INDEX(InternalTrades!$D$2:$D$461,MATCH($A297,InternalTrades!$A$2:$A$461,0)),INDEX(ExchangeConfirms!$D$2:$D$460,MATCH($A297,ExchangeConfirms!$A$2:$A$460,0)))</f>
        <v/>
      </c>
      <c r="C297">
        <f>IFERROR(INDEX(InternalTrades!$E$2:$E$461,MATCH($A297,InternalTrades!$A$2:$A$461,0)),INDEX(ExchangeConfirms!$E$2:$E$460,MATCH($A297,ExchangeConfirms!$A$2:$A$460,0)))</f>
        <v/>
      </c>
      <c r="D297">
        <f>IFERROR(INDEX(InternalTrades!$K$2:$K$461,MATCH($A297,InternalTrades!$A$2:$A$461,0)),INDEX(ExchangeConfirms!$K$2:$K$460,MATCH($A297,ExchangeConfirms!$A$2:$A$460,0)))</f>
        <v/>
      </c>
      <c r="E297">
        <f>IF(COUNTIF(InternalTrades!$A$2:$A$461,$A297)&gt;0,1,0)</f>
        <v/>
      </c>
      <c r="F297">
        <f>IF(COUNTIF(ExchangeConfirms!$A$2:$A$460,$A297)&gt;0,1,0)</f>
        <v/>
      </c>
      <c r="G297">
        <f>IFERROR(INDEX(InternalTrades!$F$2:$F$461,MATCH($A297,InternalTrades!$A$2:$A$461,0)),"")</f>
        <v/>
      </c>
      <c r="H297">
        <f>IFERROR(INDEX(ExchangeConfirms!$F$2:$F$460,MATCH($A297,ExchangeConfirms!$A$2:$A$460,0)),"")</f>
        <v/>
      </c>
      <c r="I297">
        <f>IFERROR(INDEX(InternalTrades!$G$2:$G$461,MATCH($A297,InternalTrades!$A$2:$A$461,0)),"")</f>
        <v/>
      </c>
      <c r="J297">
        <f>IFERROR(INDEX(ExchangeConfirms!$G$2:$G$460,MATCH($A297,ExchangeConfirms!$A$2:$A$460,0)),"")</f>
        <v/>
      </c>
      <c r="K297">
        <f>IFERROR(INDEX(InternalTrades!$H$2:$H$461,MATCH($A297,InternalTrades!$A$2:$A$461,0)),"")</f>
        <v/>
      </c>
      <c r="L297">
        <f>IFERROR(INDEX(ExchangeConfirms!$H$2:$H$460,MATCH($A297,ExchangeConfirms!$A$2:$A$460,0)),"")</f>
        <v/>
      </c>
      <c r="M297">
        <f>IFERROR(INDEX(InternalTrades!$J$2:$J$461,MATCH($A297,InternalTrades!$A$2:$A$461,0)),"")</f>
        <v/>
      </c>
      <c r="N297">
        <f>IFERROR(INDEX(ExchangeConfirms!$J$2:$J$460,MATCH($A297,ExchangeConfirms!$A$2:$A$460,0)),"")</f>
        <v/>
      </c>
      <c r="O297">
        <f>IFERROR(INDEX(InternalTrades!$I$2:$I$461,MATCH($A297,InternalTrades!$A$2:$A$461,0)),"")</f>
        <v/>
      </c>
      <c r="P297">
        <f>IFERROR(INDEX(ExchangeConfirms!$I$2:$I$460,MATCH($A297,ExchangeConfirms!$A$2:$A$460,0)),"")</f>
        <v/>
      </c>
      <c r="Q297">
        <f>IF(AND($E297=1,$F297=0),"MISSING IN EXCHANGE",IF(AND($E297=0,$F297=1),"MISSING IN INTERNAL",IF($G297&lt;&gt;$H297,"SIDE BREAK",IF($I297&lt;&gt;$J297,"QTY BREAK",IF(ABS($K297-$L297)&gt;0.005,"PRICE BREAK",IF(ABS($M297-$N297)&gt;0.01,"FEE BREAK","MATCHED"))))))</f>
        <v/>
      </c>
      <c r="R297">
        <f>IF($Q297="MATCHED",0,1)</f>
        <v/>
      </c>
      <c r="S297">
        <f>IF($Q297="MATCHED",0,IF($Q297="MISSING IN EXCHANGE",$O297,IF($Q297="MISSING IN INTERNAL",$P297,ABS(N($O297)-N($P297)))))</f>
        <v/>
      </c>
    </row>
    <row r="298">
      <c r="A298" t="inlineStr">
        <is>
          <t>T100297</t>
        </is>
      </c>
      <c r="B298">
        <f>IFERROR(INDEX(InternalTrades!$D$2:$D$461,MATCH($A298,InternalTrades!$A$2:$A$461,0)),INDEX(ExchangeConfirms!$D$2:$D$460,MATCH($A298,ExchangeConfirms!$A$2:$A$460,0)))</f>
        <v/>
      </c>
      <c r="C298">
        <f>IFERROR(INDEX(InternalTrades!$E$2:$E$461,MATCH($A298,InternalTrades!$A$2:$A$461,0)),INDEX(ExchangeConfirms!$E$2:$E$460,MATCH($A298,ExchangeConfirms!$A$2:$A$460,0)))</f>
        <v/>
      </c>
      <c r="D298">
        <f>IFERROR(INDEX(InternalTrades!$K$2:$K$461,MATCH($A298,InternalTrades!$A$2:$A$461,0)),INDEX(ExchangeConfirms!$K$2:$K$460,MATCH($A298,ExchangeConfirms!$A$2:$A$460,0)))</f>
        <v/>
      </c>
      <c r="E298">
        <f>IF(COUNTIF(InternalTrades!$A$2:$A$461,$A298)&gt;0,1,0)</f>
        <v/>
      </c>
      <c r="F298">
        <f>IF(COUNTIF(ExchangeConfirms!$A$2:$A$460,$A298)&gt;0,1,0)</f>
        <v/>
      </c>
      <c r="G298">
        <f>IFERROR(INDEX(InternalTrades!$F$2:$F$461,MATCH($A298,InternalTrades!$A$2:$A$461,0)),"")</f>
        <v/>
      </c>
      <c r="H298">
        <f>IFERROR(INDEX(ExchangeConfirms!$F$2:$F$460,MATCH($A298,ExchangeConfirms!$A$2:$A$460,0)),"")</f>
        <v/>
      </c>
      <c r="I298">
        <f>IFERROR(INDEX(InternalTrades!$G$2:$G$461,MATCH($A298,InternalTrades!$A$2:$A$461,0)),"")</f>
        <v/>
      </c>
      <c r="J298">
        <f>IFERROR(INDEX(ExchangeConfirms!$G$2:$G$460,MATCH($A298,ExchangeConfirms!$A$2:$A$460,0)),"")</f>
        <v/>
      </c>
      <c r="K298">
        <f>IFERROR(INDEX(InternalTrades!$H$2:$H$461,MATCH($A298,InternalTrades!$A$2:$A$461,0)),"")</f>
        <v/>
      </c>
      <c r="L298">
        <f>IFERROR(INDEX(ExchangeConfirms!$H$2:$H$460,MATCH($A298,ExchangeConfirms!$A$2:$A$460,0)),"")</f>
        <v/>
      </c>
      <c r="M298">
        <f>IFERROR(INDEX(InternalTrades!$J$2:$J$461,MATCH($A298,InternalTrades!$A$2:$A$461,0)),"")</f>
        <v/>
      </c>
      <c r="N298">
        <f>IFERROR(INDEX(ExchangeConfirms!$J$2:$J$460,MATCH($A298,ExchangeConfirms!$A$2:$A$460,0)),"")</f>
        <v/>
      </c>
      <c r="O298">
        <f>IFERROR(INDEX(InternalTrades!$I$2:$I$461,MATCH($A298,InternalTrades!$A$2:$A$461,0)),"")</f>
        <v/>
      </c>
      <c r="P298">
        <f>IFERROR(INDEX(ExchangeConfirms!$I$2:$I$460,MATCH($A298,ExchangeConfirms!$A$2:$A$460,0)),"")</f>
        <v/>
      </c>
      <c r="Q298">
        <f>IF(AND($E298=1,$F298=0),"MISSING IN EXCHANGE",IF(AND($E298=0,$F298=1),"MISSING IN INTERNAL",IF($G298&lt;&gt;$H298,"SIDE BREAK",IF($I298&lt;&gt;$J298,"QTY BREAK",IF(ABS($K298-$L298)&gt;0.005,"PRICE BREAK",IF(ABS($M298-$N298)&gt;0.01,"FEE BREAK","MATCHED"))))))</f>
        <v/>
      </c>
      <c r="R298">
        <f>IF($Q298="MATCHED",0,1)</f>
        <v/>
      </c>
      <c r="S298">
        <f>IF($Q298="MATCHED",0,IF($Q298="MISSING IN EXCHANGE",$O298,IF($Q298="MISSING IN INTERNAL",$P298,ABS(N($O298)-N($P298)))))</f>
        <v/>
      </c>
    </row>
    <row r="299">
      <c r="A299" t="inlineStr">
        <is>
          <t>T100298</t>
        </is>
      </c>
      <c r="B299">
        <f>IFERROR(INDEX(InternalTrades!$D$2:$D$461,MATCH($A299,InternalTrades!$A$2:$A$461,0)),INDEX(ExchangeConfirms!$D$2:$D$460,MATCH($A299,ExchangeConfirms!$A$2:$A$460,0)))</f>
        <v/>
      </c>
      <c r="C299">
        <f>IFERROR(INDEX(InternalTrades!$E$2:$E$461,MATCH($A299,InternalTrades!$A$2:$A$461,0)),INDEX(ExchangeConfirms!$E$2:$E$460,MATCH($A299,ExchangeConfirms!$A$2:$A$460,0)))</f>
        <v/>
      </c>
      <c r="D299">
        <f>IFERROR(INDEX(InternalTrades!$K$2:$K$461,MATCH($A299,InternalTrades!$A$2:$A$461,0)),INDEX(ExchangeConfirms!$K$2:$K$460,MATCH($A299,ExchangeConfirms!$A$2:$A$460,0)))</f>
        <v/>
      </c>
      <c r="E299">
        <f>IF(COUNTIF(InternalTrades!$A$2:$A$461,$A299)&gt;0,1,0)</f>
        <v/>
      </c>
      <c r="F299">
        <f>IF(COUNTIF(ExchangeConfirms!$A$2:$A$460,$A299)&gt;0,1,0)</f>
        <v/>
      </c>
      <c r="G299">
        <f>IFERROR(INDEX(InternalTrades!$F$2:$F$461,MATCH($A299,InternalTrades!$A$2:$A$461,0)),"")</f>
        <v/>
      </c>
      <c r="H299">
        <f>IFERROR(INDEX(ExchangeConfirms!$F$2:$F$460,MATCH($A299,ExchangeConfirms!$A$2:$A$460,0)),"")</f>
        <v/>
      </c>
      <c r="I299">
        <f>IFERROR(INDEX(InternalTrades!$G$2:$G$461,MATCH($A299,InternalTrades!$A$2:$A$461,0)),"")</f>
        <v/>
      </c>
      <c r="J299">
        <f>IFERROR(INDEX(ExchangeConfirms!$G$2:$G$460,MATCH($A299,ExchangeConfirms!$A$2:$A$460,0)),"")</f>
        <v/>
      </c>
      <c r="K299">
        <f>IFERROR(INDEX(InternalTrades!$H$2:$H$461,MATCH($A299,InternalTrades!$A$2:$A$461,0)),"")</f>
        <v/>
      </c>
      <c r="L299">
        <f>IFERROR(INDEX(ExchangeConfirms!$H$2:$H$460,MATCH($A299,ExchangeConfirms!$A$2:$A$460,0)),"")</f>
        <v/>
      </c>
      <c r="M299">
        <f>IFERROR(INDEX(InternalTrades!$J$2:$J$461,MATCH($A299,InternalTrades!$A$2:$A$461,0)),"")</f>
        <v/>
      </c>
      <c r="N299">
        <f>IFERROR(INDEX(ExchangeConfirms!$J$2:$J$460,MATCH($A299,ExchangeConfirms!$A$2:$A$460,0)),"")</f>
        <v/>
      </c>
      <c r="O299">
        <f>IFERROR(INDEX(InternalTrades!$I$2:$I$461,MATCH($A299,InternalTrades!$A$2:$A$461,0)),"")</f>
        <v/>
      </c>
      <c r="P299">
        <f>IFERROR(INDEX(ExchangeConfirms!$I$2:$I$460,MATCH($A299,ExchangeConfirms!$A$2:$A$460,0)),"")</f>
        <v/>
      </c>
      <c r="Q299">
        <f>IF(AND($E299=1,$F299=0),"MISSING IN EXCHANGE",IF(AND($E299=0,$F299=1),"MISSING IN INTERNAL",IF($G299&lt;&gt;$H299,"SIDE BREAK",IF($I299&lt;&gt;$J299,"QTY BREAK",IF(ABS($K299-$L299)&gt;0.005,"PRICE BREAK",IF(ABS($M299-$N299)&gt;0.01,"FEE BREAK","MATCHED"))))))</f>
        <v/>
      </c>
      <c r="R299">
        <f>IF($Q299="MATCHED",0,1)</f>
        <v/>
      </c>
      <c r="S299">
        <f>IF($Q299="MATCHED",0,IF($Q299="MISSING IN EXCHANGE",$O299,IF($Q299="MISSING IN INTERNAL",$P299,ABS(N($O299)-N($P299)))))</f>
        <v/>
      </c>
    </row>
    <row r="300">
      <c r="A300" t="inlineStr">
        <is>
          <t>T100299</t>
        </is>
      </c>
      <c r="B300">
        <f>IFERROR(INDEX(InternalTrades!$D$2:$D$461,MATCH($A300,InternalTrades!$A$2:$A$461,0)),INDEX(ExchangeConfirms!$D$2:$D$460,MATCH($A300,ExchangeConfirms!$A$2:$A$460,0)))</f>
        <v/>
      </c>
      <c r="C300">
        <f>IFERROR(INDEX(InternalTrades!$E$2:$E$461,MATCH($A300,InternalTrades!$A$2:$A$461,0)),INDEX(ExchangeConfirms!$E$2:$E$460,MATCH($A300,ExchangeConfirms!$A$2:$A$460,0)))</f>
        <v/>
      </c>
      <c r="D300">
        <f>IFERROR(INDEX(InternalTrades!$K$2:$K$461,MATCH($A300,InternalTrades!$A$2:$A$461,0)),INDEX(ExchangeConfirms!$K$2:$K$460,MATCH($A300,ExchangeConfirms!$A$2:$A$460,0)))</f>
        <v/>
      </c>
      <c r="E300">
        <f>IF(COUNTIF(InternalTrades!$A$2:$A$461,$A300)&gt;0,1,0)</f>
        <v/>
      </c>
      <c r="F300">
        <f>IF(COUNTIF(ExchangeConfirms!$A$2:$A$460,$A300)&gt;0,1,0)</f>
        <v/>
      </c>
      <c r="G300">
        <f>IFERROR(INDEX(InternalTrades!$F$2:$F$461,MATCH($A300,InternalTrades!$A$2:$A$461,0)),"")</f>
        <v/>
      </c>
      <c r="H300">
        <f>IFERROR(INDEX(ExchangeConfirms!$F$2:$F$460,MATCH($A300,ExchangeConfirms!$A$2:$A$460,0)),"")</f>
        <v/>
      </c>
      <c r="I300">
        <f>IFERROR(INDEX(InternalTrades!$G$2:$G$461,MATCH($A300,InternalTrades!$A$2:$A$461,0)),"")</f>
        <v/>
      </c>
      <c r="J300">
        <f>IFERROR(INDEX(ExchangeConfirms!$G$2:$G$460,MATCH($A300,ExchangeConfirms!$A$2:$A$460,0)),"")</f>
        <v/>
      </c>
      <c r="K300">
        <f>IFERROR(INDEX(InternalTrades!$H$2:$H$461,MATCH($A300,InternalTrades!$A$2:$A$461,0)),"")</f>
        <v/>
      </c>
      <c r="L300">
        <f>IFERROR(INDEX(ExchangeConfirms!$H$2:$H$460,MATCH($A300,ExchangeConfirms!$A$2:$A$460,0)),"")</f>
        <v/>
      </c>
      <c r="M300">
        <f>IFERROR(INDEX(InternalTrades!$J$2:$J$461,MATCH($A300,InternalTrades!$A$2:$A$461,0)),"")</f>
        <v/>
      </c>
      <c r="N300">
        <f>IFERROR(INDEX(ExchangeConfirms!$J$2:$J$460,MATCH($A300,ExchangeConfirms!$A$2:$A$460,0)),"")</f>
        <v/>
      </c>
      <c r="O300">
        <f>IFERROR(INDEX(InternalTrades!$I$2:$I$461,MATCH($A300,InternalTrades!$A$2:$A$461,0)),"")</f>
        <v/>
      </c>
      <c r="P300">
        <f>IFERROR(INDEX(ExchangeConfirms!$I$2:$I$460,MATCH($A300,ExchangeConfirms!$A$2:$A$460,0)),"")</f>
        <v/>
      </c>
      <c r="Q300">
        <f>IF(AND($E300=1,$F300=0),"MISSING IN EXCHANGE",IF(AND($E300=0,$F300=1),"MISSING IN INTERNAL",IF($G300&lt;&gt;$H300,"SIDE BREAK",IF($I300&lt;&gt;$J300,"QTY BREAK",IF(ABS($K300-$L300)&gt;0.005,"PRICE BREAK",IF(ABS($M300-$N300)&gt;0.01,"FEE BREAK","MATCHED"))))))</f>
        <v/>
      </c>
      <c r="R300">
        <f>IF($Q300="MATCHED",0,1)</f>
        <v/>
      </c>
      <c r="S300">
        <f>IF($Q300="MATCHED",0,IF($Q300="MISSING IN EXCHANGE",$O300,IF($Q300="MISSING IN INTERNAL",$P300,ABS(N($O300)-N($P300)))))</f>
        <v/>
      </c>
    </row>
    <row r="301">
      <c r="A301" t="inlineStr">
        <is>
          <t>T100300</t>
        </is>
      </c>
      <c r="B301">
        <f>IFERROR(INDEX(InternalTrades!$D$2:$D$461,MATCH($A301,InternalTrades!$A$2:$A$461,0)),INDEX(ExchangeConfirms!$D$2:$D$460,MATCH($A301,ExchangeConfirms!$A$2:$A$460,0)))</f>
        <v/>
      </c>
      <c r="C301">
        <f>IFERROR(INDEX(InternalTrades!$E$2:$E$461,MATCH($A301,InternalTrades!$A$2:$A$461,0)),INDEX(ExchangeConfirms!$E$2:$E$460,MATCH($A301,ExchangeConfirms!$A$2:$A$460,0)))</f>
        <v/>
      </c>
      <c r="D301">
        <f>IFERROR(INDEX(InternalTrades!$K$2:$K$461,MATCH($A301,InternalTrades!$A$2:$A$461,0)),INDEX(ExchangeConfirms!$K$2:$K$460,MATCH($A301,ExchangeConfirms!$A$2:$A$460,0)))</f>
        <v/>
      </c>
      <c r="E301">
        <f>IF(COUNTIF(InternalTrades!$A$2:$A$461,$A301)&gt;0,1,0)</f>
        <v/>
      </c>
      <c r="F301">
        <f>IF(COUNTIF(ExchangeConfirms!$A$2:$A$460,$A301)&gt;0,1,0)</f>
        <v/>
      </c>
      <c r="G301">
        <f>IFERROR(INDEX(InternalTrades!$F$2:$F$461,MATCH($A301,InternalTrades!$A$2:$A$461,0)),"")</f>
        <v/>
      </c>
      <c r="H301">
        <f>IFERROR(INDEX(ExchangeConfirms!$F$2:$F$460,MATCH($A301,ExchangeConfirms!$A$2:$A$460,0)),"")</f>
        <v/>
      </c>
      <c r="I301">
        <f>IFERROR(INDEX(InternalTrades!$G$2:$G$461,MATCH($A301,InternalTrades!$A$2:$A$461,0)),"")</f>
        <v/>
      </c>
      <c r="J301">
        <f>IFERROR(INDEX(ExchangeConfirms!$G$2:$G$460,MATCH($A301,ExchangeConfirms!$A$2:$A$460,0)),"")</f>
        <v/>
      </c>
      <c r="K301">
        <f>IFERROR(INDEX(InternalTrades!$H$2:$H$461,MATCH($A301,InternalTrades!$A$2:$A$461,0)),"")</f>
        <v/>
      </c>
      <c r="L301">
        <f>IFERROR(INDEX(ExchangeConfirms!$H$2:$H$460,MATCH($A301,ExchangeConfirms!$A$2:$A$460,0)),"")</f>
        <v/>
      </c>
      <c r="M301">
        <f>IFERROR(INDEX(InternalTrades!$J$2:$J$461,MATCH($A301,InternalTrades!$A$2:$A$461,0)),"")</f>
        <v/>
      </c>
      <c r="N301">
        <f>IFERROR(INDEX(ExchangeConfirms!$J$2:$J$460,MATCH($A301,ExchangeConfirms!$A$2:$A$460,0)),"")</f>
        <v/>
      </c>
      <c r="O301">
        <f>IFERROR(INDEX(InternalTrades!$I$2:$I$461,MATCH($A301,InternalTrades!$A$2:$A$461,0)),"")</f>
        <v/>
      </c>
      <c r="P301">
        <f>IFERROR(INDEX(ExchangeConfirms!$I$2:$I$460,MATCH($A301,ExchangeConfirms!$A$2:$A$460,0)),"")</f>
        <v/>
      </c>
      <c r="Q301">
        <f>IF(AND($E301=1,$F301=0),"MISSING IN EXCHANGE",IF(AND($E301=0,$F301=1),"MISSING IN INTERNAL",IF($G301&lt;&gt;$H301,"SIDE BREAK",IF($I301&lt;&gt;$J301,"QTY BREAK",IF(ABS($K301-$L301)&gt;0.005,"PRICE BREAK",IF(ABS($M301-$N301)&gt;0.01,"FEE BREAK","MATCHED"))))))</f>
        <v/>
      </c>
      <c r="R301">
        <f>IF($Q301="MATCHED",0,1)</f>
        <v/>
      </c>
      <c r="S301">
        <f>IF($Q301="MATCHED",0,IF($Q301="MISSING IN EXCHANGE",$O301,IF($Q301="MISSING IN INTERNAL",$P301,ABS(N($O301)-N($P301)))))</f>
        <v/>
      </c>
    </row>
    <row r="302">
      <c r="A302" t="inlineStr">
        <is>
          <t>T100301</t>
        </is>
      </c>
      <c r="B302">
        <f>IFERROR(INDEX(InternalTrades!$D$2:$D$461,MATCH($A302,InternalTrades!$A$2:$A$461,0)),INDEX(ExchangeConfirms!$D$2:$D$460,MATCH($A302,ExchangeConfirms!$A$2:$A$460,0)))</f>
        <v/>
      </c>
      <c r="C302">
        <f>IFERROR(INDEX(InternalTrades!$E$2:$E$461,MATCH($A302,InternalTrades!$A$2:$A$461,0)),INDEX(ExchangeConfirms!$E$2:$E$460,MATCH($A302,ExchangeConfirms!$A$2:$A$460,0)))</f>
        <v/>
      </c>
      <c r="D302">
        <f>IFERROR(INDEX(InternalTrades!$K$2:$K$461,MATCH($A302,InternalTrades!$A$2:$A$461,0)),INDEX(ExchangeConfirms!$K$2:$K$460,MATCH($A302,ExchangeConfirms!$A$2:$A$460,0)))</f>
        <v/>
      </c>
      <c r="E302">
        <f>IF(COUNTIF(InternalTrades!$A$2:$A$461,$A302)&gt;0,1,0)</f>
        <v/>
      </c>
      <c r="F302">
        <f>IF(COUNTIF(ExchangeConfirms!$A$2:$A$460,$A302)&gt;0,1,0)</f>
        <v/>
      </c>
      <c r="G302">
        <f>IFERROR(INDEX(InternalTrades!$F$2:$F$461,MATCH($A302,InternalTrades!$A$2:$A$461,0)),"")</f>
        <v/>
      </c>
      <c r="H302">
        <f>IFERROR(INDEX(ExchangeConfirms!$F$2:$F$460,MATCH($A302,ExchangeConfirms!$A$2:$A$460,0)),"")</f>
        <v/>
      </c>
      <c r="I302">
        <f>IFERROR(INDEX(InternalTrades!$G$2:$G$461,MATCH($A302,InternalTrades!$A$2:$A$461,0)),"")</f>
        <v/>
      </c>
      <c r="J302">
        <f>IFERROR(INDEX(ExchangeConfirms!$G$2:$G$460,MATCH($A302,ExchangeConfirms!$A$2:$A$460,0)),"")</f>
        <v/>
      </c>
      <c r="K302">
        <f>IFERROR(INDEX(InternalTrades!$H$2:$H$461,MATCH($A302,InternalTrades!$A$2:$A$461,0)),"")</f>
        <v/>
      </c>
      <c r="L302">
        <f>IFERROR(INDEX(ExchangeConfirms!$H$2:$H$460,MATCH($A302,ExchangeConfirms!$A$2:$A$460,0)),"")</f>
        <v/>
      </c>
      <c r="M302">
        <f>IFERROR(INDEX(InternalTrades!$J$2:$J$461,MATCH($A302,InternalTrades!$A$2:$A$461,0)),"")</f>
        <v/>
      </c>
      <c r="N302">
        <f>IFERROR(INDEX(ExchangeConfirms!$J$2:$J$460,MATCH($A302,ExchangeConfirms!$A$2:$A$460,0)),"")</f>
        <v/>
      </c>
      <c r="O302">
        <f>IFERROR(INDEX(InternalTrades!$I$2:$I$461,MATCH($A302,InternalTrades!$A$2:$A$461,0)),"")</f>
        <v/>
      </c>
      <c r="P302">
        <f>IFERROR(INDEX(ExchangeConfirms!$I$2:$I$460,MATCH($A302,ExchangeConfirms!$A$2:$A$460,0)),"")</f>
        <v/>
      </c>
      <c r="Q302">
        <f>IF(AND($E302=1,$F302=0),"MISSING IN EXCHANGE",IF(AND($E302=0,$F302=1),"MISSING IN INTERNAL",IF($G302&lt;&gt;$H302,"SIDE BREAK",IF($I302&lt;&gt;$J302,"QTY BREAK",IF(ABS($K302-$L302)&gt;0.005,"PRICE BREAK",IF(ABS($M302-$N302)&gt;0.01,"FEE BREAK","MATCHED"))))))</f>
        <v/>
      </c>
      <c r="R302">
        <f>IF($Q302="MATCHED",0,1)</f>
        <v/>
      </c>
      <c r="S302">
        <f>IF($Q302="MATCHED",0,IF($Q302="MISSING IN EXCHANGE",$O302,IF($Q302="MISSING IN INTERNAL",$P302,ABS(N($O302)-N($P302)))))</f>
        <v/>
      </c>
    </row>
    <row r="303">
      <c r="A303" t="inlineStr">
        <is>
          <t>T100302</t>
        </is>
      </c>
      <c r="B303">
        <f>IFERROR(INDEX(InternalTrades!$D$2:$D$461,MATCH($A303,InternalTrades!$A$2:$A$461,0)),INDEX(ExchangeConfirms!$D$2:$D$460,MATCH($A303,ExchangeConfirms!$A$2:$A$460,0)))</f>
        <v/>
      </c>
      <c r="C303">
        <f>IFERROR(INDEX(InternalTrades!$E$2:$E$461,MATCH($A303,InternalTrades!$A$2:$A$461,0)),INDEX(ExchangeConfirms!$E$2:$E$460,MATCH($A303,ExchangeConfirms!$A$2:$A$460,0)))</f>
        <v/>
      </c>
      <c r="D303">
        <f>IFERROR(INDEX(InternalTrades!$K$2:$K$461,MATCH($A303,InternalTrades!$A$2:$A$461,0)),INDEX(ExchangeConfirms!$K$2:$K$460,MATCH($A303,ExchangeConfirms!$A$2:$A$460,0)))</f>
        <v/>
      </c>
      <c r="E303">
        <f>IF(COUNTIF(InternalTrades!$A$2:$A$461,$A303)&gt;0,1,0)</f>
        <v/>
      </c>
      <c r="F303">
        <f>IF(COUNTIF(ExchangeConfirms!$A$2:$A$460,$A303)&gt;0,1,0)</f>
        <v/>
      </c>
      <c r="G303">
        <f>IFERROR(INDEX(InternalTrades!$F$2:$F$461,MATCH($A303,InternalTrades!$A$2:$A$461,0)),"")</f>
        <v/>
      </c>
      <c r="H303">
        <f>IFERROR(INDEX(ExchangeConfirms!$F$2:$F$460,MATCH($A303,ExchangeConfirms!$A$2:$A$460,0)),"")</f>
        <v/>
      </c>
      <c r="I303">
        <f>IFERROR(INDEX(InternalTrades!$G$2:$G$461,MATCH($A303,InternalTrades!$A$2:$A$461,0)),"")</f>
        <v/>
      </c>
      <c r="J303">
        <f>IFERROR(INDEX(ExchangeConfirms!$G$2:$G$460,MATCH($A303,ExchangeConfirms!$A$2:$A$460,0)),"")</f>
        <v/>
      </c>
      <c r="K303">
        <f>IFERROR(INDEX(InternalTrades!$H$2:$H$461,MATCH($A303,InternalTrades!$A$2:$A$461,0)),"")</f>
        <v/>
      </c>
      <c r="L303">
        <f>IFERROR(INDEX(ExchangeConfirms!$H$2:$H$460,MATCH($A303,ExchangeConfirms!$A$2:$A$460,0)),"")</f>
        <v/>
      </c>
      <c r="M303">
        <f>IFERROR(INDEX(InternalTrades!$J$2:$J$461,MATCH($A303,InternalTrades!$A$2:$A$461,0)),"")</f>
        <v/>
      </c>
      <c r="N303">
        <f>IFERROR(INDEX(ExchangeConfirms!$J$2:$J$460,MATCH($A303,ExchangeConfirms!$A$2:$A$460,0)),"")</f>
        <v/>
      </c>
      <c r="O303">
        <f>IFERROR(INDEX(InternalTrades!$I$2:$I$461,MATCH($A303,InternalTrades!$A$2:$A$461,0)),"")</f>
        <v/>
      </c>
      <c r="P303">
        <f>IFERROR(INDEX(ExchangeConfirms!$I$2:$I$460,MATCH($A303,ExchangeConfirms!$A$2:$A$460,0)),"")</f>
        <v/>
      </c>
      <c r="Q303">
        <f>IF(AND($E303=1,$F303=0),"MISSING IN EXCHANGE",IF(AND($E303=0,$F303=1),"MISSING IN INTERNAL",IF($G303&lt;&gt;$H303,"SIDE BREAK",IF($I303&lt;&gt;$J303,"QTY BREAK",IF(ABS($K303-$L303)&gt;0.005,"PRICE BREAK",IF(ABS($M303-$N303)&gt;0.01,"FEE BREAK","MATCHED"))))))</f>
        <v/>
      </c>
      <c r="R303">
        <f>IF($Q303="MATCHED",0,1)</f>
        <v/>
      </c>
      <c r="S303">
        <f>IF($Q303="MATCHED",0,IF($Q303="MISSING IN EXCHANGE",$O303,IF($Q303="MISSING IN INTERNAL",$P303,ABS(N($O303)-N($P303)))))</f>
        <v/>
      </c>
    </row>
    <row r="304">
      <c r="A304" t="inlineStr">
        <is>
          <t>T100303</t>
        </is>
      </c>
      <c r="B304">
        <f>IFERROR(INDEX(InternalTrades!$D$2:$D$461,MATCH($A304,InternalTrades!$A$2:$A$461,0)),INDEX(ExchangeConfirms!$D$2:$D$460,MATCH($A304,ExchangeConfirms!$A$2:$A$460,0)))</f>
        <v/>
      </c>
      <c r="C304">
        <f>IFERROR(INDEX(InternalTrades!$E$2:$E$461,MATCH($A304,InternalTrades!$A$2:$A$461,0)),INDEX(ExchangeConfirms!$E$2:$E$460,MATCH($A304,ExchangeConfirms!$A$2:$A$460,0)))</f>
        <v/>
      </c>
      <c r="D304">
        <f>IFERROR(INDEX(InternalTrades!$K$2:$K$461,MATCH($A304,InternalTrades!$A$2:$A$461,0)),INDEX(ExchangeConfirms!$K$2:$K$460,MATCH($A304,ExchangeConfirms!$A$2:$A$460,0)))</f>
        <v/>
      </c>
      <c r="E304">
        <f>IF(COUNTIF(InternalTrades!$A$2:$A$461,$A304)&gt;0,1,0)</f>
        <v/>
      </c>
      <c r="F304">
        <f>IF(COUNTIF(ExchangeConfirms!$A$2:$A$460,$A304)&gt;0,1,0)</f>
        <v/>
      </c>
      <c r="G304">
        <f>IFERROR(INDEX(InternalTrades!$F$2:$F$461,MATCH($A304,InternalTrades!$A$2:$A$461,0)),"")</f>
        <v/>
      </c>
      <c r="H304">
        <f>IFERROR(INDEX(ExchangeConfirms!$F$2:$F$460,MATCH($A304,ExchangeConfirms!$A$2:$A$460,0)),"")</f>
        <v/>
      </c>
      <c r="I304">
        <f>IFERROR(INDEX(InternalTrades!$G$2:$G$461,MATCH($A304,InternalTrades!$A$2:$A$461,0)),"")</f>
        <v/>
      </c>
      <c r="J304">
        <f>IFERROR(INDEX(ExchangeConfirms!$G$2:$G$460,MATCH($A304,ExchangeConfirms!$A$2:$A$460,0)),"")</f>
        <v/>
      </c>
      <c r="K304">
        <f>IFERROR(INDEX(InternalTrades!$H$2:$H$461,MATCH($A304,InternalTrades!$A$2:$A$461,0)),"")</f>
        <v/>
      </c>
      <c r="L304">
        <f>IFERROR(INDEX(ExchangeConfirms!$H$2:$H$460,MATCH($A304,ExchangeConfirms!$A$2:$A$460,0)),"")</f>
        <v/>
      </c>
      <c r="M304">
        <f>IFERROR(INDEX(InternalTrades!$J$2:$J$461,MATCH($A304,InternalTrades!$A$2:$A$461,0)),"")</f>
        <v/>
      </c>
      <c r="N304">
        <f>IFERROR(INDEX(ExchangeConfirms!$J$2:$J$460,MATCH($A304,ExchangeConfirms!$A$2:$A$460,0)),"")</f>
        <v/>
      </c>
      <c r="O304">
        <f>IFERROR(INDEX(InternalTrades!$I$2:$I$461,MATCH($A304,InternalTrades!$A$2:$A$461,0)),"")</f>
        <v/>
      </c>
      <c r="P304">
        <f>IFERROR(INDEX(ExchangeConfirms!$I$2:$I$460,MATCH($A304,ExchangeConfirms!$A$2:$A$460,0)),"")</f>
        <v/>
      </c>
      <c r="Q304">
        <f>IF(AND($E304=1,$F304=0),"MISSING IN EXCHANGE",IF(AND($E304=0,$F304=1),"MISSING IN INTERNAL",IF($G304&lt;&gt;$H304,"SIDE BREAK",IF($I304&lt;&gt;$J304,"QTY BREAK",IF(ABS($K304-$L304)&gt;0.005,"PRICE BREAK",IF(ABS($M304-$N304)&gt;0.01,"FEE BREAK","MATCHED"))))))</f>
        <v/>
      </c>
      <c r="R304">
        <f>IF($Q304="MATCHED",0,1)</f>
        <v/>
      </c>
      <c r="S304">
        <f>IF($Q304="MATCHED",0,IF($Q304="MISSING IN EXCHANGE",$O304,IF($Q304="MISSING IN INTERNAL",$P304,ABS(N($O304)-N($P304)))))</f>
        <v/>
      </c>
    </row>
    <row r="305">
      <c r="A305" t="inlineStr">
        <is>
          <t>T100304</t>
        </is>
      </c>
      <c r="B305">
        <f>IFERROR(INDEX(InternalTrades!$D$2:$D$461,MATCH($A305,InternalTrades!$A$2:$A$461,0)),INDEX(ExchangeConfirms!$D$2:$D$460,MATCH($A305,ExchangeConfirms!$A$2:$A$460,0)))</f>
        <v/>
      </c>
      <c r="C305">
        <f>IFERROR(INDEX(InternalTrades!$E$2:$E$461,MATCH($A305,InternalTrades!$A$2:$A$461,0)),INDEX(ExchangeConfirms!$E$2:$E$460,MATCH($A305,ExchangeConfirms!$A$2:$A$460,0)))</f>
        <v/>
      </c>
      <c r="D305">
        <f>IFERROR(INDEX(InternalTrades!$K$2:$K$461,MATCH($A305,InternalTrades!$A$2:$A$461,0)),INDEX(ExchangeConfirms!$K$2:$K$460,MATCH($A305,ExchangeConfirms!$A$2:$A$460,0)))</f>
        <v/>
      </c>
      <c r="E305">
        <f>IF(COUNTIF(InternalTrades!$A$2:$A$461,$A305)&gt;0,1,0)</f>
        <v/>
      </c>
      <c r="F305">
        <f>IF(COUNTIF(ExchangeConfirms!$A$2:$A$460,$A305)&gt;0,1,0)</f>
        <v/>
      </c>
      <c r="G305">
        <f>IFERROR(INDEX(InternalTrades!$F$2:$F$461,MATCH($A305,InternalTrades!$A$2:$A$461,0)),"")</f>
        <v/>
      </c>
      <c r="H305">
        <f>IFERROR(INDEX(ExchangeConfirms!$F$2:$F$460,MATCH($A305,ExchangeConfirms!$A$2:$A$460,0)),"")</f>
        <v/>
      </c>
      <c r="I305">
        <f>IFERROR(INDEX(InternalTrades!$G$2:$G$461,MATCH($A305,InternalTrades!$A$2:$A$461,0)),"")</f>
        <v/>
      </c>
      <c r="J305">
        <f>IFERROR(INDEX(ExchangeConfirms!$G$2:$G$460,MATCH($A305,ExchangeConfirms!$A$2:$A$460,0)),"")</f>
        <v/>
      </c>
      <c r="K305">
        <f>IFERROR(INDEX(InternalTrades!$H$2:$H$461,MATCH($A305,InternalTrades!$A$2:$A$461,0)),"")</f>
        <v/>
      </c>
      <c r="L305">
        <f>IFERROR(INDEX(ExchangeConfirms!$H$2:$H$460,MATCH($A305,ExchangeConfirms!$A$2:$A$460,0)),"")</f>
        <v/>
      </c>
      <c r="M305">
        <f>IFERROR(INDEX(InternalTrades!$J$2:$J$461,MATCH($A305,InternalTrades!$A$2:$A$461,0)),"")</f>
        <v/>
      </c>
      <c r="N305">
        <f>IFERROR(INDEX(ExchangeConfirms!$J$2:$J$460,MATCH($A305,ExchangeConfirms!$A$2:$A$460,0)),"")</f>
        <v/>
      </c>
      <c r="O305">
        <f>IFERROR(INDEX(InternalTrades!$I$2:$I$461,MATCH($A305,InternalTrades!$A$2:$A$461,0)),"")</f>
        <v/>
      </c>
      <c r="P305">
        <f>IFERROR(INDEX(ExchangeConfirms!$I$2:$I$460,MATCH($A305,ExchangeConfirms!$A$2:$A$460,0)),"")</f>
        <v/>
      </c>
      <c r="Q305">
        <f>IF(AND($E305=1,$F305=0),"MISSING IN EXCHANGE",IF(AND($E305=0,$F305=1),"MISSING IN INTERNAL",IF($G305&lt;&gt;$H305,"SIDE BREAK",IF($I305&lt;&gt;$J305,"QTY BREAK",IF(ABS($K305-$L305)&gt;0.005,"PRICE BREAK",IF(ABS($M305-$N305)&gt;0.01,"FEE BREAK","MATCHED"))))))</f>
        <v/>
      </c>
      <c r="R305">
        <f>IF($Q305="MATCHED",0,1)</f>
        <v/>
      </c>
      <c r="S305">
        <f>IF($Q305="MATCHED",0,IF($Q305="MISSING IN EXCHANGE",$O305,IF($Q305="MISSING IN INTERNAL",$P305,ABS(N($O305)-N($P305)))))</f>
        <v/>
      </c>
    </row>
    <row r="306">
      <c r="A306" t="inlineStr">
        <is>
          <t>T100305</t>
        </is>
      </c>
      <c r="B306">
        <f>IFERROR(INDEX(InternalTrades!$D$2:$D$461,MATCH($A306,InternalTrades!$A$2:$A$461,0)),INDEX(ExchangeConfirms!$D$2:$D$460,MATCH($A306,ExchangeConfirms!$A$2:$A$460,0)))</f>
        <v/>
      </c>
      <c r="C306">
        <f>IFERROR(INDEX(InternalTrades!$E$2:$E$461,MATCH($A306,InternalTrades!$A$2:$A$461,0)),INDEX(ExchangeConfirms!$E$2:$E$460,MATCH($A306,ExchangeConfirms!$A$2:$A$460,0)))</f>
        <v/>
      </c>
      <c r="D306">
        <f>IFERROR(INDEX(InternalTrades!$K$2:$K$461,MATCH($A306,InternalTrades!$A$2:$A$461,0)),INDEX(ExchangeConfirms!$K$2:$K$460,MATCH($A306,ExchangeConfirms!$A$2:$A$460,0)))</f>
        <v/>
      </c>
      <c r="E306">
        <f>IF(COUNTIF(InternalTrades!$A$2:$A$461,$A306)&gt;0,1,0)</f>
        <v/>
      </c>
      <c r="F306">
        <f>IF(COUNTIF(ExchangeConfirms!$A$2:$A$460,$A306)&gt;0,1,0)</f>
        <v/>
      </c>
      <c r="G306">
        <f>IFERROR(INDEX(InternalTrades!$F$2:$F$461,MATCH($A306,InternalTrades!$A$2:$A$461,0)),"")</f>
        <v/>
      </c>
      <c r="H306">
        <f>IFERROR(INDEX(ExchangeConfirms!$F$2:$F$460,MATCH($A306,ExchangeConfirms!$A$2:$A$460,0)),"")</f>
        <v/>
      </c>
      <c r="I306">
        <f>IFERROR(INDEX(InternalTrades!$G$2:$G$461,MATCH($A306,InternalTrades!$A$2:$A$461,0)),"")</f>
        <v/>
      </c>
      <c r="J306">
        <f>IFERROR(INDEX(ExchangeConfirms!$G$2:$G$460,MATCH($A306,ExchangeConfirms!$A$2:$A$460,0)),"")</f>
        <v/>
      </c>
      <c r="K306">
        <f>IFERROR(INDEX(InternalTrades!$H$2:$H$461,MATCH($A306,InternalTrades!$A$2:$A$461,0)),"")</f>
        <v/>
      </c>
      <c r="L306">
        <f>IFERROR(INDEX(ExchangeConfirms!$H$2:$H$460,MATCH($A306,ExchangeConfirms!$A$2:$A$460,0)),"")</f>
        <v/>
      </c>
      <c r="M306">
        <f>IFERROR(INDEX(InternalTrades!$J$2:$J$461,MATCH($A306,InternalTrades!$A$2:$A$461,0)),"")</f>
        <v/>
      </c>
      <c r="N306">
        <f>IFERROR(INDEX(ExchangeConfirms!$J$2:$J$460,MATCH($A306,ExchangeConfirms!$A$2:$A$460,0)),"")</f>
        <v/>
      </c>
      <c r="O306">
        <f>IFERROR(INDEX(InternalTrades!$I$2:$I$461,MATCH($A306,InternalTrades!$A$2:$A$461,0)),"")</f>
        <v/>
      </c>
      <c r="P306">
        <f>IFERROR(INDEX(ExchangeConfirms!$I$2:$I$460,MATCH($A306,ExchangeConfirms!$A$2:$A$460,0)),"")</f>
        <v/>
      </c>
      <c r="Q306">
        <f>IF(AND($E306=1,$F306=0),"MISSING IN EXCHANGE",IF(AND($E306=0,$F306=1),"MISSING IN INTERNAL",IF($G306&lt;&gt;$H306,"SIDE BREAK",IF($I306&lt;&gt;$J306,"QTY BREAK",IF(ABS($K306-$L306)&gt;0.005,"PRICE BREAK",IF(ABS($M306-$N306)&gt;0.01,"FEE BREAK","MATCHED"))))))</f>
        <v/>
      </c>
      <c r="R306">
        <f>IF($Q306="MATCHED",0,1)</f>
        <v/>
      </c>
      <c r="S306">
        <f>IF($Q306="MATCHED",0,IF($Q306="MISSING IN EXCHANGE",$O306,IF($Q306="MISSING IN INTERNAL",$P306,ABS(N($O306)-N($P306)))))</f>
        <v/>
      </c>
    </row>
    <row r="307">
      <c r="A307" t="inlineStr">
        <is>
          <t>T100306</t>
        </is>
      </c>
      <c r="B307">
        <f>IFERROR(INDEX(InternalTrades!$D$2:$D$461,MATCH($A307,InternalTrades!$A$2:$A$461,0)),INDEX(ExchangeConfirms!$D$2:$D$460,MATCH($A307,ExchangeConfirms!$A$2:$A$460,0)))</f>
        <v/>
      </c>
      <c r="C307">
        <f>IFERROR(INDEX(InternalTrades!$E$2:$E$461,MATCH($A307,InternalTrades!$A$2:$A$461,0)),INDEX(ExchangeConfirms!$E$2:$E$460,MATCH($A307,ExchangeConfirms!$A$2:$A$460,0)))</f>
        <v/>
      </c>
      <c r="D307">
        <f>IFERROR(INDEX(InternalTrades!$K$2:$K$461,MATCH($A307,InternalTrades!$A$2:$A$461,0)),INDEX(ExchangeConfirms!$K$2:$K$460,MATCH($A307,ExchangeConfirms!$A$2:$A$460,0)))</f>
        <v/>
      </c>
      <c r="E307">
        <f>IF(COUNTIF(InternalTrades!$A$2:$A$461,$A307)&gt;0,1,0)</f>
        <v/>
      </c>
      <c r="F307">
        <f>IF(COUNTIF(ExchangeConfirms!$A$2:$A$460,$A307)&gt;0,1,0)</f>
        <v/>
      </c>
      <c r="G307">
        <f>IFERROR(INDEX(InternalTrades!$F$2:$F$461,MATCH($A307,InternalTrades!$A$2:$A$461,0)),"")</f>
        <v/>
      </c>
      <c r="H307">
        <f>IFERROR(INDEX(ExchangeConfirms!$F$2:$F$460,MATCH($A307,ExchangeConfirms!$A$2:$A$460,0)),"")</f>
        <v/>
      </c>
      <c r="I307">
        <f>IFERROR(INDEX(InternalTrades!$G$2:$G$461,MATCH($A307,InternalTrades!$A$2:$A$461,0)),"")</f>
        <v/>
      </c>
      <c r="J307">
        <f>IFERROR(INDEX(ExchangeConfirms!$G$2:$G$460,MATCH($A307,ExchangeConfirms!$A$2:$A$460,0)),"")</f>
        <v/>
      </c>
      <c r="K307">
        <f>IFERROR(INDEX(InternalTrades!$H$2:$H$461,MATCH($A307,InternalTrades!$A$2:$A$461,0)),"")</f>
        <v/>
      </c>
      <c r="L307">
        <f>IFERROR(INDEX(ExchangeConfirms!$H$2:$H$460,MATCH($A307,ExchangeConfirms!$A$2:$A$460,0)),"")</f>
        <v/>
      </c>
      <c r="M307">
        <f>IFERROR(INDEX(InternalTrades!$J$2:$J$461,MATCH($A307,InternalTrades!$A$2:$A$461,0)),"")</f>
        <v/>
      </c>
      <c r="N307">
        <f>IFERROR(INDEX(ExchangeConfirms!$J$2:$J$460,MATCH($A307,ExchangeConfirms!$A$2:$A$460,0)),"")</f>
        <v/>
      </c>
      <c r="O307">
        <f>IFERROR(INDEX(InternalTrades!$I$2:$I$461,MATCH($A307,InternalTrades!$A$2:$A$461,0)),"")</f>
        <v/>
      </c>
      <c r="P307">
        <f>IFERROR(INDEX(ExchangeConfirms!$I$2:$I$460,MATCH($A307,ExchangeConfirms!$A$2:$A$460,0)),"")</f>
        <v/>
      </c>
      <c r="Q307">
        <f>IF(AND($E307=1,$F307=0),"MISSING IN EXCHANGE",IF(AND($E307=0,$F307=1),"MISSING IN INTERNAL",IF($G307&lt;&gt;$H307,"SIDE BREAK",IF($I307&lt;&gt;$J307,"QTY BREAK",IF(ABS($K307-$L307)&gt;0.005,"PRICE BREAK",IF(ABS($M307-$N307)&gt;0.01,"FEE BREAK","MATCHED"))))))</f>
        <v/>
      </c>
      <c r="R307">
        <f>IF($Q307="MATCHED",0,1)</f>
        <v/>
      </c>
      <c r="S307">
        <f>IF($Q307="MATCHED",0,IF($Q307="MISSING IN EXCHANGE",$O307,IF($Q307="MISSING IN INTERNAL",$P307,ABS(N($O307)-N($P307)))))</f>
        <v/>
      </c>
    </row>
    <row r="308">
      <c r="A308" t="inlineStr">
        <is>
          <t>T100307</t>
        </is>
      </c>
      <c r="B308">
        <f>IFERROR(INDEX(InternalTrades!$D$2:$D$461,MATCH($A308,InternalTrades!$A$2:$A$461,0)),INDEX(ExchangeConfirms!$D$2:$D$460,MATCH($A308,ExchangeConfirms!$A$2:$A$460,0)))</f>
        <v/>
      </c>
      <c r="C308">
        <f>IFERROR(INDEX(InternalTrades!$E$2:$E$461,MATCH($A308,InternalTrades!$A$2:$A$461,0)),INDEX(ExchangeConfirms!$E$2:$E$460,MATCH($A308,ExchangeConfirms!$A$2:$A$460,0)))</f>
        <v/>
      </c>
      <c r="D308">
        <f>IFERROR(INDEX(InternalTrades!$K$2:$K$461,MATCH($A308,InternalTrades!$A$2:$A$461,0)),INDEX(ExchangeConfirms!$K$2:$K$460,MATCH($A308,ExchangeConfirms!$A$2:$A$460,0)))</f>
        <v/>
      </c>
      <c r="E308">
        <f>IF(COUNTIF(InternalTrades!$A$2:$A$461,$A308)&gt;0,1,0)</f>
        <v/>
      </c>
      <c r="F308">
        <f>IF(COUNTIF(ExchangeConfirms!$A$2:$A$460,$A308)&gt;0,1,0)</f>
        <v/>
      </c>
      <c r="G308">
        <f>IFERROR(INDEX(InternalTrades!$F$2:$F$461,MATCH($A308,InternalTrades!$A$2:$A$461,0)),"")</f>
        <v/>
      </c>
      <c r="H308">
        <f>IFERROR(INDEX(ExchangeConfirms!$F$2:$F$460,MATCH($A308,ExchangeConfirms!$A$2:$A$460,0)),"")</f>
        <v/>
      </c>
      <c r="I308">
        <f>IFERROR(INDEX(InternalTrades!$G$2:$G$461,MATCH($A308,InternalTrades!$A$2:$A$461,0)),"")</f>
        <v/>
      </c>
      <c r="J308">
        <f>IFERROR(INDEX(ExchangeConfirms!$G$2:$G$460,MATCH($A308,ExchangeConfirms!$A$2:$A$460,0)),"")</f>
        <v/>
      </c>
      <c r="K308">
        <f>IFERROR(INDEX(InternalTrades!$H$2:$H$461,MATCH($A308,InternalTrades!$A$2:$A$461,0)),"")</f>
        <v/>
      </c>
      <c r="L308">
        <f>IFERROR(INDEX(ExchangeConfirms!$H$2:$H$460,MATCH($A308,ExchangeConfirms!$A$2:$A$460,0)),"")</f>
        <v/>
      </c>
      <c r="M308">
        <f>IFERROR(INDEX(InternalTrades!$J$2:$J$461,MATCH($A308,InternalTrades!$A$2:$A$461,0)),"")</f>
        <v/>
      </c>
      <c r="N308">
        <f>IFERROR(INDEX(ExchangeConfirms!$J$2:$J$460,MATCH($A308,ExchangeConfirms!$A$2:$A$460,0)),"")</f>
        <v/>
      </c>
      <c r="O308">
        <f>IFERROR(INDEX(InternalTrades!$I$2:$I$461,MATCH($A308,InternalTrades!$A$2:$A$461,0)),"")</f>
        <v/>
      </c>
      <c r="P308">
        <f>IFERROR(INDEX(ExchangeConfirms!$I$2:$I$460,MATCH($A308,ExchangeConfirms!$A$2:$A$460,0)),"")</f>
        <v/>
      </c>
      <c r="Q308">
        <f>IF(AND($E308=1,$F308=0),"MISSING IN EXCHANGE",IF(AND($E308=0,$F308=1),"MISSING IN INTERNAL",IF($G308&lt;&gt;$H308,"SIDE BREAK",IF($I308&lt;&gt;$J308,"QTY BREAK",IF(ABS($K308-$L308)&gt;0.005,"PRICE BREAK",IF(ABS($M308-$N308)&gt;0.01,"FEE BREAK","MATCHED"))))))</f>
        <v/>
      </c>
      <c r="R308">
        <f>IF($Q308="MATCHED",0,1)</f>
        <v/>
      </c>
      <c r="S308">
        <f>IF($Q308="MATCHED",0,IF($Q308="MISSING IN EXCHANGE",$O308,IF($Q308="MISSING IN INTERNAL",$P308,ABS(N($O308)-N($P308)))))</f>
        <v/>
      </c>
    </row>
    <row r="309">
      <c r="A309" t="inlineStr">
        <is>
          <t>T100308</t>
        </is>
      </c>
      <c r="B309">
        <f>IFERROR(INDEX(InternalTrades!$D$2:$D$461,MATCH($A309,InternalTrades!$A$2:$A$461,0)),INDEX(ExchangeConfirms!$D$2:$D$460,MATCH($A309,ExchangeConfirms!$A$2:$A$460,0)))</f>
        <v/>
      </c>
      <c r="C309">
        <f>IFERROR(INDEX(InternalTrades!$E$2:$E$461,MATCH($A309,InternalTrades!$A$2:$A$461,0)),INDEX(ExchangeConfirms!$E$2:$E$460,MATCH($A309,ExchangeConfirms!$A$2:$A$460,0)))</f>
        <v/>
      </c>
      <c r="D309">
        <f>IFERROR(INDEX(InternalTrades!$K$2:$K$461,MATCH($A309,InternalTrades!$A$2:$A$461,0)),INDEX(ExchangeConfirms!$K$2:$K$460,MATCH($A309,ExchangeConfirms!$A$2:$A$460,0)))</f>
        <v/>
      </c>
      <c r="E309">
        <f>IF(COUNTIF(InternalTrades!$A$2:$A$461,$A309)&gt;0,1,0)</f>
        <v/>
      </c>
      <c r="F309">
        <f>IF(COUNTIF(ExchangeConfirms!$A$2:$A$460,$A309)&gt;0,1,0)</f>
        <v/>
      </c>
      <c r="G309">
        <f>IFERROR(INDEX(InternalTrades!$F$2:$F$461,MATCH($A309,InternalTrades!$A$2:$A$461,0)),"")</f>
        <v/>
      </c>
      <c r="H309">
        <f>IFERROR(INDEX(ExchangeConfirms!$F$2:$F$460,MATCH($A309,ExchangeConfirms!$A$2:$A$460,0)),"")</f>
        <v/>
      </c>
      <c r="I309">
        <f>IFERROR(INDEX(InternalTrades!$G$2:$G$461,MATCH($A309,InternalTrades!$A$2:$A$461,0)),"")</f>
        <v/>
      </c>
      <c r="J309">
        <f>IFERROR(INDEX(ExchangeConfirms!$G$2:$G$460,MATCH($A309,ExchangeConfirms!$A$2:$A$460,0)),"")</f>
        <v/>
      </c>
      <c r="K309">
        <f>IFERROR(INDEX(InternalTrades!$H$2:$H$461,MATCH($A309,InternalTrades!$A$2:$A$461,0)),"")</f>
        <v/>
      </c>
      <c r="L309">
        <f>IFERROR(INDEX(ExchangeConfirms!$H$2:$H$460,MATCH($A309,ExchangeConfirms!$A$2:$A$460,0)),"")</f>
        <v/>
      </c>
      <c r="M309">
        <f>IFERROR(INDEX(InternalTrades!$J$2:$J$461,MATCH($A309,InternalTrades!$A$2:$A$461,0)),"")</f>
        <v/>
      </c>
      <c r="N309">
        <f>IFERROR(INDEX(ExchangeConfirms!$J$2:$J$460,MATCH($A309,ExchangeConfirms!$A$2:$A$460,0)),"")</f>
        <v/>
      </c>
      <c r="O309">
        <f>IFERROR(INDEX(InternalTrades!$I$2:$I$461,MATCH($A309,InternalTrades!$A$2:$A$461,0)),"")</f>
        <v/>
      </c>
      <c r="P309">
        <f>IFERROR(INDEX(ExchangeConfirms!$I$2:$I$460,MATCH($A309,ExchangeConfirms!$A$2:$A$460,0)),"")</f>
        <v/>
      </c>
      <c r="Q309">
        <f>IF(AND($E309=1,$F309=0),"MISSING IN EXCHANGE",IF(AND($E309=0,$F309=1),"MISSING IN INTERNAL",IF($G309&lt;&gt;$H309,"SIDE BREAK",IF($I309&lt;&gt;$J309,"QTY BREAK",IF(ABS($K309-$L309)&gt;0.005,"PRICE BREAK",IF(ABS($M309-$N309)&gt;0.01,"FEE BREAK","MATCHED"))))))</f>
        <v/>
      </c>
      <c r="R309">
        <f>IF($Q309="MATCHED",0,1)</f>
        <v/>
      </c>
      <c r="S309">
        <f>IF($Q309="MATCHED",0,IF($Q309="MISSING IN EXCHANGE",$O309,IF($Q309="MISSING IN INTERNAL",$P309,ABS(N($O309)-N($P309)))))</f>
        <v/>
      </c>
    </row>
    <row r="310">
      <c r="A310" t="inlineStr">
        <is>
          <t>T100309</t>
        </is>
      </c>
      <c r="B310">
        <f>IFERROR(INDEX(InternalTrades!$D$2:$D$461,MATCH($A310,InternalTrades!$A$2:$A$461,0)),INDEX(ExchangeConfirms!$D$2:$D$460,MATCH($A310,ExchangeConfirms!$A$2:$A$460,0)))</f>
        <v/>
      </c>
      <c r="C310">
        <f>IFERROR(INDEX(InternalTrades!$E$2:$E$461,MATCH($A310,InternalTrades!$A$2:$A$461,0)),INDEX(ExchangeConfirms!$E$2:$E$460,MATCH($A310,ExchangeConfirms!$A$2:$A$460,0)))</f>
        <v/>
      </c>
      <c r="D310">
        <f>IFERROR(INDEX(InternalTrades!$K$2:$K$461,MATCH($A310,InternalTrades!$A$2:$A$461,0)),INDEX(ExchangeConfirms!$K$2:$K$460,MATCH($A310,ExchangeConfirms!$A$2:$A$460,0)))</f>
        <v/>
      </c>
      <c r="E310">
        <f>IF(COUNTIF(InternalTrades!$A$2:$A$461,$A310)&gt;0,1,0)</f>
        <v/>
      </c>
      <c r="F310">
        <f>IF(COUNTIF(ExchangeConfirms!$A$2:$A$460,$A310)&gt;0,1,0)</f>
        <v/>
      </c>
      <c r="G310">
        <f>IFERROR(INDEX(InternalTrades!$F$2:$F$461,MATCH($A310,InternalTrades!$A$2:$A$461,0)),"")</f>
        <v/>
      </c>
      <c r="H310">
        <f>IFERROR(INDEX(ExchangeConfirms!$F$2:$F$460,MATCH($A310,ExchangeConfirms!$A$2:$A$460,0)),"")</f>
        <v/>
      </c>
      <c r="I310">
        <f>IFERROR(INDEX(InternalTrades!$G$2:$G$461,MATCH($A310,InternalTrades!$A$2:$A$461,0)),"")</f>
        <v/>
      </c>
      <c r="J310">
        <f>IFERROR(INDEX(ExchangeConfirms!$G$2:$G$460,MATCH($A310,ExchangeConfirms!$A$2:$A$460,0)),"")</f>
        <v/>
      </c>
      <c r="K310">
        <f>IFERROR(INDEX(InternalTrades!$H$2:$H$461,MATCH($A310,InternalTrades!$A$2:$A$461,0)),"")</f>
        <v/>
      </c>
      <c r="L310">
        <f>IFERROR(INDEX(ExchangeConfirms!$H$2:$H$460,MATCH($A310,ExchangeConfirms!$A$2:$A$460,0)),"")</f>
        <v/>
      </c>
      <c r="M310">
        <f>IFERROR(INDEX(InternalTrades!$J$2:$J$461,MATCH($A310,InternalTrades!$A$2:$A$461,0)),"")</f>
        <v/>
      </c>
      <c r="N310">
        <f>IFERROR(INDEX(ExchangeConfirms!$J$2:$J$460,MATCH($A310,ExchangeConfirms!$A$2:$A$460,0)),"")</f>
        <v/>
      </c>
      <c r="O310">
        <f>IFERROR(INDEX(InternalTrades!$I$2:$I$461,MATCH($A310,InternalTrades!$A$2:$A$461,0)),"")</f>
        <v/>
      </c>
      <c r="P310">
        <f>IFERROR(INDEX(ExchangeConfirms!$I$2:$I$460,MATCH($A310,ExchangeConfirms!$A$2:$A$460,0)),"")</f>
        <v/>
      </c>
      <c r="Q310">
        <f>IF(AND($E310=1,$F310=0),"MISSING IN EXCHANGE",IF(AND($E310=0,$F310=1),"MISSING IN INTERNAL",IF($G310&lt;&gt;$H310,"SIDE BREAK",IF($I310&lt;&gt;$J310,"QTY BREAK",IF(ABS($K310-$L310)&gt;0.005,"PRICE BREAK",IF(ABS($M310-$N310)&gt;0.01,"FEE BREAK","MATCHED"))))))</f>
        <v/>
      </c>
      <c r="R310">
        <f>IF($Q310="MATCHED",0,1)</f>
        <v/>
      </c>
      <c r="S310">
        <f>IF($Q310="MATCHED",0,IF($Q310="MISSING IN EXCHANGE",$O310,IF($Q310="MISSING IN INTERNAL",$P310,ABS(N($O310)-N($P310)))))</f>
        <v/>
      </c>
    </row>
    <row r="311">
      <c r="A311" t="inlineStr">
        <is>
          <t>T100310</t>
        </is>
      </c>
      <c r="B311">
        <f>IFERROR(INDEX(InternalTrades!$D$2:$D$461,MATCH($A311,InternalTrades!$A$2:$A$461,0)),INDEX(ExchangeConfirms!$D$2:$D$460,MATCH($A311,ExchangeConfirms!$A$2:$A$460,0)))</f>
        <v/>
      </c>
      <c r="C311">
        <f>IFERROR(INDEX(InternalTrades!$E$2:$E$461,MATCH($A311,InternalTrades!$A$2:$A$461,0)),INDEX(ExchangeConfirms!$E$2:$E$460,MATCH($A311,ExchangeConfirms!$A$2:$A$460,0)))</f>
        <v/>
      </c>
      <c r="D311">
        <f>IFERROR(INDEX(InternalTrades!$K$2:$K$461,MATCH($A311,InternalTrades!$A$2:$A$461,0)),INDEX(ExchangeConfirms!$K$2:$K$460,MATCH($A311,ExchangeConfirms!$A$2:$A$460,0)))</f>
        <v/>
      </c>
      <c r="E311">
        <f>IF(COUNTIF(InternalTrades!$A$2:$A$461,$A311)&gt;0,1,0)</f>
        <v/>
      </c>
      <c r="F311">
        <f>IF(COUNTIF(ExchangeConfirms!$A$2:$A$460,$A311)&gt;0,1,0)</f>
        <v/>
      </c>
      <c r="G311">
        <f>IFERROR(INDEX(InternalTrades!$F$2:$F$461,MATCH($A311,InternalTrades!$A$2:$A$461,0)),"")</f>
        <v/>
      </c>
      <c r="H311">
        <f>IFERROR(INDEX(ExchangeConfirms!$F$2:$F$460,MATCH($A311,ExchangeConfirms!$A$2:$A$460,0)),"")</f>
        <v/>
      </c>
      <c r="I311">
        <f>IFERROR(INDEX(InternalTrades!$G$2:$G$461,MATCH($A311,InternalTrades!$A$2:$A$461,0)),"")</f>
        <v/>
      </c>
      <c r="J311">
        <f>IFERROR(INDEX(ExchangeConfirms!$G$2:$G$460,MATCH($A311,ExchangeConfirms!$A$2:$A$460,0)),"")</f>
        <v/>
      </c>
      <c r="K311">
        <f>IFERROR(INDEX(InternalTrades!$H$2:$H$461,MATCH($A311,InternalTrades!$A$2:$A$461,0)),"")</f>
        <v/>
      </c>
      <c r="L311">
        <f>IFERROR(INDEX(ExchangeConfirms!$H$2:$H$460,MATCH($A311,ExchangeConfirms!$A$2:$A$460,0)),"")</f>
        <v/>
      </c>
      <c r="M311">
        <f>IFERROR(INDEX(InternalTrades!$J$2:$J$461,MATCH($A311,InternalTrades!$A$2:$A$461,0)),"")</f>
        <v/>
      </c>
      <c r="N311">
        <f>IFERROR(INDEX(ExchangeConfirms!$J$2:$J$460,MATCH($A311,ExchangeConfirms!$A$2:$A$460,0)),"")</f>
        <v/>
      </c>
      <c r="O311">
        <f>IFERROR(INDEX(InternalTrades!$I$2:$I$461,MATCH($A311,InternalTrades!$A$2:$A$461,0)),"")</f>
        <v/>
      </c>
      <c r="P311">
        <f>IFERROR(INDEX(ExchangeConfirms!$I$2:$I$460,MATCH($A311,ExchangeConfirms!$A$2:$A$460,0)),"")</f>
        <v/>
      </c>
      <c r="Q311">
        <f>IF(AND($E311=1,$F311=0),"MISSING IN EXCHANGE",IF(AND($E311=0,$F311=1),"MISSING IN INTERNAL",IF($G311&lt;&gt;$H311,"SIDE BREAK",IF($I311&lt;&gt;$J311,"QTY BREAK",IF(ABS($K311-$L311)&gt;0.005,"PRICE BREAK",IF(ABS($M311-$N311)&gt;0.01,"FEE BREAK","MATCHED"))))))</f>
        <v/>
      </c>
      <c r="R311">
        <f>IF($Q311="MATCHED",0,1)</f>
        <v/>
      </c>
      <c r="S311">
        <f>IF($Q311="MATCHED",0,IF($Q311="MISSING IN EXCHANGE",$O311,IF($Q311="MISSING IN INTERNAL",$P311,ABS(N($O311)-N($P311)))))</f>
        <v/>
      </c>
    </row>
    <row r="312">
      <c r="A312" t="inlineStr">
        <is>
          <t>T100311</t>
        </is>
      </c>
      <c r="B312">
        <f>IFERROR(INDEX(InternalTrades!$D$2:$D$461,MATCH($A312,InternalTrades!$A$2:$A$461,0)),INDEX(ExchangeConfirms!$D$2:$D$460,MATCH($A312,ExchangeConfirms!$A$2:$A$460,0)))</f>
        <v/>
      </c>
      <c r="C312">
        <f>IFERROR(INDEX(InternalTrades!$E$2:$E$461,MATCH($A312,InternalTrades!$A$2:$A$461,0)),INDEX(ExchangeConfirms!$E$2:$E$460,MATCH($A312,ExchangeConfirms!$A$2:$A$460,0)))</f>
        <v/>
      </c>
      <c r="D312">
        <f>IFERROR(INDEX(InternalTrades!$K$2:$K$461,MATCH($A312,InternalTrades!$A$2:$A$461,0)),INDEX(ExchangeConfirms!$K$2:$K$460,MATCH($A312,ExchangeConfirms!$A$2:$A$460,0)))</f>
        <v/>
      </c>
      <c r="E312">
        <f>IF(COUNTIF(InternalTrades!$A$2:$A$461,$A312)&gt;0,1,0)</f>
        <v/>
      </c>
      <c r="F312">
        <f>IF(COUNTIF(ExchangeConfirms!$A$2:$A$460,$A312)&gt;0,1,0)</f>
        <v/>
      </c>
      <c r="G312">
        <f>IFERROR(INDEX(InternalTrades!$F$2:$F$461,MATCH($A312,InternalTrades!$A$2:$A$461,0)),"")</f>
        <v/>
      </c>
      <c r="H312">
        <f>IFERROR(INDEX(ExchangeConfirms!$F$2:$F$460,MATCH($A312,ExchangeConfirms!$A$2:$A$460,0)),"")</f>
        <v/>
      </c>
      <c r="I312">
        <f>IFERROR(INDEX(InternalTrades!$G$2:$G$461,MATCH($A312,InternalTrades!$A$2:$A$461,0)),"")</f>
        <v/>
      </c>
      <c r="J312">
        <f>IFERROR(INDEX(ExchangeConfirms!$G$2:$G$460,MATCH($A312,ExchangeConfirms!$A$2:$A$460,0)),"")</f>
        <v/>
      </c>
      <c r="K312">
        <f>IFERROR(INDEX(InternalTrades!$H$2:$H$461,MATCH($A312,InternalTrades!$A$2:$A$461,0)),"")</f>
        <v/>
      </c>
      <c r="L312">
        <f>IFERROR(INDEX(ExchangeConfirms!$H$2:$H$460,MATCH($A312,ExchangeConfirms!$A$2:$A$460,0)),"")</f>
        <v/>
      </c>
      <c r="M312">
        <f>IFERROR(INDEX(InternalTrades!$J$2:$J$461,MATCH($A312,InternalTrades!$A$2:$A$461,0)),"")</f>
        <v/>
      </c>
      <c r="N312">
        <f>IFERROR(INDEX(ExchangeConfirms!$J$2:$J$460,MATCH($A312,ExchangeConfirms!$A$2:$A$460,0)),"")</f>
        <v/>
      </c>
      <c r="O312">
        <f>IFERROR(INDEX(InternalTrades!$I$2:$I$461,MATCH($A312,InternalTrades!$A$2:$A$461,0)),"")</f>
        <v/>
      </c>
      <c r="P312">
        <f>IFERROR(INDEX(ExchangeConfirms!$I$2:$I$460,MATCH($A312,ExchangeConfirms!$A$2:$A$460,0)),"")</f>
        <v/>
      </c>
      <c r="Q312">
        <f>IF(AND($E312=1,$F312=0),"MISSING IN EXCHANGE",IF(AND($E312=0,$F312=1),"MISSING IN INTERNAL",IF($G312&lt;&gt;$H312,"SIDE BREAK",IF($I312&lt;&gt;$J312,"QTY BREAK",IF(ABS($K312-$L312)&gt;0.005,"PRICE BREAK",IF(ABS($M312-$N312)&gt;0.01,"FEE BREAK","MATCHED"))))))</f>
        <v/>
      </c>
      <c r="R312">
        <f>IF($Q312="MATCHED",0,1)</f>
        <v/>
      </c>
      <c r="S312">
        <f>IF($Q312="MATCHED",0,IF($Q312="MISSING IN EXCHANGE",$O312,IF($Q312="MISSING IN INTERNAL",$P312,ABS(N($O312)-N($P312)))))</f>
        <v/>
      </c>
    </row>
    <row r="313">
      <c r="A313" t="inlineStr">
        <is>
          <t>T100312</t>
        </is>
      </c>
      <c r="B313">
        <f>IFERROR(INDEX(InternalTrades!$D$2:$D$461,MATCH($A313,InternalTrades!$A$2:$A$461,0)),INDEX(ExchangeConfirms!$D$2:$D$460,MATCH($A313,ExchangeConfirms!$A$2:$A$460,0)))</f>
        <v/>
      </c>
      <c r="C313">
        <f>IFERROR(INDEX(InternalTrades!$E$2:$E$461,MATCH($A313,InternalTrades!$A$2:$A$461,0)),INDEX(ExchangeConfirms!$E$2:$E$460,MATCH($A313,ExchangeConfirms!$A$2:$A$460,0)))</f>
        <v/>
      </c>
      <c r="D313">
        <f>IFERROR(INDEX(InternalTrades!$K$2:$K$461,MATCH($A313,InternalTrades!$A$2:$A$461,0)),INDEX(ExchangeConfirms!$K$2:$K$460,MATCH($A313,ExchangeConfirms!$A$2:$A$460,0)))</f>
        <v/>
      </c>
      <c r="E313">
        <f>IF(COUNTIF(InternalTrades!$A$2:$A$461,$A313)&gt;0,1,0)</f>
        <v/>
      </c>
      <c r="F313">
        <f>IF(COUNTIF(ExchangeConfirms!$A$2:$A$460,$A313)&gt;0,1,0)</f>
        <v/>
      </c>
      <c r="G313">
        <f>IFERROR(INDEX(InternalTrades!$F$2:$F$461,MATCH($A313,InternalTrades!$A$2:$A$461,0)),"")</f>
        <v/>
      </c>
      <c r="H313">
        <f>IFERROR(INDEX(ExchangeConfirms!$F$2:$F$460,MATCH($A313,ExchangeConfirms!$A$2:$A$460,0)),"")</f>
        <v/>
      </c>
      <c r="I313">
        <f>IFERROR(INDEX(InternalTrades!$G$2:$G$461,MATCH($A313,InternalTrades!$A$2:$A$461,0)),"")</f>
        <v/>
      </c>
      <c r="J313">
        <f>IFERROR(INDEX(ExchangeConfirms!$G$2:$G$460,MATCH($A313,ExchangeConfirms!$A$2:$A$460,0)),"")</f>
        <v/>
      </c>
      <c r="K313">
        <f>IFERROR(INDEX(InternalTrades!$H$2:$H$461,MATCH($A313,InternalTrades!$A$2:$A$461,0)),"")</f>
        <v/>
      </c>
      <c r="L313">
        <f>IFERROR(INDEX(ExchangeConfirms!$H$2:$H$460,MATCH($A313,ExchangeConfirms!$A$2:$A$460,0)),"")</f>
        <v/>
      </c>
      <c r="M313">
        <f>IFERROR(INDEX(InternalTrades!$J$2:$J$461,MATCH($A313,InternalTrades!$A$2:$A$461,0)),"")</f>
        <v/>
      </c>
      <c r="N313">
        <f>IFERROR(INDEX(ExchangeConfirms!$J$2:$J$460,MATCH($A313,ExchangeConfirms!$A$2:$A$460,0)),"")</f>
        <v/>
      </c>
      <c r="O313">
        <f>IFERROR(INDEX(InternalTrades!$I$2:$I$461,MATCH($A313,InternalTrades!$A$2:$A$461,0)),"")</f>
        <v/>
      </c>
      <c r="P313">
        <f>IFERROR(INDEX(ExchangeConfirms!$I$2:$I$460,MATCH($A313,ExchangeConfirms!$A$2:$A$460,0)),"")</f>
        <v/>
      </c>
      <c r="Q313">
        <f>IF(AND($E313=1,$F313=0),"MISSING IN EXCHANGE",IF(AND($E313=0,$F313=1),"MISSING IN INTERNAL",IF($G313&lt;&gt;$H313,"SIDE BREAK",IF($I313&lt;&gt;$J313,"QTY BREAK",IF(ABS($K313-$L313)&gt;0.005,"PRICE BREAK",IF(ABS($M313-$N313)&gt;0.01,"FEE BREAK","MATCHED"))))))</f>
        <v/>
      </c>
      <c r="R313">
        <f>IF($Q313="MATCHED",0,1)</f>
        <v/>
      </c>
      <c r="S313">
        <f>IF($Q313="MATCHED",0,IF($Q313="MISSING IN EXCHANGE",$O313,IF($Q313="MISSING IN INTERNAL",$P313,ABS(N($O313)-N($P313)))))</f>
        <v/>
      </c>
    </row>
    <row r="314">
      <c r="A314" t="inlineStr">
        <is>
          <t>T100313</t>
        </is>
      </c>
      <c r="B314">
        <f>IFERROR(INDEX(InternalTrades!$D$2:$D$461,MATCH($A314,InternalTrades!$A$2:$A$461,0)),INDEX(ExchangeConfirms!$D$2:$D$460,MATCH($A314,ExchangeConfirms!$A$2:$A$460,0)))</f>
        <v/>
      </c>
      <c r="C314">
        <f>IFERROR(INDEX(InternalTrades!$E$2:$E$461,MATCH($A314,InternalTrades!$A$2:$A$461,0)),INDEX(ExchangeConfirms!$E$2:$E$460,MATCH($A314,ExchangeConfirms!$A$2:$A$460,0)))</f>
        <v/>
      </c>
      <c r="D314">
        <f>IFERROR(INDEX(InternalTrades!$K$2:$K$461,MATCH($A314,InternalTrades!$A$2:$A$461,0)),INDEX(ExchangeConfirms!$K$2:$K$460,MATCH($A314,ExchangeConfirms!$A$2:$A$460,0)))</f>
        <v/>
      </c>
      <c r="E314">
        <f>IF(COUNTIF(InternalTrades!$A$2:$A$461,$A314)&gt;0,1,0)</f>
        <v/>
      </c>
      <c r="F314">
        <f>IF(COUNTIF(ExchangeConfirms!$A$2:$A$460,$A314)&gt;0,1,0)</f>
        <v/>
      </c>
      <c r="G314">
        <f>IFERROR(INDEX(InternalTrades!$F$2:$F$461,MATCH($A314,InternalTrades!$A$2:$A$461,0)),"")</f>
        <v/>
      </c>
      <c r="H314">
        <f>IFERROR(INDEX(ExchangeConfirms!$F$2:$F$460,MATCH($A314,ExchangeConfirms!$A$2:$A$460,0)),"")</f>
        <v/>
      </c>
      <c r="I314">
        <f>IFERROR(INDEX(InternalTrades!$G$2:$G$461,MATCH($A314,InternalTrades!$A$2:$A$461,0)),"")</f>
        <v/>
      </c>
      <c r="J314">
        <f>IFERROR(INDEX(ExchangeConfirms!$G$2:$G$460,MATCH($A314,ExchangeConfirms!$A$2:$A$460,0)),"")</f>
        <v/>
      </c>
      <c r="K314">
        <f>IFERROR(INDEX(InternalTrades!$H$2:$H$461,MATCH($A314,InternalTrades!$A$2:$A$461,0)),"")</f>
        <v/>
      </c>
      <c r="L314">
        <f>IFERROR(INDEX(ExchangeConfirms!$H$2:$H$460,MATCH($A314,ExchangeConfirms!$A$2:$A$460,0)),"")</f>
        <v/>
      </c>
      <c r="M314">
        <f>IFERROR(INDEX(InternalTrades!$J$2:$J$461,MATCH($A314,InternalTrades!$A$2:$A$461,0)),"")</f>
        <v/>
      </c>
      <c r="N314">
        <f>IFERROR(INDEX(ExchangeConfirms!$J$2:$J$460,MATCH($A314,ExchangeConfirms!$A$2:$A$460,0)),"")</f>
        <v/>
      </c>
      <c r="O314">
        <f>IFERROR(INDEX(InternalTrades!$I$2:$I$461,MATCH($A314,InternalTrades!$A$2:$A$461,0)),"")</f>
        <v/>
      </c>
      <c r="P314">
        <f>IFERROR(INDEX(ExchangeConfirms!$I$2:$I$460,MATCH($A314,ExchangeConfirms!$A$2:$A$460,0)),"")</f>
        <v/>
      </c>
      <c r="Q314">
        <f>IF(AND($E314=1,$F314=0),"MISSING IN EXCHANGE",IF(AND($E314=0,$F314=1),"MISSING IN INTERNAL",IF($G314&lt;&gt;$H314,"SIDE BREAK",IF($I314&lt;&gt;$J314,"QTY BREAK",IF(ABS($K314-$L314)&gt;0.005,"PRICE BREAK",IF(ABS($M314-$N314)&gt;0.01,"FEE BREAK","MATCHED"))))))</f>
        <v/>
      </c>
      <c r="R314">
        <f>IF($Q314="MATCHED",0,1)</f>
        <v/>
      </c>
      <c r="S314">
        <f>IF($Q314="MATCHED",0,IF($Q314="MISSING IN EXCHANGE",$O314,IF($Q314="MISSING IN INTERNAL",$P314,ABS(N($O314)-N($P314)))))</f>
        <v/>
      </c>
    </row>
    <row r="315">
      <c r="A315" t="inlineStr">
        <is>
          <t>T100314</t>
        </is>
      </c>
      <c r="B315">
        <f>IFERROR(INDEX(InternalTrades!$D$2:$D$461,MATCH($A315,InternalTrades!$A$2:$A$461,0)),INDEX(ExchangeConfirms!$D$2:$D$460,MATCH($A315,ExchangeConfirms!$A$2:$A$460,0)))</f>
        <v/>
      </c>
      <c r="C315">
        <f>IFERROR(INDEX(InternalTrades!$E$2:$E$461,MATCH($A315,InternalTrades!$A$2:$A$461,0)),INDEX(ExchangeConfirms!$E$2:$E$460,MATCH($A315,ExchangeConfirms!$A$2:$A$460,0)))</f>
        <v/>
      </c>
      <c r="D315">
        <f>IFERROR(INDEX(InternalTrades!$K$2:$K$461,MATCH($A315,InternalTrades!$A$2:$A$461,0)),INDEX(ExchangeConfirms!$K$2:$K$460,MATCH($A315,ExchangeConfirms!$A$2:$A$460,0)))</f>
        <v/>
      </c>
      <c r="E315">
        <f>IF(COUNTIF(InternalTrades!$A$2:$A$461,$A315)&gt;0,1,0)</f>
        <v/>
      </c>
      <c r="F315">
        <f>IF(COUNTIF(ExchangeConfirms!$A$2:$A$460,$A315)&gt;0,1,0)</f>
        <v/>
      </c>
      <c r="G315">
        <f>IFERROR(INDEX(InternalTrades!$F$2:$F$461,MATCH($A315,InternalTrades!$A$2:$A$461,0)),"")</f>
        <v/>
      </c>
      <c r="H315">
        <f>IFERROR(INDEX(ExchangeConfirms!$F$2:$F$460,MATCH($A315,ExchangeConfirms!$A$2:$A$460,0)),"")</f>
        <v/>
      </c>
      <c r="I315">
        <f>IFERROR(INDEX(InternalTrades!$G$2:$G$461,MATCH($A315,InternalTrades!$A$2:$A$461,0)),"")</f>
        <v/>
      </c>
      <c r="J315">
        <f>IFERROR(INDEX(ExchangeConfirms!$G$2:$G$460,MATCH($A315,ExchangeConfirms!$A$2:$A$460,0)),"")</f>
        <v/>
      </c>
      <c r="K315">
        <f>IFERROR(INDEX(InternalTrades!$H$2:$H$461,MATCH($A315,InternalTrades!$A$2:$A$461,0)),"")</f>
        <v/>
      </c>
      <c r="L315">
        <f>IFERROR(INDEX(ExchangeConfirms!$H$2:$H$460,MATCH($A315,ExchangeConfirms!$A$2:$A$460,0)),"")</f>
        <v/>
      </c>
      <c r="M315">
        <f>IFERROR(INDEX(InternalTrades!$J$2:$J$461,MATCH($A315,InternalTrades!$A$2:$A$461,0)),"")</f>
        <v/>
      </c>
      <c r="N315">
        <f>IFERROR(INDEX(ExchangeConfirms!$J$2:$J$460,MATCH($A315,ExchangeConfirms!$A$2:$A$460,0)),"")</f>
        <v/>
      </c>
      <c r="O315">
        <f>IFERROR(INDEX(InternalTrades!$I$2:$I$461,MATCH($A315,InternalTrades!$A$2:$A$461,0)),"")</f>
        <v/>
      </c>
      <c r="P315">
        <f>IFERROR(INDEX(ExchangeConfirms!$I$2:$I$460,MATCH($A315,ExchangeConfirms!$A$2:$A$460,0)),"")</f>
        <v/>
      </c>
      <c r="Q315">
        <f>IF(AND($E315=1,$F315=0),"MISSING IN EXCHANGE",IF(AND($E315=0,$F315=1),"MISSING IN INTERNAL",IF($G315&lt;&gt;$H315,"SIDE BREAK",IF($I315&lt;&gt;$J315,"QTY BREAK",IF(ABS($K315-$L315)&gt;0.005,"PRICE BREAK",IF(ABS($M315-$N315)&gt;0.01,"FEE BREAK","MATCHED"))))))</f>
        <v/>
      </c>
      <c r="R315">
        <f>IF($Q315="MATCHED",0,1)</f>
        <v/>
      </c>
      <c r="S315">
        <f>IF($Q315="MATCHED",0,IF($Q315="MISSING IN EXCHANGE",$O315,IF($Q315="MISSING IN INTERNAL",$P315,ABS(N($O315)-N($P315)))))</f>
        <v/>
      </c>
    </row>
    <row r="316">
      <c r="A316" t="inlineStr">
        <is>
          <t>T100315</t>
        </is>
      </c>
      <c r="B316">
        <f>IFERROR(INDEX(InternalTrades!$D$2:$D$461,MATCH($A316,InternalTrades!$A$2:$A$461,0)),INDEX(ExchangeConfirms!$D$2:$D$460,MATCH($A316,ExchangeConfirms!$A$2:$A$460,0)))</f>
        <v/>
      </c>
      <c r="C316">
        <f>IFERROR(INDEX(InternalTrades!$E$2:$E$461,MATCH($A316,InternalTrades!$A$2:$A$461,0)),INDEX(ExchangeConfirms!$E$2:$E$460,MATCH($A316,ExchangeConfirms!$A$2:$A$460,0)))</f>
        <v/>
      </c>
      <c r="D316">
        <f>IFERROR(INDEX(InternalTrades!$K$2:$K$461,MATCH($A316,InternalTrades!$A$2:$A$461,0)),INDEX(ExchangeConfirms!$K$2:$K$460,MATCH($A316,ExchangeConfirms!$A$2:$A$460,0)))</f>
        <v/>
      </c>
      <c r="E316">
        <f>IF(COUNTIF(InternalTrades!$A$2:$A$461,$A316)&gt;0,1,0)</f>
        <v/>
      </c>
      <c r="F316">
        <f>IF(COUNTIF(ExchangeConfirms!$A$2:$A$460,$A316)&gt;0,1,0)</f>
        <v/>
      </c>
      <c r="G316">
        <f>IFERROR(INDEX(InternalTrades!$F$2:$F$461,MATCH($A316,InternalTrades!$A$2:$A$461,0)),"")</f>
        <v/>
      </c>
      <c r="H316">
        <f>IFERROR(INDEX(ExchangeConfirms!$F$2:$F$460,MATCH($A316,ExchangeConfirms!$A$2:$A$460,0)),"")</f>
        <v/>
      </c>
      <c r="I316">
        <f>IFERROR(INDEX(InternalTrades!$G$2:$G$461,MATCH($A316,InternalTrades!$A$2:$A$461,0)),"")</f>
        <v/>
      </c>
      <c r="J316">
        <f>IFERROR(INDEX(ExchangeConfirms!$G$2:$G$460,MATCH($A316,ExchangeConfirms!$A$2:$A$460,0)),"")</f>
        <v/>
      </c>
      <c r="K316">
        <f>IFERROR(INDEX(InternalTrades!$H$2:$H$461,MATCH($A316,InternalTrades!$A$2:$A$461,0)),"")</f>
        <v/>
      </c>
      <c r="L316">
        <f>IFERROR(INDEX(ExchangeConfirms!$H$2:$H$460,MATCH($A316,ExchangeConfirms!$A$2:$A$460,0)),"")</f>
        <v/>
      </c>
      <c r="M316">
        <f>IFERROR(INDEX(InternalTrades!$J$2:$J$461,MATCH($A316,InternalTrades!$A$2:$A$461,0)),"")</f>
        <v/>
      </c>
      <c r="N316">
        <f>IFERROR(INDEX(ExchangeConfirms!$J$2:$J$460,MATCH($A316,ExchangeConfirms!$A$2:$A$460,0)),"")</f>
        <v/>
      </c>
      <c r="O316">
        <f>IFERROR(INDEX(InternalTrades!$I$2:$I$461,MATCH($A316,InternalTrades!$A$2:$A$461,0)),"")</f>
        <v/>
      </c>
      <c r="P316">
        <f>IFERROR(INDEX(ExchangeConfirms!$I$2:$I$460,MATCH($A316,ExchangeConfirms!$A$2:$A$460,0)),"")</f>
        <v/>
      </c>
      <c r="Q316">
        <f>IF(AND($E316=1,$F316=0),"MISSING IN EXCHANGE",IF(AND($E316=0,$F316=1),"MISSING IN INTERNAL",IF($G316&lt;&gt;$H316,"SIDE BREAK",IF($I316&lt;&gt;$J316,"QTY BREAK",IF(ABS($K316-$L316)&gt;0.005,"PRICE BREAK",IF(ABS($M316-$N316)&gt;0.01,"FEE BREAK","MATCHED"))))))</f>
        <v/>
      </c>
      <c r="R316">
        <f>IF($Q316="MATCHED",0,1)</f>
        <v/>
      </c>
      <c r="S316">
        <f>IF($Q316="MATCHED",0,IF($Q316="MISSING IN EXCHANGE",$O316,IF($Q316="MISSING IN INTERNAL",$P316,ABS(N($O316)-N($P316)))))</f>
        <v/>
      </c>
    </row>
    <row r="317">
      <c r="A317" t="inlineStr">
        <is>
          <t>T100316</t>
        </is>
      </c>
      <c r="B317">
        <f>IFERROR(INDEX(InternalTrades!$D$2:$D$461,MATCH($A317,InternalTrades!$A$2:$A$461,0)),INDEX(ExchangeConfirms!$D$2:$D$460,MATCH($A317,ExchangeConfirms!$A$2:$A$460,0)))</f>
        <v/>
      </c>
      <c r="C317">
        <f>IFERROR(INDEX(InternalTrades!$E$2:$E$461,MATCH($A317,InternalTrades!$A$2:$A$461,0)),INDEX(ExchangeConfirms!$E$2:$E$460,MATCH($A317,ExchangeConfirms!$A$2:$A$460,0)))</f>
        <v/>
      </c>
      <c r="D317">
        <f>IFERROR(INDEX(InternalTrades!$K$2:$K$461,MATCH($A317,InternalTrades!$A$2:$A$461,0)),INDEX(ExchangeConfirms!$K$2:$K$460,MATCH($A317,ExchangeConfirms!$A$2:$A$460,0)))</f>
        <v/>
      </c>
      <c r="E317">
        <f>IF(COUNTIF(InternalTrades!$A$2:$A$461,$A317)&gt;0,1,0)</f>
        <v/>
      </c>
      <c r="F317">
        <f>IF(COUNTIF(ExchangeConfirms!$A$2:$A$460,$A317)&gt;0,1,0)</f>
        <v/>
      </c>
      <c r="G317">
        <f>IFERROR(INDEX(InternalTrades!$F$2:$F$461,MATCH($A317,InternalTrades!$A$2:$A$461,0)),"")</f>
        <v/>
      </c>
      <c r="H317">
        <f>IFERROR(INDEX(ExchangeConfirms!$F$2:$F$460,MATCH($A317,ExchangeConfirms!$A$2:$A$460,0)),"")</f>
        <v/>
      </c>
      <c r="I317">
        <f>IFERROR(INDEX(InternalTrades!$G$2:$G$461,MATCH($A317,InternalTrades!$A$2:$A$461,0)),"")</f>
        <v/>
      </c>
      <c r="J317">
        <f>IFERROR(INDEX(ExchangeConfirms!$G$2:$G$460,MATCH($A317,ExchangeConfirms!$A$2:$A$460,0)),"")</f>
        <v/>
      </c>
      <c r="K317">
        <f>IFERROR(INDEX(InternalTrades!$H$2:$H$461,MATCH($A317,InternalTrades!$A$2:$A$461,0)),"")</f>
        <v/>
      </c>
      <c r="L317">
        <f>IFERROR(INDEX(ExchangeConfirms!$H$2:$H$460,MATCH($A317,ExchangeConfirms!$A$2:$A$460,0)),"")</f>
        <v/>
      </c>
      <c r="M317">
        <f>IFERROR(INDEX(InternalTrades!$J$2:$J$461,MATCH($A317,InternalTrades!$A$2:$A$461,0)),"")</f>
        <v/>
      </c>
      <c r="N317">
        <f>IFERROR(INDEX(ExchangeConfirms!$J$2:$J$460,MATCH($A317,ExchangeConfirms!$A$2:$A$460,0)),"")</f>
        <v/>
      </c>
      <c r="O317">
        <f>IFERROR(INDEX(InternalTrades!$I$2:$I$461,MATCH($A317,InternalTrades!$A$2:$A$461,0)),"")</f>
        <v/>
      </c>
      <c r="P317">
        <f>IFERROR(INDEX(ExchangeConfirms!$I$2:$I$460,MATCH($A317,ExchangeConfirms!$A$2:$A$460,0)),"")</f>
        <v/>
      </c>
      <c r="Q317">
        <f>IF(AND($E317=1,$F317=0),"MISSING IN EXCHANGE",IF(AND($E317=0,$F317=1),"MISSING IN INTERNAL",IF($G317&lt;&gt;$H317,"SIDE BREAK",IF($I317&lt;&gt;$J317,"QTY BREAK",IF(ABS($K317-$L317)&gt;0.005,"PRICE BREAK",IF(ABS($M317-$N317)&gt;0.01,"FEE BREAK","MATCHED"))))))</f>
        <v/>
      </c>
      <c r="R317">
        <f>IF($Q317="MATCHED",0,1)</f>
        <v/>
      </c>
      <c r="S317">
        <f>IF($Q317="MATCHED",0,IF($Q317="MISSING IN EXCHANGE",$O317,IF($Q317="MISSING IN INTERNAL",$P317,ABS(N($O317)-N($P317)))))</f>
        <v/>
      </c>
    </row>
    <row r="318">
      <c r="A318" t="inlineStr">
        <is>
          <t>T100317</t>
        </is>
      </c>
      <c r="B318">
        <f>IFERROR(INDEX(InternalTrades!$D$2:$D$461,MATCH($A318,InternalTrades!$A$2:$A$461,0)),INDEX(ExchangeConfirms!$D$2:$D$460,MATCH($A318,ExchangeConfirms!$A$2:$A$460,0)))</f>
        <v/>
      </c>
      <c r="C318">
        <f>IFERROR(INDEX(InternalTrades!$E$2:$E$461,MATCH($A318,InternalTrades!$A$2:$A$461,0)),INDEX(ExchangeConfirms!$E$2:$E$460,MATCH($A318,ExchangeConfirms!$A$2:$A$460,0)))</f>
        <v/>
      </c>
      <c r="D318">
        <f>IFERROR(INDEX(InternalTrades!$K$2:$K$461,MATCH($A318,InternalTrades!$A$2:$A$461,0)),INDEX(ExchangeConfirms!$K$2:$K$460,MATCH($A318,ExchangeConfirms!$A$2:$A$460,0)))</f>
        <v/>
      </c>
      <c r="E318">
        <f>IF(COUNTIF(InternalTrades!$A$2:$A$461,$A318)&gt;0,1,0)</f>
        <v/>
      </c>
      <c r="F318">
        <f>IF(COUNTIF(ExchangeConfirms!$A$2:$A$460,$A318)&gt;0,1,0)</f>
        <v/>
      </c>
      <c r="G318">
        <f>IFERROR(INDEX(InternalTrades!$F$2:$F$461,MATCH($A318,InternalTrades!$A$2:$A$461,0)),"")</f>
        <v/>
      </c>
      <c r="H318">
        <f>IFERROR(INDEX(ExchangeConfirms!$F$2:$F$460,MATCH($A318,ExchangeConfirms!$A$2:$A$460,0)),"")</f>
        <v/>
      </c>
      <c r="I318">
        <f>IFERROR(INDEX(InternalTrades!$G$2:$G$461,MATCH($A318,InternalTrades!$A$2:$A$461,0)),"")</f>
        <v/>
      </c>
      <c r="J318">
        <f>IFERROR(INDEX(ExchangeConfirms!$G$2:$G$460,MATCH($A318,ExchangeConfirms!$A$2:$A$460,0)),"")</f>
        <v/>
      </c>
      <c r="K318">
        <f>IFERROR(INDEX(InternalTrades!$H$2:$H$461,MATCH($A318,InternalTrades!$A$2:$A$461,0)),"")</f>
        <v/>
      </c>
      <c r="L318">
        <f>IFERROR(INDEX(ExchangeConfirms!$H$2:$H$460,MATCH($A318,ExchangeConfirms!$A$2:$A$460,0)),"")</f>
        <v/>
      </c>
      <c r="M318">
        <f>IFERROR(INDEX(InternalTrades!$J$2:$J$461,MATCH($A318,InternalTrades!$A$2:$A$461,0)),"")</f>
        <v/>
      </c>
      <c r="N318">
        <f>IFERROR(INDEX(ExchangeConfirms!$J$2:$J$460,MATCH($A318,ExchangeConfirms!$A$2:$A$460,0)),"")</f>
        <v/>
      </c>
      <c r="O318">
        <f>IFERROR(INDEX(InternalTrades!$I$2:$I$461,MATCH($A318,InternalTrades!$A$2:$A$461,0)),"")</f>
        <v/>
      </c>
      <c r="P318">
        <f>IFERROR(INDEX(ExchangeConfirms!$I$2:$I$460,MATCH($A318,ExchangeConfirms!$A$2:$A$460,0)),"")</f>
        <v/>
      </c>
      <c r="Q318">
        <f>IF(AND($E318=1,$F318=0),"MISSING IN EXCHANGE",IF(AND($E318=0,$F318=1),"MISSING IN INTERNAL",IF($G318&lt;&gt;$H318,"SIDE BREAK",IF($I318&lt;&gt;$J318,"QTY BREAK",IF(ABS($K318-$L318)&gt;0.005,"PRICE BREAK",IF(ABS($M318-$N318)&gt;0.01,"FEE BREAK","MATCHED"))))))</f>
        <v/>
      </c>
      <c r="R318">
        <f>IF($Q318="MATCHED",0,1)</f>
        <v/>
      </c>
      <c r="S318">
        <f>IF($Q318="MATCHED",0,IF($Q318="MISSING IN EXCHANGE",$O318,IF($Q318="MISSING IN INTERNAL",$P318,ABS(N($O318)-N($P318)))))</f>
        <v/>
      </c>
    </row>
    <row r="319">
      <c r="A319" t="inlineStr">
        <is>
          <t>T100318</t>
        </is>
      </c>
      <c r="B319">
        <f>IFERROR(INDEX(InternalTrades!$D$2:$D$461,MATCH($A319,InternalTrades!$A$2:$A$461,0)),INDEX(ExchangeConfirms!$D$2:$D$460,MATCH($A319,ExchangeConfirms!$A$2:$A$460,0)))</f>
        <v/>
      </c>
      <c r="C319">
        <f>IFERROR(INDEX(InternalTrades!$E$2:$E$461,MATCH($A319,InternalTrades!$A$2:$A$461,0)),INDEX(ExchangeConfirms!$E$2:$E$460,MATCH($A319,ExchangeConfirms!$A$2:$A$460,0)))</f>
        <v/>
      </c>
      <c r="D319">
        <f>IFERROR(INDEX(InternalTrades!$K$2:$K$461,MATCH($A319,InternalTrades!$A$2:$A$461,0)),INDEX(ExchangeConfirms!$K$2:$K$460,MATCH($A319,ExchangeConfirms!$A$2:$A$460,0)))</f>
        <v/>
      </c>
      <c r="E319">
        <f>IF(COUNTIF(InternalTrades!$A$2:$A$461,$A319)&gt;0,1,0)</f>
        <v/>
      </c>
      <c r="F319">
        <f>IF(COUNTIF(ExchangeConfirms!$A$2:$A$460,$A319)&gt;0,1,0)</f>
        <v/>
      </c>
      <c r="G319">
        <f>IFERROR(INDEX(InternalTrades!$F$2:$F$461,MATCH($A319,InternalTrades!$A$2:$A$461,0)),"")</f>
        <v/>
      </c>
      <c r="H319">
        <f>IFERROR(INDEX(ExchangeConfirms!$F$2:$F$460,MATCH($A319,ExchangeConfirms!$A$2:$A$460,0)),"")</f>
        <v/>
      </c>
      <c r="I319">
        <f>IFERROR(INDEX(InternalTrades!$G$2:$G$461,MATCH($A319,InternalTrades!$A$2:$A$461,0)),"")</f>
        <v/>
      </c>
      <c r="J319">
        <f>IFERROR(INDEX(ExchangeConfirms!$G$2:$G$460,MATCH($A319,ExchangeConfirms!$A$2:$A$460,0)),"")</f>
        <v/>
      </c>
      <c r="K319">
        <f>IFERROR(INDEX(InternalTrades!$H$2:$H$461,MATCH($A319,InternalTrades!$A$2:$A$461,0)),"")</f>
        <v/>
      </c>
      <c r="L319">
        <f>IFERROR(INDEX(ExchangeConfirms!$H$2:$H$460,MATCH($A319,ExchangeConfirms!$A$2:$A$460,0)),"")</f>
        <v/>
      </c>
      <c r="M319">
        <f>IFERROR(INDEX(InternalTrades!$J$2:$J$461,MATCH($A319,InternalTrades!$A$2:$A$461,0)),"")</f>
        <v/>
      </c>
      <c r="N319">
        <f>IFERROR(INDEX(ExchangeConfirms!$J$2:$J$460,MATCH($A319,ExchangeConfirms!$A$2:$A$460,0)),"")</f>
        <v/>
      </c>
      <c r="O319">
        <f>IFERROR(INDEX(InternalTrades!$I$2:$I$461,MATCH($A319,InternalTrades!$A$2:$A$461,0)),"")</f>
        <v/>
      </c>
      <c r="P319">
        <f>IFERROR(INDEX(ExchangeConfirms!$I$2:$I$460,MATCH($A319,ExchangeConfirms!$A$2:$A$460,0)),"")</f>
        <v/>
      </c>
      <c r="Q319">
        <f>IF(AND($E319=1,$F319=0),"MISSING IN EXCHANGE",IF(AND($E319=0,$F319=1),"MISSING IN INTERNAL",IF($G319&lt;&gt;$H319,"SIDE BREAK",IF($I319&lt;&gt;$J319,"QTY BREAK",IF(ABS($K319-$L319)&gt;0.005,"PRICE BREAK",IF(ABS($M319-$N319)&gt;0.01,"FEE BREAK","MATCHED"))))))</f>
        <v/>
      </c>
      <c r="R319">
        <f>IF($Q319="MATCHED",0,1)</f>
        <v/>
      </c>
      <c r="S319">
        <f>IF($Q319="MATCHED",0,IF($Q319="MISSING IN EXCHANGE",$O319,IF($Q319="MISSING IN INTERNAL",$P319,ABS(N($O319)-N($P319)))))</f>
        <v/>
      </c>
    </row>
    <row r="320">
      <c r="A320" t="inlineStr">
        <is>
          <t>T100319</t>
        </is>
      </c>
      <c r="B320">
        <f>IFERROR(INDEX(InternalTrades!$D$2:$D$461,MATCH($A320,InternalTrades!$A$2:$A$461,0)),INDEX(ExchangeConfirms!$D$2:$D$460,MATCH($A320,ExchangeConfirms!$A$2:$A$460,0)))</f>
        <v/>
      </c>
      <c r="C320">
        <f>IFERROR(INDEX(InternalTrades!$E$2:$E$461,MATCH($A320,InternalTrades!$A$2:$A$461,0)),INDEX(ExchangeConfirms!$E$2:$E$460,MATCH($A320,ExchangeConfirms!$A$2:$A$460,0)))</f>
        <v/>
      </c>
      <c r="D320">
        <f>IFERROR(INDEX(InternalTrades!$K$2:$K$461,MATCH($A320,InternalTrades!$A$2:$A$461,0)),INDEX(ExchangeConfirms!$K$2:$K$460,MATCH($A320,ExchangeConfirms!$A$2:$A$460,0)))</f>
        <v/>
      </c>
      <c r="E320">
        <f>IF(COUNTIF(InternalTrades!$A$2:$A$461,$A320)&gt;0,1,0)</f>
        <v/>
      </c>
      <c r="F320">
        <f>IF(COUNTIF(ExchangeConfirms!$A$2:$A$460,$A320)&gt;0,1,0)</f>
        <v/>
      </c>
      <c r="G320">
        <f>IFERROR(INDEX(InternalTrades!$F$2:$F$461,MATCH($A320,InternalTrades!$A$2:$A$461,0)),"")</f>
        <v/>
      </c>
      <c r="H320">
        <f>IFERROR(INDEX(ExchangeConfirms!$F$2:$F$460,MATCH($A320,ExchangeConfirms!$A$2:$A$460,0)),"")</f>
        <v/>
      </c>
      <c r="I320">
        <f>IFERROR(INDEX(InternalTrades!$G$2:$G$461,MATCH($A320,InternalTrades!$A$2:$A$461,0)),"")</f>
        <v/>
      </c>
      <c r="J320">
        <f>IFERROR(INDEX(ExchangeConfirms!$G$2:$G$460,MATCH($A320,ExchangeConfirms!$A$2:$A$460,0)),"")</f>
        <v/>
      </c>
      <c r="K320">
        <f>IFERROR(INDEX(InternalTrades!$H$2:$H$461,MATCH($A320,InternalTrades!$A$2:$A$461,0)),"")</f>
        <v/>
      </c>
      <c r="L320">
        <f>IFERROR(INDEX(ExchangeConfirms!$H$2:$H$460,MATCH($A320,ExchangeConfirms!$A$2:$A$460,0)),"")</f>
        <v/>
      </c>
      <c r="M320">
        <f>IFERROR(INDEX(InternalTrades!$J$2:$J$461,MATCH($A320,InternalTrades!$A$2:$A$461,0)),"")</f>
        <v/>
      </c>
      <c r="N320">
        <f>IFERROR(INDEX(ExchangeConfirms!$J$2:$J$460,MATCH($A320,ExchangeConfirms!$A$2:$A$460,0)),"")</f>
        <v/>
      </c>
      <c r="O320">
        <f>IFERROR(INDEX(InternalTrades!$I$2:$I$461,MATCH($A320,InternalTrades!$A$2:$A$461,0)),"")</f>
        <v/>
      </c>
      <c r="P320">
        <f>IFERROR(INDEX(ExchangeConfirms!$I$2:$I$460,MATCH($A320,ExchangeConfirms!$A$2:$A$460,0)),"")</f>
        <v/>
      </c>
      <c r="Q320">
        <f>IF(AND($E320=1,$F320=0),"MISSING IN EXCHANGE",IF(AND($E320=0,$F320=1),"MISSING IN INTERNAL",IF($G320&lt;&gt;$H320,"SIDE BREAK",IF($I320&lt;&gt;$J320,"QTY BREAK",IF(ABS($K320-$L320)&gt;0.005,"PRICE BREAK",IF(ABS($M320-$N320)&gt;0.01,"FEE BREAK","MATCHED"))))))</f>
        <v/>
      </c>
      <c r="R320">
        <f>IF($Q320="MATCHED",0,1)</f>
        <v/>
      </c>
      <c r="S320">
        <f>IF($Q320="MATCHED",0,IF($Q320="MISSING IN EXCHANGE",$O320,IF($Q320="MISSING IN INTERNAL",$P320,ABS(N($O320)-N($P320)))))</f>
        <v/>
      </c>
    </row>
    <row r="321">
      <c r="A321" t="inlineStr">
        <is>
          <t>T100320</t>
        </is>
      </c>
      <c r="B321">
        <f>IFERROR(INDEX(InternalTrades!$D$2:$D$461,MATCH($A321,InternalTrades!$A$2:$A$461,0)),INDEX(ExchangeConfirms!$D$2:$D$460,MATCH($A321,ExchangeConfirms!$A$2:$A$460,0)))</f>
        <v/>
      </c>
      <c r="C321">
        <f>IFERROR(INDEX(InternalTrades!$E$2:$E$461,MATCH($A321,InternalTrades!$A$2:$A$461,0)),INDEX(ExchangeConfirms!$E$2:$E$460,MATCH($A321,ExchangeConfirms!$A$2:$A$460,0)))</f>
        <v/>
      </c>
      <c r="D321">
        <f>IFERROR(INDEX(InternalTrades!$K$2:$K$461,MATCH($A321,InternalTrades!$A$2:$A$461,0)),INDEX(ExchangeConfirms!$K$2:$K$460,MATCH($A321,ExchangeConfirms!$A$2:$A$460,0)))</f>
        <v/>
      </c>
      <c r="E321">
        <f>IF(COUNTIF(InternalTrades!$A$2:$A$461,$A321)&gt;0,1,0)</f>
        <v/>
      </c>
      <c r="F321">
        <f>IF(COUNTIF(ExchangeConfirms!$A$2:$A$460,$A321)&gt;0,1,0)</f>
        <v/>
      </c>
      <c r="G321">
        <f>IFERROR(INDEX(InternalTrades!$F$2:$F$461,MATCH($A321,InternalTrades!$A$2:$A$461,0)),"")</f>
        <v/>
      </c>
      <c r="H321">
        <f>IFERROR(INDEX(ExchangeConfirms!$F$2:$F$460,MATCH($A321,ExchangeConfirms!$A$2:$A$460,0)),"")</f>
        <v/>
      </c>
      <c r="I321">
        <f>IFERROR(INDEX(InternalTrades!$G$2:$G$461,MATCH($A321,InternalTrades!$A$2:$A$461,0)),"")</f>
        <v/>
      </c>
      <c r="J321">
        <f>IFERROR(INDEX(ExchangeConfirms!$G$2:$G$460,MATCH($A321,ExchangeConfirms!$A$2:$A$460,0)),"")</f>
        <v/>
      </c>
      <c r="K321">
        <f>IFERROR(INDEX(InternalTrades!$H$2:$H$461,MATCH($A321,InternalTrades!$A$2:$A$461,0)),"")</f>
        <v/>
      </c>
      <c r="L321">
        <f>IFERROR(INDEX(ExchangeConfirms!$H$2:$H$460,MATCH($A321,ExchangeConfirms!$A$2:$A$460,0)),"")</f>
        <v/>
      </c>
      <c r="M321">
        <f>IFERROR(INDEX(InternalTrades!$J$2:$J$461,MATCH($A321,InternalTrades!$A$2:$A$461,0)),"")</f>
        <v/>
      </c>
      <c r="N321">
        <f>IFERROR(INDEX(ExchangeConfirms!$J$2:$J$460,MATCH($A321,ExchangeConfirms!$A$2:$A$460,0)),"")</f>
        <v/>
      </c>
      <c r="O321">
        <f>IFERROR(INDEX(InternalTrades!$I$2:$I$461,MATCH($A321,InternalTrades!$A$2:$A$461,0)),"")</f>
        <v/>
      </c>
      <c r="P321">
        <f>IFERROR(INDEX(ExchangeConfirms!$I$2:$I$460,MATCH($A321,ExchangeConfirms!$A$2:$A$460,0)),"")</f>
        <v/>
      </c>
      <c r="Q321">
        <f>IF(AND($E321=1,$F321=0),"MISSING IN EXCHANGE",IF(AND($E321=0,$F321=1),"MISSING IN INTERNAL",IF($G321&lt;&gt;$H321,"SIDE BREAK",IF($I321&lt;&gt;$J321,"QTY BREAK",IF(ABS($K321-$L321)&gt;0.005,"PRICE BREAK",IF(ABS($M321-$N321)&gt;0.01,"FEE BREAK","MATCHED"))))))</f>
        <v/>
      </c>
      <c r="R321">
        <f>IF($Q321="MATCHED",0,1)</f>
        <v/>
      </c>
      <c r="S321">
        <f>IF($Q321="MATCHED",0,IF($Q321="MISSING IN EXCHANGE",$O321,IF($Q321="MISSING IN INTERNAL",$P321,ABS(N($O321)-N($P321)))))</f>
        <v/>
      </c>
    </row>
    <row r="322">
      <c r="A322" t="inlineStr">
        <is>
          <t>T100321</t>
        </is>
      </c>
      <c r="B322">
        <f>IFERROR(INDEX(InternalTrades!$D$2:$D$461,MATCH($A322,InternalTrades!$A$2:$A$461,0)),INDEX(ExchangeConfirms!$D$2:$D$460,MATCH($A322,ExchangeConfirms!$A$2:$A$460,0)))</f>
        <v/>
      </c>
      <c r="C322">
        <f>IFERROR(INDEX(InternalTrades!$E$2:$E$461,MATCH($A322,InternalTrades!$A$2:$A$461,0)),INDEX(ExchangeConfirms!$E$2:$E$460,MATCH($A322,ExchangeConfirms!$A$2:$A$460,0)))</f>
        <v/>
      </c>
      <c r="D322">
        <f>IFERROR(INDEX(InternalTrades!$K$2:$K$461,MATCH($A322,InternalTrades!$A$2:$A$461,0)),INDEX(ExchangeConfirms!$K$2:$K$460,MATCH($A322,ExchangeConfirms!$A$2:$A$460,0)))</f>
        <v/>
      </c>
      <c r="E322">
        <f>IF(COUNTIF(InternalTrades!$A$2:$A$461,$A322)&gt;0,1,0)</f>
        <v/>
      </c>
      <c r="F322">
        <f>IF(COUNTIF(ExchangeConfirms!$A$2:$A$460,$A322)&gt;0,1,0)</f>
        <v/>
      </c>
      <c r="G322">
        <f>IFERROR(INDEX(InternalTrades!$F$2:$F$461,MATCH($A322,InternalTrades!$A$2:$A$461,0)),"")</f>
        <v/>
      </c>
      <c r="H322">
        <f>IFERROR(INDEX(ExchangeConfirms!$F$2:$F$460,MATCH($A322,ExchangeConfirms!$A$2:$A$460,0)),"")</f>
        <v/>
      </c>
      <c r="I322">
        <f>IFERROR(INDEX(InternalTrades!$G$2:$G$461,MATCH($A322,InternalTrades!$A$2:$A$461,0)),"")</f>
        <v/>
      </c>
      <c r="J322">
        <f>IFERROR(INDEX(ExchangeConfirms!$G$2:$G$460,MATCH($A322,ExchangeConfirms!$A$2:$A$460,0)),"")</f>
        <v/>
      </c>
      <c r="K322">
        <f>IFERROR(INDEX(InternalTrades!$H$2:$H$461,MATCH($A322,InternalTrades!$A$2:$A$461,0)),"")</f>
        <v/>
      </c>
      <c r="L322">
        <f>IFERROR(INDEX(ExchangeConfirms!$H$2:$H$460,MATCH($A322,ExchangeConfirms!$A$2:$A$460,0)),"")</f>
        <v/>
      </c>
      <c r="M322">
        <f>IFERROR(INDEX(InternalTrades!$J$2:$J$461,MATCH($A322,InternalTrades!$A$2:$A$461,0)),"")</f>
        <v/>
      </c>
      <c r="N322">
        <f>IFERROR(INDEX(ExchangeConfirms!$J$2:$J$460,MATCH($A322,ExchangeConfirms!$A$2:$A$460,0)),"")</f>
        <v/>
      </c>
      <c r="O322">
        <f>IFERROR(INDEX(InternalTrades!$I$2:$I$461,MATCH($A322,InternalTrades!$A$2:$A$461,0)),"")</f>
        <v/>
      </c>
      <c r="P322">
        <f>IFERROR(INDEX(ExchangeConfirms!$I$2:$I$460,MATCH($A322,ExchangeConfirms!$A$2:$A$460,0)),"")</f>
        <v/>
      </c>
      <c r="Q322">
        <f>IF(AND($E322=1,$F322=0),"MISSING IN EXCHANGE",IF(AND($E322=0,$F322=1),"MISSING IN INTERNAL",IF($G322&lt;&gt;$H322,"SIDE BREAK",IF($I322&lt;&gt;$J322,"QTY BREAK",IF(ABS($K322-$L322)&gt;0.005,"PRICE BREAK",IF(ABS($M322-$N322)&gt;0.01,"FEE BREAK","MATCHED"))))))</f>
        <v/>
      </c>
      <c r="R322">
        <f>IF($Q322="MATCHED",0,1)</f>
        <v/>
      </c>
      <c r="S322">
        <f>IF($Q322="MATCHED",0,IF($Q322="MISSING IN EXCHANGE",$O322,IF($Q322="MISSING IN INTERNAL",$P322,ABS(N($O322)-N($P322)))))</f>
        <v/>
      </c>
    </row>
    <row r="323">
      <c r="A323" t="inlineStr">
        <is>
          <t>T100322</t>
        </is>
      </c>
      <c r="B323">
        <f>IFERROR(INDEX(InternalTrades!$D$2:$D$461,MATCH($A323,InternalTrades!$A$2:$A$461,0)),INDEX(ExchangeConfirms!$D$2:$D$460,MATCH($A323,ExchangeConfirms!$A$2:$A$460,0)))</f>
        <v/>
      </c>
      <c r="C323">
        <f>IFERROR(INDEX(InternalTrades!$E$2:$E$461,MATCH($A323,InternalTrades!$A$2:$A$461,0)),INDEX(ExchangeConfirms!$E$2:$E$460,MATCH($A323,ExchangeConfirms!$A$2:$A$460,0)))</f>
        <v/>
      </c>
      <c r="D323">
        <f>IFERROR(INDEX(InternalTrades!$K$2:$K$461,MATCH($A323,InternalTrades!$A$2:$A$461,0)),INDEX(ExchangeConfirms!$K$2:$K$460,MATCH($A323,ExchangeConfirms!$A$2:$A$460,0)))</f>
        <v/>
      </c>
      <c r="E323">
        <f>IF(COUNTIF(InternalTrades!$A$2:$A$461,$A323)&gt;0,1,0)</f>
        <v/>
      </c>
      <c r="F323">
        <f>IF(COUNTIF(ExchangeConfirms!$A$2:$A$460,$A323)&gt;0,1,0)</f>
        <v/>
      </c>
      <c r="G323">
        <f>IFERROR(INDEX(InternalTrades!$F$2:$F$461,MATCH($A323,InternalTrades!$A$2:$A$461,0)),"")</f>
        <v/>
      </c>
      <c r="H323">
        <f>IFERROR(INDEX(ExchangeConfirms!$F$2:$F$460,MATCH($A323,ExchangeConfirms!$A$2:$A$460,0)),"")</f>
        <v/>
      </c>
      <c r="I323">
        <f>IFERROR(INDEX(InternalTrades!$G$2:$G$461,MATCH($A323,InternalTrades!$A$2:$A$461,0)),"")</f>
        <v/>
      </c>
      <c r="J323">
        <f>IFERROR(INDEX(ExchangeConfirms!$G$2:$G$460,MATCH($A323,ExchangeConfirms!$A$2:$A$460,0)),"")</f>
        <v/>
      </c>
      <c r="K323">
        <f>IFERROR(INDEX(InternalTrades!$H$2:$H$461,MATCH($A323,InternalTrades!$A$2:$A$461,0)),"")</f>
        <v/>
      </c>
      <c r="L323">
        <f>IFERROR(INDEX(ExchangeConfirms!$H$2:$H$460,MATCH($A323,ExchangeConfirms!$A$2:$A$460,0)),"")</f>
        <v/>
      </c>
      <c r="M323">
        <f>IFERROR(INDEX(InternalTrades!$J$2:$J$461,MATCH($A323,InternalTrades!$A$2:$A$461,0)),"")</f>
        <v/>
      </c>
      <c r="N323">
        <f>IFERROR(INDEX(ExchangeConfirms!$J$2:$J$460,MATCH($A323,ExchangeConfirms!$A$2:$A$460,0)),"")</f>
        <v/>
      </c>
      <c r="O323">
        <f>IFERROR(INDEX(InternalTrades!$I$2:$I$461,MATCH($A323,InternalTrades!$A$2:$A$461,0)),"")</f>
        <v/>
      </c>
      <c r="P323">
        <f>IFERROR(INDEX(ExchangeConfirms!$I$2:$I$460,MATCH($A323,ExchangeConfirms!$A$2:$A$460,0)),"")</f>
        <v/>
      </c>
      <c r="Q323">
        <f>IF(AND($E323=1,$F323=0),"MISSING IN EXCHANGE",IF(AND($E323=0,$F323=1),"MISSING IN INTERNAL",IF($G323&lt;&gt;$H323,"SIDE BREAK",IF($I323&lt;&gt;$J323,"QTY BREAK",IF(ABS($K323-$L323)&gt;0.005,"PRICE BREAK",IF(ABS($M323-$N323)&gt;0.01,"FEE BREAK","MATCHED"))))))</f>
        <v/>
      </c>
      <c r="R323">
        <f>IF($Q323="MATCHED",0,1)</f>
        <v/>
      </c>
      <c r="S323">
        <f>IF($Q323="MATCHED",0,IF($Q323="MISSING IN EXCHANGE",$O323,IF($Q323="MISSING IN INTERNAL",$P323,ABS(N($O323)-N($P323)))))</f>
        <v/>
      </c>
    </row>
    <row r="324">
      <c r="A324" t="inlineStr">
        <is>
          <t>T100323</t>
        </is>
      </c>
      <c r="B324">
        <f>IFERROR(INDEX(InternalTrades!$D$2:$D$461,MATCH($A324,InternalTrades!$A$2:$A$461,0)),INDEX(ExchangeConfirms!$D$2:$D$460,MATCH($A324,ExchangeConfirms!$A$2:$A$460,0)))</f>
        <v/>
      </c>
      <c r="C324">
        <f>IFERROR(INDEX(InternalTrades!$E$2:$E$461,MATCH($A324,InternalTrades!$A$2:$A$461,0)),INDEX(ExchangeConfirms!$E$2:$E$460,MATCH($A324,ExchangeConfirms!$A$2:$A$460,0)))</f>
        <v/>
      </c>
      <c r="D324">
        <f>IFERROR(INDEX(InternalTrades!$K$2:$K$461,MATCH($A324,InternalTrades!$A$2:$A$461,0)),INDEX(ExchangeConfirms!$K$2:$K$460,MATCH($A324,ExchangeConfirms!$A$2:$A$460,0)))</f>
        <v/>
      </c>
      <c r="E324">
        <f>IF(COUNTIF(InternalTrades!$A$2:$A$461,$A324)&gt;0,1,0)</f>
        <v/>
      </c>
      <c r="F324">
        <f>IF(COUNTIF(ExchangeConfirms!$A$2:$A$460,$A324)&gt;0,1,0)</f>
        <v/>
      </c>
      <c r="G324">
        <f>IFERROR(INDEX(InternalTrades!$F$2:$F$461,MATCH($A324,InternalTrades!$A$2:$A$461,0)),"")</f>
        <v/>
      </c>
      <c r="H324">
        <f>IFERROR(INDEX(ExchangeConfirms!$F$2:$F$460,MATCH($A324,ExchangeConfirms!$A$2:$A$460,0)),"")</f>
        <v/>
      </c>
      <c r="I324">
        <f>IFERROR(INDEX(InternalTrades!$G$2:$G$461,MATCH($A324,InternalTrades!$A$2:$A$461,0)),"")</f>
        <v/>
      </c>
      <c r="J324">
        <f>IFERROR(INDEX(ExchangeConfirms!$G$2:$G$460,MATCH($A324,ExchangeConfirms!$A$2:$A$460,0)),"")</f>
        <v/>
      </c>
      <c r="K324">
        <f>IFERROR(INDEX(InternalTrades!$H$2:$H$461,MATCH($A324,InternalTrades!$A$2:$A$461,0)),"")</f>
        <v/>
      </c>
      <c r="L324">
        <f>IFERROR(INDEX(ExchangeConfirms!$H$2:$H$460,MATCH($A324,ExchangeConfirms!$A$2:$A$460,0)),"")</f>
        <v/>
      </c>
      <c r="M324">
        <f>IFERROR(INDEX(InternalTrades!$J$2:$J$461,MATCH($A324,InternalTrades!$A$2:$A$461,0)),"")</f>
        <v/>
      </c>
      <c r="N324">
        <f>IFERROR(INDEX(ExchangeConfirms!$J$2:$J$460,MATCH($A324,ExchangeConfirms!$A$2:$A$460,0)),"")</f>
        <v/>
      </c>
      <c r="O324">
        <f>IFERROR(INDEX(InternalTrades!$I$2:$I$461,MATCH($A324,InternalTrades!$A$2:$A$461,0)),"")</f>
        <v/>
      </c>
      <c r="P324">
        <f>IFERROR(INDEX(ExchangeConfirms!$I$2:$I$460,MATCH($A324,ExchangeConfirms!$A$2:$A$460,0)),"")</f>
        <v/>
      </c>
      <c r="Q324">
        <f>IF(AND($E324=1,$F324=0),"MISSING IN EXCHANGE",IF(AND($E324=0,$F324=1),"MISSING IN INTERNAL",IF($G324&lt;&gt;$H324,"SIDE BREAK",IF($I324&lt;&gt;$J324,"QTY BREAK",IF(ABS($K324-$L324)&gt;0.005,"PRICE BREAK",IF(ABS($M324-$N324)&gt;0.01,"FEE BREAK","MATCHED"))))))</f>
        <v/>
      </c>
      <c r="R324">
        <f>IF($Q324="MATCHED",0,1)</f>
        <v/>
      </c>
      <c r="S324">
        <f>IF($Q324="MATCHED",0,IF($Q324="MISSING IN EXCHANGE",$O324,IF($Q324="MISSING IN INTERNAL",$P324,ABS(N($O324)-N($P324)))))</f>
        <v/>
      </c>
    </row>
    <row r="325">
      <c r="A325" t="inlineStr">
        <is>
          <t>T100324</t>
        </is>
      </c>
      <c r="B325">
        <f>IFERROR(INDEX(InternalTrades!$D$2:$D$461,MATCH($A325,InternalTrades!$A$2:$A$461,0)),INDEX(ExchangeConfirms!$D$2:$D$460,MATCH($A325,ExchangeConfirms!$A$2:$A$460,0)))</f>
        <v/>
      </c>
      <c r="C325">
        <f>IFERROR(INDEX(InternalTrades!$E$2:$E$461,MATCH($A325,InternalTrades!$A$2:$A$461,0)),INDEX(ExchangeConfirms!$E$2:$E$460,MATCH($A325,ExchangeConfirms!$A$2:$A$460,0)))</f>
        <v/>
      </c>
      <c r="D325">
        <f>IFERROR(INDEX(InternalTrades!$K$2:$K$461,MATCH($A325,InternalTrades!$A$2:$A$461,0)),INDEX(ExchangeConfirms!$K$2:$K$460,MATCH($A325,ExchangeConfirms!$A$2:$A$460,0)))</f>
        <v/>
      </c>
      <c r="E325">
        <f>IF(COUNTIF(InternalTrades!$A$2:$A$461,$A325)&gt;0,1,0)</f>
        <v/>
      </c>
      <c r="F325">
        <f>IF(COUNTIF(ExchangeConfirms!$A$2:$A$460,$A325)&gt;0,1,0)</f>
        <v/>
      </c>
      <c r="G325">
        <f>IFERROR(INDEX(InternalTrades!$F$2:$F$461,MATCH($A325,InternalTrades!$A$2:$A$461,0)),"")</f>
        <v/>
      </c>
      <c r="H325">
        <f>IFERROR(INDEX(ExchangeConfirms!$F$2:$F$460,MATCH($A325,ExchangeConfirms!$A$2:$A$460,0)),"")</f>
        <v/>
      </c>
      <c r="I325">
        <f>IFERROR(INDEX(InternalTrades!$G$2:$G$461,MATCH($A325,InternalTrades!$A$2:$A$461,0)),"")</f>
        <v/>
      </c>
      <c r="J325">
        <f>IFERROR(INDEX(ExchangeConfirms!$G$2:$G$460,MATCH($A325,ExchangeConfirms!$A$2:$A$460,0)),"")</f>
        <v/>
      </c>
      <c r="K325">
        <f>IFERROR(INDEX(InternalTrades!$H$2:$H$461,MATCH($A325,InternalTrades!$A$2:$A$461,0)),"")</f>
        <v/>
      </c>
      <c r="L325">
        <f>IFERROR(INDEX(ExchangeConfirms!$H$2:$H$460,MATCH($A325,ExchangeConfirms!$A$2:$A$460,0)),"")</f>
        <v/>
      </c>
      <c r="M325">
        <f>IFERROR(INDEX(InternalTrades!$J$2:$J$461,MATCH($A325,InternalTrades!$A$2:$A$461,0)),"")</f>
        <v/>
      </c>
      <c r="N325">
        <f>IFERROR(INDEX(ExchangeConfirms!$J$2:$J$460,MATCH($A325,ExchangeConfirms!$A$2:$A$460,0)),"")</f>
        <v/>
      </c>
      <c r="O325">
        <f>IFERROR(INDEX(InternalTrades!$I$2:$I$461,MATCH($A325,InternalTrades!$A$2:$A$461,0)),"")</f>
        <v/>
      </c>
      <c r="P325">
        <f>IFERROR(INDEX(ExchangeConfirms!$I$2:$I$460,MATCH($A325,ExchangeConfirms!$A$2:$A$460,0)),"")</f>
        <v/>
      </c>
      <c r="Q325">
        <f>IF(AND($E325=1,$F325=0),"MISSING IN EXCHANGE",IF(AND($E325=0,$F325=1),"MISSING IN INTERNAL",IF($G325&lt;&gt;$H325,"SIDE BREAK",IF($I325&lt;&gt;$J325,"QTY BREAK",IF(ABS($K325-$L325)&gt;0.005,"PRICE BREAK",IF(ABS($M325-$N325)&gt;0.01,"FEE BREAK","MATCHED"))))))</f>
        <v/>
      </c>
      <c r="R325">
        <f>IF($Q325="MATCHED",0,1)</f>
        <v/>
      </c>
      <c r="S325">
        <f>IF($Q325="MATCHED",0,IF($Q325="MISSING IN EXCHANGE",$O325,IF($Q325="MISSING IN INTERNAL",$P325,ABS(N($O325)-N($P325)))))</f>
        <v/>
      </c>
    </row>
    <row r="326">
      <c r="A326" t="inlineStr">
        <is>
          <t>T100325</t>
        </is>
      </c>
      <c r="B326">
        <f>IFERROR(INDEX(InternalTrades!$D$2:$D$461,MATCH($A326,InternalTrades!$A$2:$A$461,0)),INDEX(ExchangeConfirms!$D$2:$D$460,MATCH($A326,ExchangeConfirms!$A$2:$A$460,0)))</f>
        <v/>
      </c>
      <c r="C326">
        <f>IFERROR(INDEX(InternalTrades!$E$2:$E$461,MATCH($A326,InternalTrades!$A$2:$A$461,0)),INDEX(ExchangeConfirms!$E$2:$E$460,MATCH($A326,ExchangeConfirms!$A$2:$A$460,0)))</f>
        <v/>
      </c>
      <c r="D326">
        <f>IFERROR(INDEX(InternalTrades!$K$2:$K$461,MATCH($A326,InternalTrades!$A$2:$A$461,0)),INDEX(ExchangeConfirms!$K$2:$K$460,MATCH($A326,ExchangeConfirms!$A$2:$A$460,0)))</f>
        <v/>
      </c>
      <c r="E326">
        <f>IF(COUNTIF(InternalTrades!$A$2:$A$461,$A326)&gt;0,1,0)</f>
        <v/>
      </c>
      <c r="F326">
        <f>IF(COUNTIF(ExchangeConfirms!$A$2:$A$460,$A326)&gt;0,1,0)</f>
        <v/>
      </c>
      <c r="G326">
        <f>IFERROR(INDEX(InternalTrades!$F$2:$F$461,MATCH($A326,InternalTrades!$A$2:$A$461,0)),"")</f>
        <v/>
      </c>
      <c r="H326">
        <f>IFERROR(INDEX(ExchangeConfirms!$F$2:$F$460,MATCH($A326,ExchangeConfirms!$A$2:$A$460,0)),"")</f>
        <v/>
      </c>
      <c r="I326">
        <f>IFERROR(INDEX(InternalTrades!$G$2:$G$461,MATCH($A326,InternalTrades!$A$2:$A$461,0)),"")</f>
        <v/>
      </c>
      <c r="J326">
        <f>IFERROR(INDEX(ExchangeConfirms!$G$2:$G$460,MATCH($A326,ExchangeConfirms!$A$2:$A$460,0)),"")</f>
        <v/>
      </c>
      <c r="K326">
        <f>IFERROR(INDEX(InternalTrades!$H$2:$H$461,MATCH($A326,InternalTrades!$A$2:$A$461,0)),"")</f>
        <v/>
      </c>
      <c r="L326">
        <f>IFERROR(INDEX(ExchangeConfirms!$H$2:$H$460,MATCH($A326,ExchangeConfirms!$A$2:$A$460,0)),"")</f>
        <v/>
      </c>
      <c r="M326">
        <f>IFERROR(INDEX(InternalTrades!$J$2:$J$461,MATCH($A326,InternalTrades!$A$2:$A$461,0)),"")</f>
        <v/>
      </c>
      <c r="N326">
        <f>IFERROR(INDEX(ExchangeConfirms!$J$2:$J$460,MATCH($A326,ExchangeConfirms!$A$2:$A$460,0)),"")</f>
        <v/>
      </c>
      <c r="O326">
        <f>IFERROR(INDEX(InternalTrades!$I$2:$I$461,MATCH($A326,InternalTrades!$A$2:$A$461,0)),"")</f>
        <v/>
      </c>
      <c r="P326">
        <f>IFERROR(INDEX(ExchangeConfirms!$I$2:$I$460,MATCH($A326,ExchangeConfirms!$A$2:$A$460,0)),"")</f>
        <v/>
      </c>
      <c r="Q326">
        <f>IF(AND($E326=1,$F326=0),"MISSING IN EXCHANGE",IF(AND($E326=0,$F326=1),"MISSING IN INTERNAL",IF($G326&lt;&gt;$H326,"SIDE BREAK",IF($I326&lt;&gt;$J326,"QTY BREAK",IF(ABS($K326-$L326)&gt;0.005,"PRICE BREAK",IF(ABS($M326-$N326)&gt;0.01,"FEE BREAK","MATCHED"))))))</f>
        <v/>
      </c>
      <c r="R326">
        <f>IF($Q326="MATCHED",0,1)</f>
        <v/>
      </c>
      <c r="S326">
        <f>IF($Q326="MATCHED",0,IF($Q326="MISSING IN EXCHANGE",$O326,IF($Q326="MISSING IN INTERNAL",$P326,ABS(N($O326)-N($P326)))))</f>
        <v/>
      </c>
    </row>
    <row r="327">
      <c r="A327" t="inlineStr">
        <is>
          <t>T100326</t>
        </is>
      </c>
      <c r="B327">
        <f>IFERROR(INDEX(InternalTrades!$D$2:$D$461,MATCH($A327,InternalTrades!$A$2:$A$461,0)),INDEX(ExchangeConfirms!$D$2:$D$460,MATCH($A327,ExchangeConfirms!$A$2:$A$460,0)))</f>
        <v/>
      </c>
      <c r="C327">
        <f>IFERROR(INDEX(InternalTrades!$E$2:$E$461,MATCH($A327,InternalTrades!$A$2:$A$461,0)),INDEX(ExchangeConfirms!$E$2:$E$460,MATCH($A327,ExchangeConfirms!$A$2:$A$460,0)))</f>
        <v/>
      </c>
      <c r="D327">
        <f>IFERROR(INDEX(InternalTrades!$K$2:$K$461,MATCH($A327,InternalTrades!$A$2:$A$461,0)),INDEX(ExchangeConfirms!$K$2:$K$460,MATCH($A327,ExchangeConfirms!$A$2:$A$460,0)))</f>
        <v/>
      </c>
      <c r="E327">
        <f>IF(COUNTIF(InternalTrades!$A$2:$A$461,$A327)&gt;0,1,0)</f>
        <v/>
      </c>
      <c r="F327">
        <f>IF(COUNTIF(ExchangeConfirms!$A$2:$A$460,$A327)&gt;0,1,0)</f>
        <v/>
      </c>
      <c r="G327">
        <f>IFERROR(INDEX(InternalTrades!$F$2:$F$461,MATCH($A327,InternalTrades!$A$2:$A$461,0)),"")</f>
        <v/>
      </c>
      <c r="H327">
        <f>IFERROR(INDEX(ExchangeConfirms!$F$2:$F$460,MATCH($A327,ExchangeConfirms!$A$2:$A$460,0)),"")</f>
        <v/>
      </c>
      <c r="I327">
        <f>IFERROR(INDEX(InternalTrades!$G$2:$G$461,MATCH($A327,InternalTrades!$A$2:$A$461,0)),"")</f>
        <v/>
      </c>
      <c r="J327">
        <f>IFERROR(INDEX(ExchangeConfirms!$G$2:$G$460,MATCH($A327,ExchangeConfirms!$A$2:$A$460,0)),"")</f>
        <v/>
      </c>
      <c r="K327">
        <f>IFERROR(INDEX(InternalTrades!$H$2:$H$461,MATCH($A327,InternalTrades!$A$2:$A$461,0)),"")</f>
        <v/>
      </c>
      <c r="L327">
        <f>IFERROR(INDEX(ExchangeConfirms!$H$2:$H$460,MATCH($A327,ExchangeConfirms!$A$2:$A$460,0)),"")</f>
        <v/>
      </c>
      <c r="M327">
        <f>IFERROR(INDEX(InternalTrades!$J$2:$J$461,MATCH($A327,InternalTrades!$A$2:$A$461,0)),"")</f>
        <v/>
      </c>
      <c r="N327">
        <f>IFERROR(INDEX(ExchangeConfirms!$J$2:$J$460,MATCH($A327,ExchangeConfirms!$A$2:$A$460,0)),"")</f>
        <v/>
      </c>
      <c r="O327">
        <f>IFERROR(INDEX(InternalTrades!$I$2:$I$461,MATCH($A327,InternalTrades!$A$2:$A$461,0)),"")</f>
        <v/>
      </c>
      <c r="P327">
        <f>IFERROR(INDEX(ExchangeConfirms!$I$2:$I$460,MATCH($A327,ExchangeConfirms!$A$2:$A$460,0)),"")</f>
        <v/>
      </c>
      <c r="Q327">
        <f>IF(AND($E327=1,$F327=0),"MISSING IN EXCHANGE",IF(AND($E327=0,$F327=1),"MISSING IN INTERNAL",IF($G327&lt;&gt;$H327,"SIDE BREAK",IF($I327&lt;&gt;$J327,"QTY BREAK",IF(ABS($K327-$L327)&gt;0.005,"PRICE BREAK",IF(ABS($M327-$N327)&gt;0.01,"FEE BREAK","MATCHED"))))))</f>
        <v/>
      </c>
      <c r="R327">
        <f>IF($Q327="MATCHED",0,1)</f>
        <v/>
      </c>
      <c r="S327">
        <f>IF($Q327="MATCHED",0,IF($Q327="MISSING IN EXCHANGE",$O327,IF($Q327="MISSING IN INTERNAL",$P327,ABS(N($O327)-N($P327)))))</f>
        <v/>
      </c>
    </row>
    <row r="328">
      <c r="A328" t="inlineStr">
        <is>
          <t>T100327</t>
        </is>
      </c>
      <c r="B328">
        <f>IFERROR(INDEX(InternalTrades!$D$2:$D$461,MATCH($A328,InternalTrades!$A$2:$A$461,0)),INDEX(ExchangeConfirms!$D$2:$D$460,MATCH($A328,ExchangeConfirms!$A$2:$A$460,0)))</f>
        <v/>
      </c>
      <c r="C328">
        <f>IFERROR(INDEX(InternalTrades!$E$2:$E$461,MATCH($A328,InternalTrades!$A$2:$A$461,0)),INDEX(ExchangeConfirms!$E$2:$E$460,MATCH($A328,ExchangeConfirms!$A$2:$A$460,0)))</f>
        <v/>
      </c>
      <c r="D328">
        <f>IFERROR(INDEX(InternalTrades!$K$2:$K$461,MATCH($A328,InternalTrades!$A$2:$A$461,0)),INDEX(ExchangeConfirms!$K$2:$K$460,MATCH($A328,ExchangeConfirms!$A$2:$A$460,0)))</f>
        <v/>
      </c>
      <c r="E328">
        <f>IF(COUNTIF(InternalTrades!$A$2:$A$461,$A328)&gt;0,1,0)</f>
        <v/>
      </c>
      <c r="F328">
        <f>IF(COUNTIF(ExchangeConfirms!$A$2:$A$460,$A328)&gt;0,1,0)</f>
        <v/>
      </c>
      <c r="G328">
        <f>IFERROR(INDEX(InternalTrades!$F$2:$F$461,MATCH($A328,InternalTrades!$A$2:$A$461,0)),"")</f>
        <v/>
      </c>
      <c r="H328">
        <f>IFERROR(INDEX(ExchangeConfirms!$F$2:$F$460,MATCH($A328,ExchangeConfirms!$A$2:$A$460,0)),"")</f>
        <v/>
      </c>
      <c r="I328">
        <f>IFERROR(INDEX(InternalTrades!$G$2:$G$461,MATCH($A328,InternalTrades!$A$2:$A$461,0)),"")</f>
        <v/>
      </c>
      <c r="J328">
        <f>IFERROR(INDEX(ExchangeConfirms!$G$2:$G$460,MATCH($A328,ExchangeConfirms!$A$2:$A$460,0)),"")</f>
        <v/>
      </c>
      <c r="K328">
        <f>IFERROR(INDEX(InternalTrades!$H$2:$H$461,MATCH($A328,InternalTrades!$A$2:$A$461,0)),"")</f>
        <v/>
      </c>
      <c r="L328">
        <f>IFERROR(INDEX(ExchangeConfirms!$H$2:$H$460,MATCH($A328,ExchangeConfirms!$A$2:$A$460,0)),"")</f>
        <v/>
      </c>
      <c r="M328">
        <f>IFERROR(INDEX(InternalTrades!$J$2:$J$461,MATCH($A328,InternalTrades!$A$2:$A$461,0)),"")</f>
        <v/>
      </c>
      <c r="N328">
        <f>IFERROR(INDEX(ExchangeConfirms!$J$2:$J$460,MATCH($A328,ExchangeConfirms!$A$2:$A$460,0)),"")</f>
        <v/>
      </c>
      <c r="O328">
        <f>IFERROR(INDEX(InternalTrades!$I$2:$I$461,MATCH($A328,InternalTrades!$A$2:$A$461,0)),"")</f>
        <v/>
      </c>
      <c r="P328">
        <f>IFERROR(INDEX(ExchangeConfirms!$I$2:$I$460,MATCH($A328,ExchangeConfirms!$A$2:$A$460,0)),"")</f>
        <v/>
      </c>
      <c r="Q328">
        <f>IF(AND($E328=1,$F328=0),"MISSING IN EXCHANGE",IF(AND($E328=0,$F328=1),"MISSING IN INTERNAL",IF($G328&lt;&gt;$H328,"SIDE BREAK",IF($I328&lt;&gt;$J328,"QTY BREAK",IF(ABS($K328-$L328)&gt;0.005,"PRICE BREAK",IF(ABS($M328-$N328)&gt;0.01,"FEE BREAK","MATCHED"))))))</f>
        <v/>
      </c>
      <c r="R328">
        <f>IF($Q328="MATCHED",0,1)</f>
        <v/>
      </c>
      <c r="S328">
        <f>IF($Q328="MATCHED",0,IF($Q328="MISSING IN EXCHANGE",$O328,IF($Q328="MISSING IN INTERNAL",$P328,ABS(N($O328)-N($P328)))))</f>
        <v/>
      </c>
    </row>
    <row r="329">
      <c r="A329" t="inlineStr">
        <is>
          <t>T100328</t>
        </is>
      </c>
      <c r="B329">
        <f>IFERROR(INDEX(InternalTrades!$D$2:$D$461,MATCH($A329,InternalTrades!$A$2:$A$461,0)),INDEX(ExchangeConfirms!$D$2:$D$460,MATCH($A329,ExchangeConfirms!$A$2:$A$460,0)))</f>
        <v/>
      </c>
      <c r="C329">
        <f>IFERROR(INDEX(InternalTrades!$E$2:$E$461,MATCH($A329,InternalTrades!$A$2:$A$461,0)),INDEX(ExchangeConfirms!$E$2:$E$460,MATCH($A329,ExchangeConfirms!$A$2:$A$460,0)))</f>
        <v/>
      </c>
      <c r="D329">
        <f>IFERROR(INDEX(InternalTrades!$K$2:$K$461,MATCH($A329,InternalTrades!$A$2:$A$461,0)),INDEX(ExchangeConfirms!$K$2:$K$460,MATCH($A329,ExchangeConfirms!$A$2:$A$460,0)))</f>
        <v/>
      </c>
      <c r="E329">
        <f>IF(COUNTIF(InternalTrades!$A$2:$A$461,$A329)&gt;0,1,0)</f>
        <v/>
      </c>
      <c r="F329">
        <f>IF(COUNTIF(ExchangeConfirms!$A$2:$A$460,$A329)&gt;0,1,0)</f>
        <v/>
      </c>
      <c r="G329">
        <f>IFERROR(INDEX(InternalTrades!$F$2:$F$461,MATCH($A329,InternalTrades!$A$2:$A$461,0)),"")</f>
        <v/>
      </c>
      <c r="H329">
        <f>IFERROR(INDEX(ExchangeConfirms!$F$2:$F$460,MATCH($A329,ExchangeConfirms!$A$2:$A$460,0)),"")</f>
        <v/>
      </c>
      <c r="I329">
        <f>IFERROR(INDEX(InternalTrades!$G$2:$G$461,MATCH($A329,InternalTrades!$A$2:$A$461,0)),"")</f>
        <v/>
      </c>
      <c r="J329">
        <f>IFERROR(INDEX(ExchangeConfirms!$G$2:$G$460,MATCH($A329,ExchangeConfirms!$A$2:$A$460,0)),"")</f>
        <v/>
      </c>
      <c r="K329">
        <f>IFERROR(INDEX(InternalTrades!$H$2:$H$461,MATCH($A329,InternalTrades!$A$2:$A$461,0)),"")</f>
        <v/>
      </c>
      <c r="L329">
        <f>IFERROR(INDEX(ExchangeConfirms!$H$2:$H$460,MATCH($A329,ExchangeConfirms!$A$2:$A$460,0)),"")</f>
        <v/>
      </c>
      <c r="M329">
        <f>IFERROR(INDEX(InternalTrades!$J$2:$J$461,MATCH($A329,InternalTrades!$A$2:$A$461,0)),"")</f>
        <v/>
      </c>
      <c r="N329">
        <f>IFERROR(INDEX(ExchangeConfirms!$J$2:$J$460,MATCH($A329,ExchangeConfirms!$A$2:$A$460,0)),"")</f>
        <v/>
      </c>
      <c r="O329">
        <f>IFERROR(INDEX(InternalTrades!$I$2:$I$461,MATCH($A329,InternalTrades!$A$2:$A$461,0)),"")</f>
        <v/>
      </c>
      <c r="P329">
        <f>IFERROR(INDEX(ExchangeConfirms!$I$2:$I$460,MATCH($A329,ExchangeConfirms!$A$2:$A$460,0)),"")</f>
        <v/>
      </c>
      <c r="Q329">
        <f>IF(AND($E329=1,$F329=0),"MISSING IN EXCHANGE",IF(AND($E329=0,$F329=1),"MISSING IN INTERNAL",IF($G329&lt;&gt;$H329,"SIDE BREAK",IF($I329&lt;&gt;$J329,"QTY BREAK",IF(ABS($K329-$L329)&gt;0.005,"PRICE BREAK",IF(ABS($M329-$N329)&gt;0.01,"FEE BREAK","MATCHED"))))))</f>
        <v/>
      </c>
      <c r="R329">
        <f>IF($Q329="MATCHED",0,1)</f>
        <v/>
      </c>
      <c r="S329">
        <f>IF($Q329="MATCHED",0,IF($Q329="MISSING IN EXCHANGE",$O329,IF($Q329="MISSING IN INTERNAL",$P329,ABS(N($O329)-N($P329)))))</f>
        <v/>
      </c>
    </row>
    <row r="330">
      <c r="A330" t="inlineStr">
        <is>
          <t>T100329</t>
        </is>
      </c>
      <c r="B330">
        <f>IFERROR(INDEX(InternalTrades!$D$2:$D$461,MATCH($A330,InternalTrades!$A$2:$A$461,0)),INDEX(ExchangeConfirms!$D$2:$D$460,MATCH($A330,ExchangeConfirms!$A$2:$A$460,0)))</f>
        <v/>
      </c>
      <c r="C330">
        <f>IFERROR(INDEX(InternalTrades!$E$2:$E$461,MATCH($A330,InternalTrades!$A$2:$A$461,0)),INDEX(ExchangeConfirms!$E$2:$E$460,MATCH($A330,ExchangeConfirms!$A$2:$A$460,0)))</f>
        <v/>
      </c>
      <c r="D330">
        <f>IFERROR(INDEX(InternalTrades!$K$2:$K$461,MATCH($A330,InternalTrades!$A$2:$A$461,0)),INDEX(ExchangeConfirms!$K$2:$K$460,MATCH($A330,ExchangeConfirms!$A$2:$A$460,0)))</f>
        <v/>
      </c>
      <c r="E330">
        <f>IF(COUNTIF(InternalTrades!$A$2:$A$461,$A330)&gt;0,1,0)</f>
        <v/>
      </c>
      <c r="F330">
        <f>IF(COUNTIF(ExchangeConfirms!$A$2:$A$460,$A330)&gt;0,1,0)</f>
        <v/>
      </c>
      <c r="G330">
        <f>IFERROR(INDEX(InternalTrades!$F$2:$F$461,MATCH($A330,InternalTrades!$A$2:$A$461,0)),"")</f>
        <v/>
      </c>
      <c r="H330">
        <f>IFERROR(INDEX(ExchangeConfirms!$F$2:$F$460,MATCH($A330,ExchangeConfirms!$A$2:$A$460,0)),"")</f>
        <v/>
      </c>
      <c r="I330">
        <f>IFERROR(INDEX(InternalTrades!$G$2:$G$461,MATCH($A330,InternalTrades!$A$2:$A$461,0)),"")</f>
        <v/>
      </c>
      <c r="J330">
        <f>IFERROR(INDEX(ExchangeConfirms!$G$2:$G$460,MATCH($A330,ExchangeConfirms!$A$2:$A$460,0)),"")</f>
        <v/>
      </c>
      <c r="K330">
        <f>IFERROR(INDEX(InternalTrades!$H$2:$H$461,MATCH($A330,InternalTrades!$A$2:$A$461,0)),"")</f>
        <v/>
      </c>
      <c r="L330">
        <f>IFERROR(INDEX(ExchangeConfirms!$H$2:$H$460,MATCH($A330,ExchangeConfirms!$A$2:$A$460,0)),"")</f>
        <v/>
      </c>
      <c r="M330">
        <f>IFERROR(INDEX(InternalTrades!$J$2:$J$461,MATCH($A330,InternalTrades!$A$2:$A$461,0)),"")</f>
        <v/>
      </c>
      <c r="N330">
        <f>IFERROR(INDEX(ExchangeConfirms!$J$2:$J$460,MATCH($A330,ExchangeConfirms!$A$2:$A$460,0)),"")</f>
        <v/>
      </c>
      <c r="O330">
        <f>IFERROR(INDEX(InternalTrades!$I$2:$I$461,MATCH($A330,InternalTrades!$A$2:$A$461,0)),"")</f>
        <v/>
      </c>
      <c r="P330">
        <f>IFERROR(INDEX(ExchangeConfirms!$I$2:$I$460,MATCH($A330,ExchangeConfirms!$A$2:$A$460,0)),"")</f>
        <v/>
      </c>
      <c r="Q330">
        <f>IF(AND($E330=1,$F330=0),"MISSING IN EXCHANGE",IF(AND($E330=0,$F330=1),"MISSING IN INTERNAL",IF($G330&lt;&gt;$H330,"SIDE BREAK",IF($I330&lt;&gt;$J330,"QTY BREAK",IF(ABS($K330-$L330)&gt;0.005,"PRICE BREAK",IF(ABS($M330-$N330)&gt;0.01,"FEE BREAK","MATCHED"))))))</f>
        <v/>
      </c>
      <c r="R330">
        <f>IF($Q330="MATCHED",0,1)</f>
        <v/>
      </c>
      <c r="S330">
        <f>IF($Q330="MATCHED",0,IF($Q330="MISSING IN EXCHANGE",$O330,IF($Q330="MISSING IN INTERNAL",$P330,ABS(N($O330)-N($P330)))))</f>
        <v/>
      </c>
    </row>
    <row r="331">
      <c r="A331" t="inlineStr">
        <is>
          <t>T100330</t>
        </is>
      </c>
      <c r="B331">
        <f>IFERROR(INDEX(InternalTrades!$D$2:$D$461,MATCH($A331,InternalTrades!$A$2:$A$461,0)),INDEX(ExchangeConfirms!$D$2:$D$460,MATCH($A331,ExchangeConfirms!$A$2:$A$460,0)))</f>
        <v/>
      </c>
      <c r="C331">
        <f>IFERROR(INDEX(InternalTrades!$E$2:$E$461,MATCH($A331,InternalTrades!$A$2:$A$461,0)),INDEX(ExchangeConfirms!$E$2:$E$460,MATCH($A331,ExchangeConfirms!$A$2:$A$460,0)))</f>
        <v/>
      </c>
      <c r="D331">
        <f>IFERROR(INDEX(InternalTrades!$K$2:$K$461,MATCH($A331,InternalTrades!$A$2:$A$461,0)),INDEX(ExchangeConfirms!$K$2:$K$460,MATCH($A331,ExchangeConfirms!$A$2:$A$460,0)))</f>
        <v/>
      </c>
      <c r="E331">
        <f>IF(COUNTIF(InternalTrades!$A$2:$A$461,$A331)&gt;0,1,0)</f>
        <v/>
      </c>
      <c r="F331">
        <f>IF(COUNTIF(ExchangeConfirms!$A$2:$A$460,$A331)&gt;0,1,0)</f>
        <v/>
      </c>
      <c r="G331">
        <f>IFERROR(INDEX(InternalTrades!$F$2:$F$461,MATCH($A331,InternalTrades!$A$2:$A$461,0)),"")</f>
        <v/>
      </c>
      <c r="H331">
        <f>IFERROR(INDEX(ExchangeConfirms!$F$2:$F$460,MATCH($A331,ExchangeConfirms!$A$2:$A$460,0)),"")</f>
        <v/>
      </c>
      <c r="I331">
        <f>IFERROR(INDEX(InternalTrades!$G$2:$G$461,MATCH($A331,InternalTrades!$A$2:$A$461,0)),"")</f>
        <v/>
      </c>
      <c r="J331">
        <f>IFERROR(INDEX(ExchangeConfirms!$G$2:$G$460,MATCH($A331,ExchangeConfirms!$A$2:$A$460,0)),"")</f>
        <v/>
      </c>
      <c r="K331">
        <f>IFERROR(INDEX(InternalTrades!$H$2:$H$461,MATCH($A331,InternalTrades!$A$2:$A$461,0)),"")</f>
        <v/>
      </c>
      <c r="L331">
        <f>IFERROR(INDEX(ExchangeConfirms!$H$2:$H$460,MATCH($A331,ExchangeConfirms!$A$2:$A$460,0)),"")</f>
        <v/>
      </c>
      <c r="M331">
        <f>IFERROR(INDEX(InternalTrades!$J$2:$J$461,MATCH($A331,InternalTrades!$A$2:$A$461,0)),"")</f>
        <v/>
      </c>
      <c r="N331">
        <f>IFERROR(INDEX(ExchangeConfirms!$J$2:$J$460,MATCH($A331,ExchangeConfirms!$A$2:$A$460,0)),"")</f>
        <v/>
      </c>
      <c r="O331">
        <f>IFERROR(INDEX(InternalTrades!$I$2:$I$461,MATCH($A331,InternalTrades!$A$2:$A$461,0)),"")</f>
        <v/>
      </c>
      <c r="P331">
        <f>IFERROR(INDEX(ExchangeConfirms!$I$2:$I$460,MATCH($A331,ExchangeConfirms!$A$2:$A$460,0)),"")</f>
        <v/>
      </c>
      <c r="Q331">
        <f>IF(AND($E331=1,$F331=0),"MISSING IN EXCHANGE",IF(AND($E331=0,$F331=1),"MISSING IN INTERNAL",IF($G331&lt;&gt;$H331,"SIDE BREAK",IF($I331&lt;&gt;$J331,"QTY BREAK",IF(ABS($K331-$L331)&gt;0.005,"PRICE BREAK",IF(ABS($M331-$N331)&gt;0.01,"FEE BREAK","MATCHED"))))))</f>
        <v/>
      </c>
      <c r="R331">
        <f>IF($Q331="MATCHED",0,1)</f>
        <v/>
      </c>
      <c r="S331">
        <f>IF($Q331="MATCHED",0,IF($Q331="MISSING IN EXCHANGE",$O331,IF($Q331="MISSING IN INTERNAL",$P331,ABS(N($O331)-N($P331)))))</f>
        <v/>
      </c>
    </row>
    <row r="332">
      <c r="A332" t="inlineStr">
        <is>
          <t>T100331</t>
        </is>
      </c>
      <c r="B332">
        <f>IFERROR(INDEX(InternalTrades!$D$2:$D$461,MATCH($A332,InternalTrades!$A$2:$A$461,0)),INDEX(ExchangeConfirms!$D$2:$D$460,MATCH($A332,ExchangeConfirms!$A$2:$A$460,0)))</f>
        <v/>
      </c>
      <c r="C332">
        <f>IFERROR(INDEX(InternalTrades!$E$2:$E$461,MATCH($A332,InternalTrades!$A$2:$A$461,0)),INDEX(ExchangeConfirms!$E$2:$E$460,MATCH($A332,ExchangeConfirms!$A$2:$A$460,0)))</f>
        <v/>
      </c>
      <c r="D332">
        <f>IFERROR(INDEX(InternalTrades!$K$2:$K$461,MATCH($A332,InternalTrades!$A$2:$A$461,0)),INDEX(ExchangeConfirms!$K$2:$K$460,MATCH($A332,ExchangeConfirms!$A$2:$A$460,0)))</f>
        <v/>
      </c>
      <c r="E332">
        <f>IF(COUNTIF(InternalTrades!$A$2:$A$461,$A332)&gt;0,1,0)</f>
        <v/>
      </c>
      <c r="F332">
        <f>IF(COUNTIF(ExchangeConfirms!$A$2:$A$460,$A332)&gt;0,1,0)</f>
        <v/>
      </c>
      <c r="G332">
        <f>IFERROR(INDEX(InternalTrades!$F$2:$F$461,MATCH($A332,InternalTrades!$A$2:$A$461,0)),"")</f>
        <v/>
      </c>
      <c r="H332">
        <f>IFERROR(INDEX(ExchangeConfirms!$F$2:$F$460,MATCH($A332,ExchangeConfirms!$A$2:$A$460,0)),"")</f>
        <v/>
      </c>
      <c r="I332">
        <f>IFERROR(INDEX(InternalTrades!$G$2:$G$461,MATCH($A332,InternalTrades!$A$2:$A$461,0)),"")</f>
        <v/>
      </c>
      <c r="J332">
        <f>IFERROR(INDEX(ExchangeConfirms!$G$2:$G$460,MATCH($A332,ExchangeConfirms!$A$2:$A$460,0)),"")</f>
        <v/>
      </c>
      <c r="K332">
        <f>IFERROR(INDEX(InternalTrades!$H$2:$H$461,MATCH($A332,InternalTrades!$A$2:$A$461,0)),"")</f>
        <v/>
      </c>
      <c r="L332">
        <f>IFERROR(INDEX(ExchangeConfirms!$H$2:$H$460,MATCH($A332,ExchangeConfirms!$A$2:$A$460,0)),"")</f>
        <v/>
      </c>
      <c r="M332">
        <f>IFERROR(INDEX(InternalTrades!$J$2:$J$461,MATCH($A332,InternalTrades!$A$2:$A$461,0)),"")</f>
        <v/>
      </c>
      <c r="N332">
        <f>IFERROR(INDEX(ExchangeConfirms!$J$2:$J$460,MATCH($A332,ExchangeConfirms!$A$2:$A$460,0)),"")</f>
        <v/>
      </c>
      <c r="O332">
        <f>IFERROR(INDEX(InternalTrades!$I$2:$I$461,MATCH($A332,InternalTrades!$A$2:$A$461,0)),"")</f>
        <v/>
      </c>
      <c r="P332">
        <f>IFERROR(INDEX(ExchangeConfirms!$I$2:$I$460,MATCH($A332,ExchangeConfirms!$A$2:$A$460,0)),"")</f>
        <v/>
      </c>
      <c r="Q332">
        <f>IF(AND($E332=1,$F332=0),"MISSING IN EXCHANGE",IF(AND($E332=0,$F332=1),"MISSING IN INTERNAL",IF($G332&lt;&gt;$H332,"SIDE BREAK",IF($I332&lt;&gt;$J332,"QTY BREAK",IF(ABS($K332-$L332)&gt;0.005,"PRICE BREAK",IF(ABS($M332-$N332)&gt;0.01,"FEE BREAK","MATCHED"))))))</f>
        <v/>
      </c>
      <c r="R332">
        <f>IF($Q332="MATCHED",0,1)</f>
        <v/>
      </c>
      <c r="S332">
        <f>IF($Q332="MATCHED",0,IF($Q332="MISSING IN EXCHANGE",$O332,IF($Q332="MISSING IN INTERNAL",$P332,ABS(N($O332)-N($P332)))))</f>
        <v/>
      </c>
    </row>
    <row r="333">
      <c r="A333" t="inlineStr">
        <is>
          <t>T100332</t>
        </is>
      </c>
      <c r="B333">
        <f>IFERROR(INDEX(InternalTrades!$D$2:$D$461,MATCH($A333,InternalTrades!$A$2:$A$461,0)),INDEX(ExchangeConfirms!$D$2:$D$460,MATCH($A333,ExchangeConfirms!$A$2:$A$460,0)))</f>
        <v/>
      </c>
      <c r="C333">
        <f>IFERROR(INDEX(InternalTrades!$E$2:$E$461,MATCH($A333,InternalTrades!$A$2:$A$461,0)),INDEX(ExchangeConfirms!$E$2:$E$460,MATCH($A333,ExchangeConfirms!$A$2:$A$460,0)))</f>
        <v/>
      </c>
      <c r="D333">
        <f>IFERROR(INDEX(InternalTrades!$K$2:$K$461,MATCH($A333,InternalTrades!$A$2:$A$461,0)),INDEX(ExchangeConfirms!$K$2:$K$460,MATCH($A333,ExchangeConfirms!$A$2:$A$460,0)))</f>
        <v/>
      </c>
      <c r="E333">
        <f>IF(COUNTIF(InternalTrades!$A$2:$A$461,$A333)&gt;0,1,0)</f>
        <v/>
      </c>
      <c r="F333">
        <f>IF(COUNTIF(ExchangeConfirms!$A$2:$A$460,$A333)&gt;0,1,0)</f>
        <v/>
      </c>
      <c r="G333">
        <f>IFERROR(INDEX(InternalTrades!$F$2:$F$461,MATCH($A333,InternalTrades!$A$2:$A$461,0)),"")</f>
        <v/>
      </c>
      <c r="H333">
        <f>IFERROR(INDEX(ExchangeConfirms!$F$2:$F$460,MATCH($A333,ExchangeConfirms!$A$2:$A$460,0)),"")</f>
        <v/>
      </c>
      <c r="I333">
        <f>IFERROR(INDEX(InternalTrades!$G$2:$G$461,MATCH($A333,InternalTrades!$A$2:$A$461,0)),"")</f>
        <v/>
      </c>
      <c r="J333">
        <f>IFERROR(INDEX(ExchangeConfirms!$G$2:$G$460,MATCH($A333,ExchangeConfirms!$A$2:$A$460,0)),"")</f>
        <v/>
      </c>
      <c r="K333">
        <f>IFERROR(INDEX(InternalTrades!$H$2:$H$461,MATCH($A333,InternalTrades!$A$2:$A$461,0)),"")</f>
        <v/>
      </c>
      <c r="L333">
        <f>IFERROR(INDEX(ExchangeConfirms!$H$2:$H$460,MATCH($A333,ExchangeConfirms!$A$2:$A$460,0)),"")</f>
        <v/>
      </c>
      <c r="M333">
        <f>IFERROR(INDEX(InternalTrades!$J$2:$J$461,MATCH($A333,InternalTrades!$A$2:$A$461,0)),"")</f>
        <v/>
      </c>
      <c r="N333">
        <f>IFERROR(INDEX(ExchangeConfirms!$J$2:$J$460,MATCH($A333,ExchangeConfirms!$A$2:$A$460,0)),"")</f>
        <v/>
      </c>
      <c r="O333">
        <f>IFERROR(INDEX(InternalTrades!$I$2:$I$461,MATCH($A333,InternalTrades!$A$2:$A$461,0)),"")</f>
        <v/>
      </c>
      <c r="P333">
        <f>IFERROR(INDEX(ExchangeConfirms!$I$2:$I$460,MATCH($A333,ExchangeConfirms!$A$2:$A$460,0)),"")</f>
        <v/>
      </c>
      <c r="Q333">
        <f>IF(AND($E333=1,$F333=0),"MISSING IN EXCHANGE",IF(AND($E333=0,$F333=1),"MISSING IN INTERNAL",IF($G333&lt;&gt;$H333,"SIDE BREAK",IF($I333&lt;&gt;$J333,"QTY BREAK",IF(ABS($K333-$L333)&gt;0.005,"PRICE BREAK",IF(ABS($M333-$N333)&gt;0.01,"FEE BREAK","MATCHED"))))))</f>
        <v/>
      </c>
      <c r="R333">
        <f>IF($Q333="MATCHED",0,1)</f>
        <v/>
      </c>
      <c r="S333">
        <f>IF($Q333="MATCHED",0,IF($Q333="MISSING IN EXCHANGE",$O333,IF($Q333="MISSING IN INTERNAL",$P333,ABS(N($O333)-N($P333)))))</f>
        <v/>
      </c>
    </row>
    <row r="334">
      <c r="A334" t="inlineStr">
        <is>
          <t>T100333</t>
        </is>
      </c>
      <c r="B334">
        <f>IFERROR(INDEX(InternalTrades!$D$2:$D$461,MATCH($A334,InternalTrades!$A$2:$A$461,0)),INDEX(ExchangeConfirms!$D$2:$D$460,MATCH($A334,ExchangeConfirms!$A$2:$A$460,0)))</f>
        <v/>
      </c>
      <c r="C334">
        <f>IFERROR(INDEX(InternalTrades!$E$2:$E$461,MATCH($A334,InternalTrades!$A$2:$A$461,0)),INDEX(ExchangeConfirms!$E$2:$E$460,MATCH($A334,ExchangeConfirms!$A$2:$A$460,0)))</f>
        <v/>
      </c>
      <c r="D334">
        <f>IFERROR(INDEX(InternalTrades!$K$2:$K$461,MATCH($A334,InternalTrades!$A$2:$A$461,0)),INDEX(ExchangeConfirms!$K$2:$K$460,MATCH($A334,ExchangeConfirms!$A$2:$A$460,0)))</f>
        <v/>
      </c>
      <c r="E334">
        <f>IF(COUNTIF(InternalTrades!$A$2:$A$461,$A334)&gt;0,1,0)</f>
        <v/>
      </c>
      <c r="F334">
        <f>IF(COUNTIF(ExchangeConfirms!$A$2:$A$460,$A334)&gt;0,1,0)</f>
        <v/>
      </c>
      <c r="G334">
        <f>IFERROR(INDEX(InternalTrades!$F$2:$F$461,MATCH($A334,InternalTrades!$A$2:$A$461,0)),"")</f>
        <v/>
      </c>
      <c r="H334">
        <f>IFERROR(INDEX(ExchangeConfirms!$F$2:$F$460,MATCH($A334,ExchangeConfirms!$A$2:$A$460,0)),"")</f>
        <v/>
      </c>
      <c r="I334">
        <f>IFERROR(INDEX(InternalTrades!$G$2:$G$461,MATCH($A334,InternalTrades!$A$2:$A$461,0)),"")</f>
        <v/>
      </c>
      <c r="J334">
        <f>IFERROR(INDEX(ExchangeConfirms!$G$2:$G$460,MATCH($A334,ExchangeConfirms!$A$2:$A$460,0)),"")</f>
        <v/>
      </c>
      <c r="K334">
        <f>IFERROR(INDEX(InternalTrades!$H$2:$H$461,MATCH($A334,InternalTrades!$A$2:$A$461,0)),"")</f>
        <v/>
      </c>
      <c r="L334">
        <f>IFERROR(INDEX(ExchangeConfirms!$H$2:$H$460,MATCH($A334,ExchangeConfirms!$A$2:$A$460,0)),"")</f>
        <v/>
      </c>
      <c r="M334">
        <f>IFERROR(INDEX(InternalTrades!$J$2:$J$461,MATCH($A334,InternalTrades!$A$2:$A$461,0)),"")</f>
        <v/>
      </c>
      <c r="N334">
        <f>IFERROR(INDEX(ExchangeConfirms!$J$2:$J$460,MATCH($A334,ExchangeConfirms!$A$2:$A$460,0)),"")</f>
        <v/>
      </c>
      <c r="O334">
        <f>IFERROR(INDEX(InternalTrades!$I$2:$I$461,MATCH($A334,InternalTrades!$A$2:$A$461,0)),"")</f>
        <v/>
      </c>
      <c r="P334">
        <f>IFERROR(INDEX(ExchangeConfirms!$I$2:$I$460,MATCH($A334,ExchangeConfirms!$A$2:$A$460,0)),"")</f>
        <v/>
      </c>
      <c r="Q334">
        <f>IF(AND($E334=1,$F334=0),"MISSING IN EXCHANGE",IF(AND($E334=0,$F334=1),"MISSING IN INTERNAL",IF($G334&lt;&gt;$H334,"SIDE BREAK",IF($I334&lt;&gt;$J334,"QTY BREAK",IF(ABS($K334-$L334)&gt;0.005,"PRICE BREAK",IF(ABS($M334-$N334)&gt;0.01,"FEE BREAK","MATCHED"))))))</f>
        <v/>
      </c>
      <c r="R334">
        <f>IF($Q334="MATCHED",0,1)</f>
        <v/>
      </c>
      <c r="S334">
        <f>IF($Q334="MATCHED",0,IF($Q334="MISSING IN EXCHANGE",$O334,IF($Q334="MISSING IN INTERNAL",$P334,ABS(N($O334)-N($P334)))))</f>
        <v/>
      </c>
    </row>
    <row r="335">
      <c r="A335" t="inlineStr">
        <is>
          <t>T100334</t>
        </is>
      </c>
      <c r="B335">
        <f>IFERROR(INDEX(InternalTrades!$D$2:$D$461,MATCH($A335,InternalTrades!$A$2:$A$461,0)),INDEX(ExchangeConfirms!$D$2:$D$460,MATCH($A335,ExchangeConfirms!$A$2:$A$460,0)))</f>
        <v/>
      </c>
      <c r="C335">
        <f>IFERROR(INDEX(InternalTrades!$E$2:$E$461,MATCH($A335,InternalTrades!$A$2:$A$461,0)),INDEX(ExchangeConfirms!$E$2:$E$460,MATCH($A335,ExchangeConfirms!$A$2:$A$460,0)))</f>
        <v/>
      </c>
      <c r="D335">
        <f>IFERROR(INDEX(InternalTrades!$K$2:$K$461,MATCH($A335,InternalTrades!$A$2:$A$461,0)),INDEX(ExchangeConfirms!$K$2:$K$460,MATCH($A335,ExchangeConfirms!$A$2:$A$460,0)))</f>
        <v/>
      </c>
      <c r="E335">
        <f>IF(COUNTIF(InternalTrades!$A$2:$A$461,$A335)&gt;0,1,0)</f>
        <v/>
      </c>
      <c r="F335">
        <f>IF(COUNTIF(ExchangeConfirms!$A$2:$A$460,$A335)&gt;0,1,0)</f>
        <v/>
      </c>
      <c r="G335">
        <f>IFERROR(INDEX(InternalTrades!$F$2:$F$461,MATCH($A335,InternalTrades!$A$2:$A$461,0)),"")</f>
        <v/>
      </c>
      <c r="H335">
        <f>IFERROR(INDEX(ExchangeConfirms!$F$2:$F$460,MATCH($A335,ExchangeConfirms!$A$2:$A$460,0)),"")</f>
        <v/>
      </c>
      <c r="I335">
        <f>IFERROR(INDEX(InternalTrades!$G$2:$G$461,MATCH($A335,InternalTrades!$A$2:$A$461,0)),"")</f>
        <v/>
      </c>
      <c r="J335">
        <f>IFERROR(INDEX(ExchangeConfirms!$G$2:$G$460,MATCH($A335,ExchangeConfirms!$A$2:$A$460,0)),"")</f>
        <v/>
      </c>
      <c r="K335">
        <f>IFERROR(INDEX(InternalTrades!$H$2:$H$461,MATCH($A335,InternalTrades!$A$2:$A$461,0)),"")</f>
        <v/>
      </c>
      <c r="L335">
        <f>IFERROR(INDEX(ExchangeConfirms!$H$2:$H$460,MATCH($A335,ExchangeConfirms!$A$2:$A$460,0)),"")</f>
        <v/>
      </c>
      <c r="M335">
        <f>IFERROR(INDEX(InternalTrades!$J$2:$J$461,MATCH($A335,InternalTrades!$A$2:$A$461,0)),"")</f>
        <v/>
      </c>
      <c r="N335">
        <f>IFERROR(INDEX(ExchangeConfirms!$J$2:$J$460,MATCH($A335,ExchangeConfirms!$A$2:$A$460,0)),"")</f>
        <v/>
      </c>
      <c r="O335">
        <f>IFERROR(INDEX(InternalTrades!$I$2:$I$461,MATCH($A335,InternalTrades!$A$2:$A$461,0)),"")</f>
        <v/>
      </c>
      <c r="P335">
        <f>IFERROR(INDEX(ExchangeConfirms!$I$2:$I$460,MATCH($A335,ExchangeConfirms!$A$2:$A$460,0)),"")</f>
        <v/>
      </c>
      <c r="Q335">
        <f>IF(AND($E335=1,$F335=0),"MISSING IN EXCHANGE",IF(AND($E335=0,$F335=1),"MISSING IN INTERNAL",IF($G335&lt;&gt;$H335,"SIDE BREAK",IF($I335&lt;&gt;$J335,"QTY BREAK",IF(ABS($K335-$L335)&gt;0.005,"PRICE BREAK",IF(ABS($M335-$N335)&gt;0.01,"FEE BREAK","MATCHED"))))))</f>
        <v/>
      </c>
      <c r="R335">
        <f>IF($Q335="MATCHED",0,1)</f>
        <v/>
      </c>
      <c r="S335">
        <f>IF($Q335="MATCHED",0,IF($Q335="MISSING IN EXCHANGE",$O335,IF($Q335="MISSING IN INTERNAL",$P335,ABS(N($O335)-N($P335)))))</f>
        <v/>
      </c>
    </row>
    <row r="336">
      <c r="A336" t="inlineStr">
        <is>
          <t>T100335</t>
        </is>
      </c>
      <c r="B336">
        <f>IFERROR(INDEX(InternalTrades!$D$2:$D$461,MATCH($A336,InternalTrades!$A$2:$A$461,0)),INDEX(ExchangeConfirms!$D$2:$D$460,MATCH($A336,ExchangeConfirms!$A$2:$A$460,0)))</f>
        <v/>
      </c>
      <c r="C336">
        <f>IFERROR(INDEX(InternalTrades!$E$2:$E$461,MATCH($A336,InternalTrades!$A$2:$A$461,0)),INDEX(ExchangeConfirms!$E$2:$E$460,MATCH($A336,ExchangeConfirms!$A$2:$A$460,0)))</f>
        <v/>
      </c>
      <c r="D336">
        <f>IFERROR(INDEX(InternalTrades!$K$2:$K$461,MATCH($A336,InternalTrades!$A$2:$A$461,0)),INDEX(ExchangeConfirms!$K$2:$K$460,MATCH($A336,ExchangeConfirms!$A$2:$A$460,0)))</f>
        <v/>
      </c>
      <c r="E336">
        <f>IF(COUNTIF(InternalTrades!$A$2:$A$461,$A336)&gt;0,1,0)</f>
        <v/>
      </c>
      <c r="F336">
        <f>IF(COUNTIF(ExchangeConfirms!$A$2:$A$460,$A336)&gt;0,1,0)</f>
        <v/>
      </c>
      <c r="G336">
        <f>IFERROR(INDEX(InternalTrades!$F$2:$F$461,MATCH($A336,InternalTrades!$A$2:$A$461,0)),"")</f>
        <v/>
      </c>
      <c r="H336">
        <f>IFERROR(INDEX(ExchangeConfirms!$F$2:$F$460,MATCH($A336,ExchangeConfirms!$A$2:$A$460,0)),"")</f>
        <v/>
      </c>
      <c r="I336">
        <f>IFERROR(INDEX(InternalTrades!$G$2:$G$461,MATCH($A336,InternalTrades!$A$2:$A$461,0)),"")</f>
        <v/>
      </c>
      <c r="J336">
        <f>IFERROR(INDEX(ExchangeConfirms!$G$2:$G$460,MATCH($A336,ExchangeConfirms!$A$2:$A$460,0)),"")</f>
        <v/>
      </c>
      <c r="K336">
        <f>IFERROR(INDEX(InternalTrades!$H$2:$H$461,MATCH($A336,InternalTrades!$A$2:$A$461,0)),"")</f>
        <v/>
      </c>
      <c r="L336">
        <f>IFERROR(INDEX(ExchangeConfirms!$H$2:$H$460,MATCH($A336,ExchangeConfirms!$A$2:$A$460,0)),"")</f>
        <v/>
      </c>
      <c r="M336">
        <f>IFERROR(INDEX(InternalTrades!$J$2:$J$461,MATCH($A336,InternalTrades!$A$2:$A$461,0)),"")</f>
        <v/>
      </c>
      <c r="N336">
        <f>IFERROR(INDEX(ExchangeConfirms!$J$2:$J$460,MATCH($A336,ExchangeConfirms!$A$2:$A$460,0)),"")</f>
        <v/>
      </c>
      <c r="O336">
        <f>IFERROR(INDEX(InternalTrades!$I$2:$I$461,MATCH($A336,InternalTrades!$A$2:$A$461,0)),"")</f>
        <v/>
      </c>
      <c r="P336">
        <f>IFERROR(INDEX(ExchangeConfirms!$I$2:$I$460,MATCH($A336,ExchangeConfirms!$A$2:$A$460,0)),"")</f>
        <v/>
      </c>
      <c r="Q336">
        <f>IF(AND($E336=1,$F336=0),"MISSING IN EXCHANGE",IF(AND($E336=0,$F336=1),"MISSING IN INTERNAL",IF($G336&lt;&gt;$H336,"SIDE BREAK",IF($I336&lt;&gt;$J336,"QTY BREAK",IF(ABS($K336-$L336)&gt;0.005,"PRICE BREAK",IF(ABS($M336-$N336)&gt;0.01,"FEE BREAK","MATCHED"))))))</f>
        <v/>
      </c>
      <c r="R336">
        <f>IF($Q336="MATCHED",0,1)</f>
        <v/>
      </c>
      <c r="S336">
        <f>IF($Q336="MATCHED",0,IF($Q336="MISSING IN EXCHANGE",$O336,IF($Q336="MISSING IN INTERNAL",$P336,ABS(N($O336)-N($P336)))))</f>
        <v/>
      </c>
    </row>
    <row r="337">
      <c r="A337" t="inlineStr">
        <is>
          <t>T100336</t>
        </is>
      </c>
      <c r="B337">
        <f>IFERROR(INDEX(InternalTrades!$D$2:$D$461,MATCH($A337,InternalTrades!$A$2:$A$461,0)),INDEX(ExchangeConfirms!$D$2:$D$460,MATCH($A337,ExchangeConfirms!$A$2:$A$460,0)))</f>
        <v/>
      </c>
      <c r="C337">
        <f>IFERROR(INDEX(InternalTrades!$E$2:$E$461,MATCH($A337,InternalTrades!$A$2:$A$461,0)),INDEX(ExchangeConfirms!$E$2:$E$460,MATCH($A337,ExchangeConfirms!$A$2:$A$460,0)))</f>
        <v/>
      </c>
      <c r="D337">
        <f>IFERROR(INDEX(InternalTrades!$K$2:$K$461,MATCH($A337,InternalTrades!$A$2:$A$461,0)),INDEX(ExchangeConfirms!$K$2:$K$460,MATCH($A337,ExchangeConfirms!$A$2:$A$460,0)))</f>
        <v/>
      </c>
      <c r="E337">
        <f>IF(COUNTIF(InternalTrades!$A$2:$A$461,$A337)&gt;0,1,0)</f>
        <v/>
      </c>
      <c r="F337">
        <f>IF(COUNTIF(ExchangeConfirms!$A$2:$A$460,$A337)&gt;0,1,0)</f>
        <v/>
      </c>
      <c r="G337">
        <f>IFERROR(INDEX(InternalTrades!$F$2:$F$461,MATCH($A337,InternalTrades!$A$2:$A$461,0)),"")</f>
        <v/>
      </c>
      <c r="H337">
        <f>IFERROR(INDEX(ExchangeConfirms!$F$2:$F$460,MATCH($A337,ExchangeConfirms!$A$2:$A$460,0)),"")</f>
        <v/>
      </c>
      <c r="I337">
        <f>IFERROR(INDEX(InternalTrades!$G$2:$G$461,MATCH($A337,InternalTrades!$A$2:$A$461,0)),"")</f>
        <v/>
      </c>
      <c r="J337">
        <f>IFERROR(INDEX(ExchangeConfirms!$G$2:$G$460,MATCH($A337,ExchangeConfirms!$A$2:$A$460,0)),"")</f>
        <v/>
      </c>
      <c r="K337">
        <f>IFERROR(INDEX(InternalTrades!$H$2:$H$461,MATCH($A337,InternalTrades!$A$2:$A$461,0)),"")</f>
        <v/>
      </c>
      <c r="L337">
        <f>IFERROR(INDEX(ExchangeConfirms!$H$2:$H$460,MATCH($A337,ExchangeConfirms!$A$2:$A$460,0)),"")</f>
        <v/>
      </c>
      <c r="M337">
        <f>IFERROR(INDEX(InternalTrades!$J$2:$J$461,MATCH($A337,InternalTrades!$A$2:$A$461,0)),"")</f>
        <v/>
      </c>
      <c r="N337">
        <f>IFERROR(INDEX(ExchangeConfirms!$J$2:$J$460,MATCH($A337,ExchangeConfirms!$A$2:$A$460,0)),"")</f>
        <v/>
      </c>
      <c r="O337">
        <f>IFERROR(INDEX(InternalTrades!$I$2:$I$461,MATCH($A337,InternalTrades!$A$2:$A$461,0)),"")</f>
        <v/>
      </c>
      <c r="P337">
        <f>IFERROR(INDEX(ExchangeConfirms!$I$2:$I$460,MATCH($A337,ExchangeConfirms!$A$2:$A$460,0)),"")</f>
        <v/>
      </c>
      <c r="Q337">
        <f>IF(AND($E337=1,$F337=0),"MISSING IN EXCHANGE",IF(AND($E337=0,$F337=1),"MISSING IN INTERNAL",IF($G337&lt;&gt;$H337,"SIDE BREAK",IF($I337&lt;&gt;$J337,"QTY BREAK",IF(ABS($K337-$L337)&gt;0.005,"PRICE BREAK",IF(ABS($M337-$N337)&gt;0.01,"FEE BREAK","MATCHED"))))))</f>
        <v/>
      </c>
      <c r="R337">
        <f>IF($Q337="MATCHED",0,1)</f>
        <v/>
      </c>
      <c r="S337">
        <f>IF($Q337="MATCHED",0,IF($Q337="MISSING IN EXCHANGE",$O337,IF($Q337="MISSING IN INTERNAL",$P337,ABS(N($O337)-N($P337)))))</f>
        <v/>
      </c>
    </row>
    <row r="338">
      <c r="A338" t="inlineStr">
        <is>
          <t>T100337</t>
        </is>
      </c>
      <c r="B338">
        <f>IFERROR(INDEX(InternalTrades!$D$2:$D$461,MATCH($A338,InternalTrades!$A$2:$A$461,0)),INDEX(ExchangeConfirms!$D$2:$D$460,MATCH($A338,ExchangeConfirms!$A$2:$A$460,0)))</f>
        <v/>
      </c>
      <c r="C338">
        <f>IFERROR(INDEX(InternalTrades!$E$2:$E$461,MATCH($A338,InternalTrades!$A$2:$A$461,0)),INDEX(ExchangeConfirms!$E$2:$E$460,MATCH($A338,ExchangeConfirms!$A$2:$A$460,0)))</f>
        <v/>
      </c>
      <c r="D338">
        <f>IFERROR(INDEX(InternalTrades!$K$2:$K$461,MATCH($A338,InternalTrades!$A$2:$A$461,0)),INDEX(ExchangeConfirms!$K$2:$K$460,MATCH($A338,ExchangeConfirms!$A$2:$A$460,0)))</f>
        <v/>
      </c>
      <c r="E338">
        <f>IF(COUNTIF(InternalTrades!$A$2:$A$461,$A338)&gt;0,1,0)</f>
        <v/>
      </c>
      <c r="F338">
        <f>IF(COUNTIF(ExchangeConfirms!$A$2:$A$460,$A338)&gt;0,1,0)</f>
        <v/>
      </c>
      <c r="G338">
        <f>IFERROR(INDEX(InternalTrades!$F$2:$F$461,MATCH($A338,InternalTrades!$A$2:$A$461,0)),"")</f>
        <v/>
      </c>
      <c r="H338">
        <f>IFERROR(INDEX(ExchangeConfirms!$F$2:$F$460,MATCH($A338,ExchangeConfirms!$A$2:$A$460,0)),"")</f>
        <v/>
      </c>
      <c r="I338">
        <f>IFERROR(INDEX(InternalTrades!$G$2:$G$461,MATCH($A338,InternalTrades!$A$2:$A$461,0)),"")</f>
        <v/>
      </c>
      <c r="J338">
        <f>IFERROR(INDEX(ExchangeConfirms!$G$2:$G$460,MATCH($A338,ExchangeConfirms!$A$2:$A$460,0)),"")</f>
        <v/>
      </c>
      <c r="K338">
        <f>IFERROR(INDEX(InternalTrades!$H$2:$H$461,MATCH($A338,InternalTrades!$A$2:$A$461,0)),"")</f>
        <v/>
      </c>
      <c r="L338">
        <f>IFERROR(INDEX(ExchangeConfirms!$H$2:$H$460,MATCH($A338,ExchangeConfirms!$A$2:$A$460,0)),"")</f>
        <v/>
      </c>
      <c r="M338">
        <f>IFERROR(INDEX(InternalTrades!$J$2:$J$461,MATCH($A338,InternalTrades!$A$2:$A$461,0)),"")</f>
        <v/>
      </c>
      <c r="N338">
        <f>IFERROR(INDEX(ExchangeConfirms!$J$2:$J$460,MATCH($A338,ExchangeConfirms!$A$2:$A$460,0)),"")</f>
        <v/>
      </c>
      <c r="O338">
        <f>IFERROR(INDEX(InternalTrades!$I$2:$I$461,MATCH($A338,InternalTrades!$A$2:$A$461,0)),"")</f>
        <v/>
      </c>
      <c r="P338">
        <f>IFERROR(INDEX(ExchangeConfirms!$I$2:$I$460,MATCH($A338,ExchangeConfirms!$A$2:$A$460,0)),"")</f>
        <v/>
      </c>
      <c r="Q338">
        <f>IF(AND($E338=1,$F338=0),"MISSING IN EXCHANGE",IF(AND($E338=0,$F338=1),"MISSING IN INTERNAL",IF($G338&lt;&gt;$H338,"SIDE BREAK",IF($I338&lt;&gt;$J338,"QTY BREAK",IF(ABS($K338-$L338)&gt;0.005,"PRICE BREAK",IF(ABS($M338-$N338)&gt;0.01,"FEE BREAK","MATCHED"))))))</f>
        <v/>
      </c>
      <c r="R338">
        <f>IF($Q338="MATCHED",0,1)</f>
        <v/>
      </c>
      <c r="S338">
        <f>IF($Q338="MATCHED",0,IF($Q338="MISSING IN EXCHANGE",$O338,IF($Q338="MISSING IN INTERNAL",$P338,ABS(N($O338)-N($P338)))))</f>
        <v/>
      </c>
    </row>
    <row r="339">
      <c r="A339" t="inlineStr">
        <is>
          <t>T100338</t>
        </is>
      </c>
      <c r="B339">
        <f>IFERROR(INDEX(InternalTrades!$D$2:$D$461,MATCH($A339,InternalTrades!$A$2:$A$461,0)),INDEX(ExchangeConfirms!$D$2:$D$460,MATCH($A339,ExchangeConfirms!$A$2:$A$460,0)))</f>
        <v/>
      </c>
      <c r="C339">
        <f>IFERROR(INDEX(InternalTrades!$E$2:$E$461,MATCH($A339,InternalTrades!$A$2:$A$461,0)),INDEX(ExchangeConfirms!$E$2:$E$460,MATCH($A339,ExchangeConfirms!$A$2:$A$460,0)))</f>
        <v/>
      </c>
      <c r="D339">
        <f>IFERROR(INDEX(InternalTrades!$K$2:$K$461,MATCH($A339,InternalTrades!$A$2:$A$461,0)),INDEX(ExchangeConfirms!$K$2:$K$460,MATCH($A339,ExchangeConfirms!$A$2:$A$460,0)))</f>
        <v/>
      </c>
      <c r="E339">
        <f>IF(COUNTIF(InternalTrades!$A$2:$A$461,$A339)&gt;0,1,0)</f>
        <v/>
      </c>
      <c r="F339">
        <f>IF(COUNTIF(ExchangeConfirms!$A$2:$A$460,$A339)&gt;0,1,0)</f>
        <v/>
      </c>
      <c r="G339">
        <f>IFERROR(INDEX(InternalTrades!$F$2:$F$461,MATCH($A339,InternalTrades!$A$2:$A$461,0)),"")</f>
        <v/>
      </c>
      <c r="H339">
        <f>IFERROR(INDEX(ExchangeConfirms!$F$2:$F$460,MATCH($A339,ExchangeConfirms!$A$2:$A$460,0)),"")</f>
        <v/>
      </c>
      <c r="I339">
        <f>IFERROR(INDEX(InternalTrades!$G$2:$G$461,MATCH($A339,InternalTrades!$A$2:$A$461,0)),"")</f>
        <v/>
      </c>
      <c r="J339">
        <f>IFERROR(INDEX(ExchangeConfirms!$G$2:$G$460,MATCH($A339,ExchangeConfirms!$A$2:$A$460,0)),"")</f>
        <v/>
      </c>
      <c r="K339">
        <f>IFERROR(INDEX(InternalTrades!$H$2:$H$461,MATCH($A339,InternalTrades!$A$2:$A$461,0)),"")</f>
        <v/>
      </c>
      <c r="L339">
        <f>IFERROR(INDEX(ExchangeConfirms!$H$2:$H$460,MATCH($A339,ExchangeConfirms!$A$2:$A$460,0)),"")</f>
        <v/>
      </c>
      <c r="M339">
        <f>IFERROR(INDEX(InternalTrades!$J$2:$J$461,MATCH($A339,InternalTrades!$A$2:$A$461,0)),"")</f>
        <v/>
      </c>
      <c r="N339">
        <f>IFERROR(INDEX(ExchangeConfirms!$J$2:$J$460,MATCH($A339,ExchangeConfirms!$A$2:$A$460,0)),"")</f>
        <v/>
      </c>
      <c r="O339">
        <f>IFERROR(INDEX(InternalTrades!$I$2:$I$461,MATCH($A339,InternalTrades!$A$2:$A$461,0)),"")</f>
        <v/>
      </c>
      <c r="P339">
        <f>IFERROR(INDEX(ExchangeConfirms!$I$2:$I$460,MATCH($A339,ExchangeConfirms!$A$2:$A$460,0)),"")</f>
        <v/>
      </c>
      <c r="Q339">
        <f>IF(AND($E339=1,$F339=0),"MISSING IN EXCHANGE",IF(AND($E339=0,$F339=1),"MISSING IN INTERNAL",IF($G339&lt;&gt;$H339,"SIDE BREAK",IF($I339&lt;&gt;$J339,"QTY BREAK",IF(ABS($K339-$L339)&gt;0.005,"PRICE BREAK",IF(ABS($M339-$N339)&gt;0.01,"FEE BREAK","MATCHED"))))))</f>
        <v/>
      </c>
      <c r="R339">
        <f>IF($Q339="MATCHED",0,1)</f>
        <v/>
      </c>
      <c r="S339">
        <f>IF($Q339="MATCHED",0,IF($Q339="MISSING IN EXCHANGE",$O339,IF($Q339="MISSING IN INTERNAL",$P339,ABS(N($O339)-N($P339)))))</f>
        <v/>
      </c>
    </row>
    <row r="340">
      <c r="A340" t="inlineStr">
        <is>
          <t>T100339</t>
        </is>
      </c>
      <c r="B340">
        <f>IFERROR(INDEX(InternalTrades!$D$2:$D$461,MATCH($A340,InternalTrades!$A$2:$A$461,0)),INDEX(ExchangeConfirms!$D$2:$D$460,MATCH($A340,ExchangeConfirms!$A$2:$A$460,0)))</f>
        <v/>
      </c>
      <c r="C340">
        <f>IFERROR(INDEX(InternalTrades!$E$2:$E$461,MATCH($A340,InternalTrades!$A$2:$A$461,0)),INDEX(ExchangeConfirms!$E$2:$E$460,MATCH($A340,ExchangeConfirms!$A$2:$A$460,0)))</f>
        <v/>
      </c>
      <c r="D340">
        <f>IFERROR(INDEX(InternalTrades!$K$2:$K$461,MATCH($A340,InternalTrades!$A$2:$A$461,0)),INDEX(ExchangeConfirms!$K$2:$K$460,MATCH($A340,ExchangeConfirms!$A$2:$A$460,0)))</f>
        <v/>
      </c>
      <c r="E340">
        <f>IF(COUNTIF(InternalTrades!$A$2:$A$461,$A340)&gt;0,1,0)</f>
        <v/>
      </c>
      <c r="F340">
        <f>IF(COUNTIF(ExchangeConfirms!$A$2:$A$460,$A340)&gt;0,1,0)</f>
        <v/>
      </c>
      <c r="G340">
        <f>IFERROR(INDEX(InternalTrades!$F$2:$F$461,MATCH($A340,InternalTrades!$A$2:$A$461,0)),"")</f>
        <v/>
      </c>
      <c r="H340">
        <f>IFERROR(INDEX(ExchangeConfirms!$F$2:$F$460,MATCH($A340,ExchangeConfirms!$A$2:$A$460,0)),"")</f>
        <v/>
      </c>
      <c r="I340">
        <f>IFERROR(INDEX(InternalTrades!$G$2:$G$461,MATCH($A340,InternalTrades!$A$2:$A$461,0)),"")</f>
        <v/>
      </c>
      <c r="J340">
        <f>IFERROR(INDEX(ExchangeConfirms!$G$2:$G$460,MATCH($A340,ExchangeConfirms!$A$2:$A$460,0)),"")</f>
        <v/>
      </c>
      <c r="K340">
        <f>IFERROR(INDEX(InternalTrades!$H$2:$H$461,MATCH($A340,InternalTrades!$A$2:$A$461,0)),"")</f>
        <v/>
      </c>
      <c r="L340">
        <f>IFERROR(INDEX(ExchangeConfirms!$H$2:$H$460,MATCH($A340,ExchangeConfirms!$A$2:$A$460,0)),"")</f>
        <v/>
      </c>
      <c r="M340">
        <f>IFERROR(INDEX(InternalTrades!$J$2:$J$461,MATCH($A340,InternalTrades!$A$2:$A$461,0)),"")</f>
        <v/>
      </c>
      <c r="N340">
        <f>IFERROR(INDEX(ExchangeConfirms!$J$2:$J$460,MATCH($A340,ExchangeConfirms!$A$2:$A$460,0)),"")</f>
        <v/>
      </c>
      <c r="O340">
        <f>IFERROR(INDEX(InternalTrades!$I$2:$I$461,MATCH($A340,InternalTrades!$A$2:$A$461,0)),"")</f>
        <v/>
      </c>
      <c r="P340">
        <f>IFERROR(INDEX(ExchangeConfirms!$I$2:$I$460,MATCH($A340,ExchangeConfirms!$A$2:$A$460,0)),"")</f>
        <v/>
      </c>
      <c r="Q340">
        <f>IF(AND($E340=1,$F340=0),"MISSING IN EXCHANGE",IF(AND($E340=0,$F340=1),"MISSING IN INTERNAL",IF($G340&lt;&gt;$H340,"SIDE BREAK",IF($I340&lt;&gt;$J340,"QTY BREAK",IF(ABS($K340-$L340)&gt;0.005,"PRICE BREAK",IF(ABS($M340-$N340)&gt;0.01,"FEE BREAK","MATCHED"))))))</f>
        <v/>
      </c>
      <c r="R340">
        <f>IF($Q340="MATCHED",0,1)</f>
        <v/>
      </c>
      <c r="S340">
        <f>IF($Q340="MATCHED",0,IF($Q340="MISSING IN EXCHANGE",$O340,IF($Q340="MISSING IN INTERNAL",$P340,ABS(N($O340)-N($P340)))))</f>
        <v/>
      </c>
    </row>
    <row r="341">
      <c r="A341" t="inlineStr">
        <is>
          <t>T100340</t>
        </is>
      </c>
      <c r="B341">
        <f>IFERROR(INDEX(InternalTrades!$D$2:$D$461,MATCH($A341,InternalTrades!$A$2:$A$461,0)),INDEX(ExchangeConfirms!$D$2:$D$460,MATCH($A341,ExchangeConfirms!$A$2:$A$460,0)))</f>
        <v/>
      </c>
      <c r="C341">
        <f>IFERROR(INDEX(InternalTrades!$E$2:$E$461,MATCH($A341,InternalTrades!$A$2:$A$461,0)),INDEX(ExchangeConfirms!$E$2:$E$460,MATCH($A341,ExchangeConfirms!$A$2:$A$460,0)))</f>
        <v/>
      </c>
      <c r="D341">
        <f>IFERROR(INDEX(InternalTrades!$K$2:$K$461,MATCH($A341,InternalTrades!$A$2:$A$461,0)),INDEX(ExchangeConfirms!$K$2:$K$460,MATCH($A341,ExchangeConfirms!$A$2:$A$460,0)))</f>
        <v/>
      </c>
      <c r="E341">
        <f>IF(COUNTIF(InternalTrades!$A$2:$A$461,$A341)&gt;0,1,0)</f>
        <v/>
      </c>
      <c r="F341">
        <f>IF(COUNTIF(ExchangeConfirms!$A$2:$A$460,$A341)&gt;0,1,0)</f>
        <v/>
      </c>
      <c r="G341">
        <f>IFERROR(INDEX(InternalTrades!$F$2:$F$461,MATCH($A341,InternalTrades!$A$2:$A$461,0)),"")</f>
        <v/>
      </c>
      <c r="H341">
        <f>IFERROR(INDEX(ExchangeConfirms!$F$2:$F$460,MATCH($A341,ExchangeConfirms!$A$2:$A$460,0)),"")</f>
        <v/>
      </c>
      <c r="I341">
        <f>IFERROR(INDEX(InternalTrades!$G$2:$G$461,MATCH($A341,InternalTrades!$A$2:$A$461,0)),"")</f>
        <v/>
      </c>
      <c r="J341">
        <f>IFERROR(INDEX(ExchangeConfirms!$G$2:$G$460,MATCH($A341,ExchangeConfirms!$A$2:$A$460,0)),"")</f>
        <v/>
      </c>
      <c r="K341">
        <f>IFERROR(INDEX(InternalTrades!$H$2:$H$461,MATCH($A341,InternalTrades!$A$2:$A$461,0)),"")</f>
        <v/>
      </c>
      <c r="L341">
        <f>IFERROR(INDEX(ExchangeConfirms!$H$2:$H$460,MATCH($A341,ExchangeConfirms!$A$2:$A$460,0)),"")</f>
        <v/>
      </c>
      <c r="M341">
        <f>IFERROR(INDEX(InternalTrades!$J$2:$J$461,MATCH($A341,InternalTrades!$A$2:$A$461,0)),"")</f>
        <v/>
      </c>
      <c r="N341">
        <f>IFERROR(INDEX(ExchangeConfirms!$J$2:$J$460,MATCH($A341,ExchangeConfirms!$A$2:$A$460,0)),"")</f>
        <v/>
      </c>
      <c r="O341">
        <f>IFERROR(INDEX(InternalTrades!$I$2:$I$461,MATCH($A341,InternalTrades!$A$2:$A$461,0)),"")</f>
        <v/>
      </c>
      <c r="P341">
        <f>IFERROR(INDEX(ExchangeConfirms!$I$2:$I$460,MATCH($A341,ExchangeConfirms!$A$2:$A$460,0)),"")</f>
        <v/>
      </c>
      <c r="Q341">
        <f>IF(AND($E341=1,$F341=0),"MISSING IN EXCHANGE",IF(AND($E341=0,$F341=1),"MISSING IN INTERNAL",IF($G341&lt;&gt;$H341,"SIDE BREAK",IF($I341&lt;&gt;$J341,"QTY BREAK",IF(ABS($K341-$L341)&gt;0.005,"PRICE BREAK",IF(ABS($M341-$N341)&gt;0.01,"FEE BREAK","MATCHED"))))))</f>
        <v/>
      </c>
      <c r="R341">
        <f>IF($Q341="MATCHED",0,1)</f>
        <v/>
      </c>
      <c r="S341">
        <f>IF($Q341="MATCHED",0,IF($Q341="MISSING IN EXCHANGE",$O341,IF($Q341="MISSING IN INTERNAL",$P341,ABS(N($O341)-N($P341)))))</f>
        <v/>
      </c>
    </row>
    <row r="342">
      <c r="A342" t="inlineStr">
        <is>
          <t>T100341</t>
        </is>
      </c>
      <c r="B342">
        <f>IFERROR(INDEX(InternalTrades!$D$2:$D$461,MATCH($A342,InternalTrades!$A$2:$A$461,0)),INDEX(ExchangeConfirms!$D$2:$D$460,MATCH($A342,ExchangeConfirms!$A$2:$A$460,0)))</f>
        <v/>
      </c>
      <c r="C342">
        <f>IFERROR(INDEX(InternalTrades!$E$2:$E$461,MATCH($A342,InternalTrades!$A$2:$A$461,0)),INDEX(ExchangeConfirms!$E$2:$E$460,MATCH($A342,ExchangeConfirms!$A$2:$A$460,0)))</f>
        <v/>
      </c>
      <c r="D342">
        <f>IFERROR(INDEX(InternalTrades!$K$2:$K$461,MATCH($A342,InternalTrades!$A$2:$A$461,0)),INDEX(ExchangeConfirms!$K$2:$K$460,MATCH($A342,ExchangeConfirms!$A$2:$A$460,0)))</f>
        <v/>
      </c>
      <c r="E342">
        <f>IF(COUNTIF(InternalTrades!$A$2:$A$461,$A342)&gt;0,1,0)</f>
        <v/>
      </c>
      <c r="F342">
        <f>IF(COUNTIF(ExchangeConfirms!$A$2:$A$460,$A342)&gt;0,1,0)</f>
        <v/>
      </c>
      <c r="G342">
        <f>IFERROR(INDEX(InternalTrades!$F$2:$F$461,MATCH($A342,InternalTrades!$A$2:$A$461,0)),"")</f>
        <v/>
      </c>
      <c r="H342">
        <f>IFERROR(INDEX(ExchangeConfirms!$F$2:$F$460,MATCH($A342,ExchangeConfirms!$A$2:$A$460,0)),"")</f>
        <v/>
      </c>
      <c r="I342">
        <f>IFERROR(INDEX(InternalTrades!$G$2:$G$461,MATCH($A342,InternalTrades!$A$2:$A$461,0)),"")</f>
        <v/>
      </c>
      <c r="J342">
        <f>IFERROR(INDEX(ExchangeConfirms!$G$2:$G$460,MATCH($A342,ExchangeConfirms!$A$2:$A$460,0)),"")</f>
        <v/>
      </c>
      <c r="K342">
        <f>IFERROR(INDEX(InternalTrades!$H$2:$H$461,MATCH($A342,InternalTrades!$A$2:$A$461,0)),"")</f>
        <v/>
      </c>
      <c r="L342">
        <f>IFERROR(INDEX(ExchangeConfirms!$H$2:$H$460,MATCH($A342,ExchangeConfirms!$A$2:$A$460,0)),"")</f>
        <v/>
      </c>
      <c r="M342">
        <f>IFERROR(INDEX(InternalTrades!$J$2:$J$461,MATCH($A342,InternalTrades!$A$2:$A$461,0)),"")</f>
        <v/>
      </c>
      <c r="N342">
        <f>IFERROR(INDEX(ExchangeConfirms!$J$2:$J$460,MATCH($A342,ExchangeConfirms!$A$2:$A$460,0)),"")</f>
        <v/>
      </c>
      <c r="O342">
        <f>IFERROR(INDEX(InternalTrades!$I$2:$I$461,MATCH($A342,InternalTrades!$A$2:$A$461,0)),"")</f>
        <v/>
      </c>
      <c r="P342">
        <f>IFERROR(INDEX(ExchangeConfirms!$I$2:$I$460,MATCH($A342,ExchangeConfirms!$A$2:$A$460,0)),"")</f>
        <v/>
      </c>
      <c r="Q342">
        <f>IF(AND($E342=1,$F342=0),"MISSING IN EXCHANGE",IF(AND($E342=0,$F342=1),"MISSING IN INTERNAL",IF($G342&lt;&gt;$H342,"SIDE BREAK",IF($I342&lt;&gt;$J342,"QTY BREAK",IF(ABS($K342-$L342)&gt;0.005,"PRICE BREAK",IF(ABS($M342-$N342)&gt;0.01,"FEE BREAK","MATCHED"))))))</f>
        <v/>
      </c>
      <c r="R342">
        <f>IF($Q342="MATCHED",0,1)</f>
        <v/>
      </c>
      <c r="S342">
        <f>IF($Q342="MATCHED",0,IF($Q342="MISSING IN EXCHANGE",$O342,IF($Q342="MISSING IN INTERNAL",$P342,ABS(N($O342)-N($P342)))))</f>
        <v/>
      </c>
    </row>
    <row r="343">
      <c r="A343" t="inlineStr">
        <is>
          <t>T100342</t>
        </is>
      </c>
      <c r="B343">
        <f>IFERROR(INDEX(InternalTrades!$D$2:$D$461,MATCH($A343,InternalTrades!$A$2:$A$461,0)),INDEX(ExchangeConfirms!$D$2:$D$460,MATCH($A343,ExchangeConfirms!$A$2:$A$460,0)))</f>
        <v/>
      </c>
      <c r="C343">
        <f>IFERROR(INDEX(InternalTrades!$E$2:$E$461,MATCH($A343,InternalTrades!$A$2:$A$461,0)),INDEX(ExchangeConfirms!$E$2:$E$460,MATCH($A343,ExchangeConfirms!$A$2:$A$460,0)))</f>
        <v/>
      </c>
      <c r="D343">
        <f>IFERROR(INDEX(InternalTrades!$K$2:$K$461,MATCH($A343,InternalTrades!$A$2:$A$461,0)),INDEX(ExchangeConfirms!$K$2:$K$460,MATCH($A343,ExchangeConfirms!$A$2:$A$460,0)))</f>
        <v/>
      </c>
      <c r="E343">
        <f>IF(COUNTIF(InternalTrades!$A$2:$A$461,$A343)&gt;0,1,0)</f>
        <v/>
      </c>
      <c r="F343">
        <f>IF(COUNTIF(ExchangeConfirms!$A$2:$A$460,$A343)&gt;0,1,0)</f>
        <v/>
      </c>
      <c r="G343">
        <f>IFERROR(INDEX(InternalTrades!$F$2:$F$461,MATCH($A343,InternalTrades!$A$2:$A$461,0)),"")</f>
        <v/>
      </c>
      <c r="H343">
        <f>IFERROR(INDEX(ExchangeConfirms!$F$2:$F$460,MATCH($A343,ExchangeConfirms!$A$2:$A$460,0)),"")</f>
        <v/>
      </c>
      <c r="I343">
        <f>IFERROR(INDEX(InternalTrades!$G$2:$G$461,MATCH($A343,InternalTrades!$A$2:$A$461,0)),"")</f>
        <v/>
      </c>
      <c r="J343">
        <f>IFERROR(INDEX(ExchangeConfirms!$G$2:$G$460,MATCH($A343,ExchangeConfirms!$A$2:$A$460,0)),"")</f>
        <v/>
      </c>
      <c r="K343">
        <f>IFERROR(INDEX(InternalTrades!$H$2:$H$461,MATCH($A343,InternalTrades!$A$2:$A$461,0)),"")</f>
        <v/>
      </c>
      <c r="L343">
        <f>IFERROR(INDEX(ExchangeConfirms!$H$2:$H$460,MATCH($A343,ExchangeConfirms!$A$2:$A$460,0)),"")</f>
        <v/>
      </c>
      <c r="M343">
        <f>IFERROR(INDEX(InternalTrades!$J$2:$J$461,MATCH($A343,InternalTrades!$A$2:$A$461,0)),"")</f>
        <v/>
      </c>
      <c r="N343">
        <f>IFERROR(INDEX(ExchangeConfirms!$J$2:$J$460,MATCH($A343,ExchangeConfirms!$A$2:$A$460,0)),"")</f>
        <v/>
      </c>
      <c r="O343">
        <f>IFERROR(INDEX(InternalTrades!$I$2:$I$461,MATCH($A343,InternalTrades!$A$2:$A$461,0)),"")</f>
        <v/>
      </c>
      <c r="P343">
        <f>IFERROR(INDEX(ExchangeConfirms!$I$2:$I$460,MATCH($A343,ExchangeConfirms!$A$2:$A$460,0)),"")</f>
        <v/>
      </c>
      <c r="Q343">
        <f>IF(AND($E343=1,$F343=0),"MISSING IN EXCHANGE",IF(AND($E343=0,$F343=1),"MISSING IN INTERNAL",IF($G343&lt;&gt;$H343,"SIDE BREAK",IF($I343&lt;&gt;$J343,"QTY BREAK",IF(ABS($K343-$L343)&gt;0.005,"PRICE BREAK",IF(ABS($M343-$N343)&gt;0.01,"FEE BREAK","MATCHED"))))))</f>
        <v/>
      </c>
      <c r="R343">
        <f>IF($Q343="MATCHED",0,1)</f>
        <v/>
      </c>
      <c r="S343">
        <f>IF($Q343="MATCHED",0,IF($Q343="MISSING IN EXCHANGE",$O343,IF($Q343="MISSING IN INTERNAL",$P343,ABS(N($O343)-N($P343)))))</f>
        <v/>
      </c>
    </row>
    <row r="344">
      <c r="A344" t="inlineStr">
        <is>
          <t>T100343</t>
        </is>
      </c>
      <c r="B344">
        <f>IFERROR(INDEX(InternalTrades!$D$2:$D$461,MATCH($A344,InternalTrades!$A$2:$A$461,0)),INDEX(ExchangeConfirms!$D$2:$D$460,MATCH($A344,ExchangeConfirms!$A$2:$A$460,0)))</f>
        <v/>
      </c>
      <c r="C344">
        <f>IFERROR(INDEX(InternalTrades!$E$2:$E$461,MATCH($A344,InternalTrades!$A$2:$A$461,0)),INDEX(ExchangeConfirms!$E$2:$E$460,MATCH($A344,ExchangeConfirms!$A$2:$A$460,0)))</f>
        <v/>
      </c>
      <c r="D344">
        <f>IFERROR(INDEX(InternalTrades!$K$2:$K$461,MATCH($A344,InternalTrades!$A$2:$A$461,0)),INDEX(ExchangeConfirms!$K$2:$K$460,MATCH($A344,ExchangeConfirms!$A$2:$A$460,0)))</f>
        <v/>
      </c>
      <c r="E344">
        <f>IF(COUNTIF(InternalTrades!$A$2:$A$461,$A344)&gt;0,1,0)</f>
        <v/>
      </c>
      <c r="F344">
        <f>IF(COUNTIF(ExchangeConfirms!$A$2:$A$460,$A344)&gt;0,1,0)</f>
        <v/>
      </c>
      <c r="G344">
        <f>IFERROR(INDEX(InternalTrades!$F$2:$F$461,MATCH($A344,InternalTrades!$A$2:$A$461,0)),"")</f>
        <v/>
      </c>
      <c r="H344">
        <f>IFERROR(INDEX(ExchangeConfirms!$F$2:$F$460,MATCH($A344,ExchangeConfirms!$A$2:$A$460,0)),"")</f>
        <v/>
      </c>
      <c r="I344">
        <f>IFERROR(INDEX(InternalTrades!$G$2:$G$461,MATCH($A344,InternalTrades!$A$2:$A$461,0)),"")</f>
        <v/>
      </c>
      <c r="J344">
        <f>IFERROR(INDEX(ExchangeConfirms!$G$2:$G$460,MATCH($A344,ExchangeConfirms!$A$2:$A$460,0)),"")</f>
        <v/>
      </c>
      <c r="K344">
        <f>IFERROR(INDEX(InternalTrades!$H$2:$H$461,MATCH($A344,InternalTrades!$A$2:$A$461,0)),"")</f>
        <v/>
      </c>
      <c r="L344">
        <f>IFERROR(INDEX(ExchangeConfirms!$H$2:$H$460,MATCH($A344,ExchangeConfirms!$A$2:$A$460,0)),"")</f>
        <v/>
      </c>
      <c r="M344">
        <f>IFERROR(INDEX(InternalTrades!$J$2:$J$461,MATCH($A344,InternalTrades!$A$2:$A$461,0)),"")</f>
        <v/>
      </c>
      <c r="N344">
        <f>IFERROR(INDEX(ExchangeConfirms!$J$2:$J$460,MATCH($A344,ExchangeConfirms!$A$2:$A$460,0)),"")</f>
        <v/>
      </c>
      <c r="O344">
        <f>IFERROR(INDEX(InternalTrades!$I$2:$I$461,MATCH($A344,InternalTrades!$A$2:$A$461,0)),"")</f>
        <v/>
      </c>
      <c r="P344">
        <f>IFERROR(INDEX(ExchangeConfirms!$I$2:$I$460,MATCH($A344,ExchangeConfirms!$A$2:$A$460,0)),"")</f>
        <v/>
      </c>
      <c r="Q344">
        <f>IF(AND($E344=1,$F344=0),"MISSING IN EXCHANGE",IF(AND($E344=0,$F344=1),"MISSING IN INTERNAL",IF($G344&lt;&gt;$H344,"SIDE BREAK",IF($I344&lt;&gt;$J344,"QTY BREAK",IF(ABS($K344-$L344)&gt;0.005,"PRICE BREAK",IF(ABS($M344-$N344)&gt;0.01,"FEE BREAK","MATCHED"))))))</f>
        <v/>
      </c>
      <c r="R344">
        <f>IF($Q344="MATCHED",0,1)</f>
        <v/>
      </c>
      <c r="S344">
        <f>IF($Q344="MATCHED",0,IF($Q344="MISSING IN EXCHANGE",$O344,IF($Q344="MISSING IN INTERNAL",$P344,ABS(N($O344)-N($P344)))))</f>
        <v/>
      </c>
    </row>
    <row r="345">
      <c r="A345" t="inlineStr">
        <is>
          <t>T100344</t>
        </is>
      </c>
      <c r="B345">
        <f>IFERROR(INDEX(InternalTrades!$D$2:$D$461,MATCH($A345,InternalTrades!$A$2:$A$461,0)),INDEX(ExchangeConfirms!$D$2:$D$460,MATCH($A345,ExchangeConfirms!$A$2:$A$460,0)))</f>
        <v/>
      </c>
      <c r="C345">
        <f>IFERROR(INDEX(InternalTrades!$E$2:$E$461,MATCH($A345,InternalTrades!$A$2:$A$461,0)),INDEX(ExchangeConfirms!$E$2:$E$460,MATCH($A345,ExchangeConfirms!$A$2:$A$460,0)))</f>
        <v/>
      </c>
      <c r="D345">
        <f>IFERROR(INDEX(InternalTrades!$K$2:$K$461,MATCH($A345,InternalTrades!$A$2:$A$461,0)),INDEX(ExchangeConfirms!$K$2:$K$460,MATCH($A345,ExchangeConfirms!$A$2:$A$460,0)))</f>
        <v/>
      </c>
      <c r="E345">
        <f>IF(COUNTIF(InternalTrades!$A$2:$A$461,$A345)&gt;0,1,0)</f>
        <v/>
      </c>
      <c r="F345">
        <f>IF(COUNTIF(ExchangeConfirms!$A$2:$A$460,$A345)&gt;0,1,0)</f>
        <v/>
      </c>
      <c r="G345">
        <f>IFERROR(INDEX(InternalTrades!$F$2:$F$461,MATCH($A345,InternalTrades!$A$2:$A$461,0)),"")</f>
        <v/>
      </c>
      <c r="H345">
        <f>IFERROR(INDEX(ExchangeConfirms!$F$2:$F$460,MATCH($A345,ExchangeConfirms!$A$2:$A$460,0)),"")</f>
        <v/>
      </c>
      <c r="I345">
        <f>IFERROR(INDEX(InternalTrades!$G$2:$G$461,MATCH($A345,InternalTrades!$A$2:$A$461,0)),"")</f>
        <v/>
      </c>
      <c r="J345">
        <f>IFERROR(INDEX(ExchangeConfirms!$G$2:$G$460,MATCH($A345,ExchangeConfirms!$A$2:$A$460,0)),"")</f>
        <v/>
      </c>
      <c r="K345">
        <f>IFERROR(INDEX(InternalTrades!$H$2:$H$461,MATCH($A345,InternalTrades!$A$2:$A$461,0)),"")</f>
        <v/>
      </c>
      <c r="L345">
        <f>IFERROR(INDEX(ExchangeConfirms!$H$2:$H$460,MATCH($A345,ExchangeConfirms!$A$2:$A$460,0)),"")</f>
        <v/>
      </c>
      <c r="M345">
        <f>IFERROR(INDEX(InternalTrades!$J$2:$J$461,MATCH($A345,InternalTrades!$A$2:$A$461,0)),"")</f>
        <v/>
      </c>
      <c r="N345">
        <f>IFERROR(INDEX(ExchangeConfirms!$J$2:$J$460,MATCH($A345,ExchangeConfirms!$A$2:$A$460,0)),"")</f>
        <v/>
      </c>
      <c r="O345">
        <f>IFERROR(INDEX(InternalTrades!$I$2:$I$461,MATCH($A345,InternalTrades!$A$2:$A$461,0)),"")</f>
        <v/>
      </c>
      <c r="P345">
        <f>IFERROR(INDEX(ExchangeConfirms!$I$2:$I$460,MATCH($A345,ExchangeConfirms!$A$2:$A$460,0)),"")</f>
        <v/>
      </c>
      <c r="Q345">
        <f>IF(AND($E345=1,$F345=0),"MISSING IN EXCHANGE",IF(AND($E345=0,$F345=1),"MISSING IN INTERNAL",IF($G345&lt;&gt;$H345,"SIDE BREAK",IF($I345&lt;&gt;$J345,"QTY BREAK",IF(ABS($K345-$L345)&gt;0.005,"PRICE BREAK",IF(ABS($M345-$N345)&gt;0.01,"FEE BREAK","MATCHED"))))))</f>
        <v/>
      </c>
      <c r="R345">
        <f>IF($Q345="MATCHED",0,1)</f>
        <v/>
      </c>
      <c r="S345">
        <f>IF($Q345="MATCHED",0,IF($Q345="MISSING IN EXCHANGE",$O345,IF($Q345="MISSING IN INTERNAL",$P345,ABS(N($O345)-N($P345)))))</f>
        <v/>
      </c>
    </row>
    <row r="346">
      <c r="A346" t="inlineStr">
        <is>
          <t>T100345</t>
        </is>
      </c>
      <c r="B346">
        <f>IFERROR(INDEX(InternalTrades!$D$2:$D$461,MATCH($A346,InternalTrades!$A$2:$A$461,0)),INDEX(ExchangeConfirms!$D$2:$D$460,MATCH($A346,ExchangeConfirms!$A$2:$A$460,0)))</f>
        <v/>
      </c>
      <c r="C346">
        <f>IFERROR(INDEX(InternalTrades!$E$2:$E$461,MATCH($A346,InternalTrades!$A$2:$A$461,0)),INDEX(ExchangeConfirms!$E$2:$E$460,MATCH($A346,ExchangeConfirms!$A$2:$A$460,0)))</f>
        <v/>
      </c>
      <c r="D346">
        <f>IFERROR(INDEX(InternalTrades!$K$2:$K$461,MATCH($A346,InternalTrades!$A$2:$A$461,0)),INDEX(ExchangeConfirms!$K$2:$K$460,MATCH($A346,ExchangeConfirms!$A$2:$A$460,0)))</f>
        <v/>
      </c>
      <c r="E346">
        <f>IF(COUNTIF(InternalTrades!$A$2:$A$461,$A346)&gt;0,1,0)</f>
        <v/>
      </c>
      <c r="F346">
        <f>IF(COUNTIF(ExchangeConfirms!$A$2:$A$460,$A346)&gt;0,1,0)</f>
        <v/>
      </c>
      <c r="G346">
        <f>IFERROR(INDEX(InternalTrades!$F$2:$F$461,MATCH($A346,InternalTrades!$A$2:$A$461,0)),"")</f>
        <v/>
      </c>
      <c r="H346">
        <f>IFERROR(INDEX(ExchangeConfirms!$F$2:$F$460,MATCH($A346,ExchangeConfirms!$A$2:$A$460,0)),"")</f>
        <v/>
      </c>
      <c r="I346">
        <f>IFERROR(INDEX(InternalTrades!$G$2:$G$461,MATCH($A346,InternalTrades!$A$2:$A$461,0)),"")</f>
        <v/>
      </c>
      <c r="J346">
        <f>IFERROR(INDEX(ExchangeConfirms!$G$2:$G$460,MATCH($A346,ExchangeConfirms!$A$2:$A$460,0)),"")</f>
        <v/>
      </c>
      <c r="K346">
        <f>IFERROR(INDEX(InternalTrades!$H$2:$H$461,MATCH($A346,InternalTrades!$A$2:$A$461,0)),"")</f>
        <v/>
      </c>
      <c r="L346">
        <f>IFERROR(INDEX(ExchangeConfirms!$H$2:$H$460,MATCH($A346,ExchangeConfirms!$A$2:$A$460,0)),"")</f>
        <v/>
      </c>
      <c r="M346">
        <f>IFERROR(INDEX(InternalTrades!$J$2:$J$461,MATCH($A346,InternalTrades!$A$2:$A$461,0)),"")</f>
        <v/>
      </c>
      <c r="N346">
        <f>IFERROR(INDEX(ExchangeConfirms!$J$2:$J$460,MATCH($A346,ExchangeConfirms!$A$2:$A$460,0)),"")</f>
        <v/>
      </c>
      <c r="O346">
        <f>IFERROR(INDEX(InternalTrades!$I$2:$I$461,MATCH($A346,InternalTrades!$A$2:$A$461,0)),"")</f>
        <v/>
      </c>
      <c r="P346">
        <f>IFERROR(INDEX(ExchangeConfirms!$I$2:$I$460,MATCH($A346,ExchangeConfirms!$A$2:$A$460,0)),"")</f>
        <v/>
      </c>
      <c r="Q346">
        <f>IF(AND($E346=1,$F346=0),"MISSING IN EXCHANGE",IF(AND($E346=0,$F346=1),"MISSING IN INTERNAL",IF($G346&lt;&gt;$H346,"SIDE BREAK",IF($I346&lt;&gt;$J346,"QTY BREAK",IF(ABS($K346-$L346)&gt;0.005,"PRICE BREAK",IF(ABS($M346-$N346)&gt;0.01,"FEE BREAK","MATCHED"))))))</f>
        <v/>
      </c>
      <c r="R346">
        <f>IF($Q346="MATCHED",0,1)</f>
        <v/>
      </c>
      <c r="S346">
        <f>IF($Q346="MATCHED",0,IF($Q346="MISSING IN EXCHANGE",$O346,IF($Q346="MISSING IN INTERNAL",$P346,ABS(N($O346)-N($P346)))))</f>
        <v/>
      </c>
    </row>
    <row r="347">
      <c r="A347" t="inlineStr">
        <is>
          <t>T100346</t>
        </is>
      </c>
      <c r="B347">
        <f>IFERROR(INDEX(InternalTrades!$D$2:$D$461,MATCH($A347,InternalTrades!$A$2:$A$461,0)),INDEX(ExchangeConfirms!$D$2:$D$460,MATCH($A347,ExchangeConfirms!$A$2:$A$460,0)))</f>
        <v/>
      </c>
      <c r="C347">
        <f>IFERROR(INDEX(InternalTrades!$E$2:$E$461,MATCH($A347,InternalTrades!$A$2:$A$461,0)),INDEX(ExchangeConfirms!$E$2:$E$460,MATCH($A347,ExchangeConfirms!$A$2:$A$460,0)))</f>
        <v/>
      </c>
      <c r="D347">
        <f>IFERROR(INDEX(InternalTrades!$K$2:$K$461,MATCH($A347,InternalTrades!$A$2:$A$461,0)),INDEX(ExchangeConfirms!$K$2:$K$460,MATCH($A347,ExchangeConfirms!$A$2:$A$460,0)))</f>
        <v/>
      </c>
      <c r="E347">
        <f>IF(COUNTIF(InternalTrades!$A$2:$A$461,$A347)&gt;0,1,0)</f>
        <v/>
      </c>
      <c r="F347">
        <f>IF(COUNTIF(ExchangeConfirms!$A$2:$A$460,$A347)&gt;0,1,0)</f>
        <v/>
      </c>
      <c r="G347">
        <f>IFERROR(INDEX(InternalTrades!$F$2:$F$461,MATCH($A347,InternalTrades!$A$2:$A$461,0)),"")</f>
        <v/>
      </c>
      <c r="H347">
        <f>IFERROR(INDEX(ExchangeConfirms!$F$2:$F$460,MATCH($A347,ExchangeConfirms!$A$2:$A$460,0)),"")</f>
        <v/>
      </c>
      <c r="I347">
        <f>IFERROR(INDEX(InternalTrades!$G$2:$G$461,MATCH($A347,InternalTrades!$A$2:$A$461,0)),"")</f>
        <v/>
      </c>
      <c r="J347">
        <f>IFERROR(INDEX(ExchangeConfirms!$G$2:$G$460,MATCH($A347,ExchangeConfirms!$A$2:$A$460,0)),"")</f>
        <v/>
      </c>
      <c r="K347">
        <f>IFERROR(INDEX(InternalTrades!$H$2:$H$461,MATCH($A347,InternalTrades!$A$2:$A$461,0)),"")</f>
        <v/>
      </c>
      <c r="L347">
        <f>IFERROR(INDEX(ExchangeConfirms!$H$2:$H$460,MATCH($A347,ExchangeConfirms!$A$2:$A$460,0)),"")</f>
        <v/>
      </c>
      <c r="M347">
        <f>IFERROR(INDEX(InternalTrades!$J$2:$J$461,MATCH($A347,InternalTrades!$A$2:$A$461,0)),"")</f>
        <v/>
      </c>
      <c r="N347">
        <f>IFERROR(INDEX(ExchangeConfirms!$J$2:$J$460,MATCH($A347,ExchangeConfirms!$A$2:$A$460,0)),"")</f>
        <v/>
      </c>
      <c r="O347">
        <f>IFERROR(INDEX(InternalTrades!$I$2:$I$461,MATCH($A347,InternalTrades!$A$2:$A$461,0)),"")</f>
        <v/>
      </c>
      <c r="P347">
        <f>IFERROR(INDEX(ExchangeConfirms!$I$2:$I$460,MATCH($A347,ExchangeConfirms!$A$2:$A$460,0)),"")</f>
        <v/>
      </c>
      <c r="Q347">
        <f>IF(AND($E347=1,$F347=0),"MISSING IN EXCHANGE",IF(AND($E347=0,$F347=1),"MISSING IN INTERNAL",IF($G347&lt;&gt;$H347,"SIDE BREAK",IF($I347&lt;&gt;$J347,"QTY BREAK",IF(ABS($K347-$L347)&gt;0.005,"PRICE BREAK",IF(ABS($M347-$N347)&gt;0.01,"FEE BREAK","MATCHED"))))))</f>
        <v/>
      </c>
      <c r="R347">
        <f>IF($Q347="MATCHED",0,1)</f>
        <v/>
      </c>
      <c r="S347">
        <f>IF($Q347="MATCHED",0,IF($Q347="MISSING IN EXCHANGE",$O347,IF($Q347="MISSING IN INTERNAL",$P347,ABS(N($O347)-N($P347)))))</f>
        <v/>
      </c>
    </row>
    <row r="348">
      <c r="A348" t="inlineStr">
        <is>
          <t>T100347</t>
        </is>
      </c>
      <c r="B348">
        <f>IFERROR(INDEX(InternalTrades!$D$2:$D$461,MATCH($A348,InternalTrades!$A$2:$A$461,0)),INDEX(ExchangeConfirms!$D$2:$D$460,MATCH($A348,ExchangeConfirms!$A$2:$A$460,0)))</f>
        <v/>
      </c>
      <c r="C348">
        <f>IFERROR(INDEX(InternalTrades!$E$2:$E$461,MATCH($A348,InternalTrades!$A$2:$A$461,0)),INDEX(ExchangeConfirms!$E$2:$E$460,MATCH($A348,ExchangeConfirms!$A$2:$A$460,0)))</f>
        <v/>
      </c>
      <c r="D348">
        <f>IFERROR(INDEX(InternalTrades!$K$2:$K$461,MATCH($A348,InternalTrades!$A$2:$A$461,0)),INDEX(ExchangeConfirms!$K$2:$K$460,MATCH($A348,ExchangeConfirms!$A$2:$A$460,0)))</f>
        <v/>
      </c>
      <c r="E348">
        <f>IF(COUNTIF(InternalTrades!$A$2:$A$461,$A348)&gt;0,1,0)</f>
        <v/>
      </c>
      <c r="F348">
        <f>IF(COUNTIF(ExchangeConfirms!$A$2:$A$460,$A348)&gt;0,1,0)</f>
        <v/>
      </c>
      <c r="G348">
        <f>IFERROR(INDEX(InternalTrades!$F$2:$F$461,MATCH($A348,InternalTrades!$A$2:$A$461,0)),"")</f>
        <v/>
      </c>
      <c r="H348">
        <f>IFERROR(INDEX(ExchangeConfirms!$F$2:$F$460,MATCH($A348,ExchangeConfirms!$A$2:$A$460,0)),"")</f>
        <v/>
      </c>
      <c r="I348">
        <f>IFERROR(INDEX(InternalTrades!$G$2:$G$461,MATCH($A348,InternalTrades!$A$2:$A$461,0)),"")</f>
        <v/>
      </c>
      <c r="J348">
        <f>IFERROR(INDEX(ExchangeConfirms!$G$2:$G$460,MATCH($A348,ExchangeConfirms!$A$2:$A$460,0)),"")</f>
        <v/>
      </c>
      <c r="K348">
        <f>IFERROR(INDEX(InternalTrades!$H$2:$H$461,MATCH($A348,InternalTrades!$A$2:$A$461,0)),"")</f>
        <v/>
      </c>
      <c r="L348">
        <f>IFERROR(INDEX(ExchangeConfirms!$H$2:$H$460,MATCH($A348,ExchangeConfirms!$A$2:$A$460,0)),"")</f>
        <v/>
      </c>
      <c r="M348">
        <f>IFERROR(INDEX(InternalTrades!$J$2:$J$461,MATCH($A348,InternalTrades!$A$2:$A$461,0)),"")</f>
        <v/>
      </c>
      <c r="N348">
        <f>IFERROR(INDEX(ExchangeConfirms!$J$2:$J$460,MATCH($A348,ExchangeConfirms!$A$2:$A$460,0)),"")</f>
        <v/>
      </c>
      <c r="O348">
        <f>IFERROR(INDEX(InternalTrades!$I$2:$I$461,MATCH($A348,InternalTrades!$A$2:$A$461,0)),"")</f>
        <v/>
      </c>
      <c r="P348">
        <f>IFERROR(INDEX(ExchangeConfirms!$I$2:$I$460,MATCH($A348,ExchangeConfirms!$A$2:$A$460,0)),"")</f>
        <v/>
      </c>
      <c r="Q348">
        <f>IF(AND($E348=1,$F348=0),"MISSING IN EXCHANGE",IF(AND($E348=0,$F348=1),"MISSING IN INTERNAL",IF($G348&lt;&gt;$H348,"SIDE BREAK",IF($I348&lt;&gt;$J348,"QTY BREAK",IF(ABS($K348-$L348)&gt;0.005,"PRICE BREAK",IF(ABS($M348-$N348)&gt;0.01,"FEE BREAK","MATCHED"))))))</f>
        <v/>
      </c>
      <c r="R348">
        <f>IF($Q348="MATCHED",0,1)</f>
        <v/>
      </c>
      <c r="S348">
        <f>IF($Q348="MATCHED",0,IF($Q348="MISSING IN EXCHANGE",$O348,IF($Q348="MISSING IN INTERNAL",$P348,ABS(N($O348)-N($P348)))))</f>
        <v/>
      </c>
    </row>
    <row r="349">
      <c r="A349" t="inlineStr">
        <is>
          <t>T100348</t>
        </is>
      </c>
      <c r="B349">
        <f>IFERROR(INDEX(InternalTrades!$D$2:$D$461,MATCH($A349,InternalTrades!$A$2:$A$461,0)),INDEX(ExchangeConfirms!$D$2:$D$460,MATCH($A349,ExchangeConfirms!$A$2:$A$460,0)))</f>
        <v/>
      </c>
      <c r="C349">
        <f>IFERROR(INDEX(InternalTrades!$E$2:$E$461,MATCH($A349,InternalTrades!$A$2:$A$461,0)),INDEX(ExchangeConfirms!$E$2:$E$460,MATCH($A349,ExchangeConfirms!$A$2:$A$460,0)))</f>
        <v/>
      </c>
      <c r="D349">
        <f>IFERROR(INDEX(InternalTrades!$K$2:$K$461,MATCH($A349,InternalTrades!$A$2:$A$461,0)),INDEX(ExchangeConfirms!$K$2:$K$460,MATCH($A349,ExchangeConfirms!$A$2:$A$460,0)))</f>
        <v/>
      </c>
      <c r="E349">
        <f>IF(COUNTIF(InternalTrades!$A$2:$A$461,$A349)&gt;0,1,0)</f>
        <v/>
      </c>
      <c r="F349">
        <f>IF(COUNTIF(ExchangeConfirms!$A$2:$A$460,$A349)&gt;0,1,0)</f>
        <v/>
      </c>
      <c r="G349">
        <f>IFERROR(INDEX(InternalTrades!$F$2:$F$461,MATCH($A349,InternalTrades!$A$2:$A$461,0)),"")</f>
        <v/>
      </c>
      <c r="H349">
        <f>IFERROR(INDEX(ExchangeConfirms!$F$2:$F$460,MATCH($A349,ExchangeConfirms!$A$2:$A$460,0)),"")</f>
        <v/>
      </c>
      <c r="I349">
        <f>IFERROR(INDEX(InternalTrades!$G$2:$G$461,MATCH($A349,InternalTrades!$A$2:$A$461,0)),"")</f>
        <v/>
      </c>
      <c r="J349">
        <f>IFERROR(INDEX(ExchangeConfirms!$G$2:$G$460,MATCH($A349,ExchangeConfirms!$A$2:$A$460,0)),"")</f>
        <v/>
      </c>
      <c r="K349">
        <f>IFERROR(INDEX(InternalTrades!$H$2:$H$461,MATCH($A349,InternalTrades!$A$2:$A$461,0)),"")</f>
        <v/>
      </c>
      <c r="L349">
        <f>IFERROR(INDEX(ExchangeConfirms!$H$2:$H$460,MATCH($A349,ExchangeConfirms!$A$2:$A$460,0)),"")</f>
        <v/>
      </c>
      <c r="M349">
        <f>IFERROR(INDEX(InternalTrades!$J$2:$J$461,MATCH($A349,InternalTrades!$A$2:$A$461,0)),"")</f>
        <v/>
      </c>
      <c r="N349">
        <f>IFERROR(INDEX(ExchangeConfirms!$J$2:$J$460,MATCH($A349,ExchangeConfirms!$A$2:$A$460,0)),"")</f>
        <v/>
      </c>
      <c r="O349">
        <f>IFERROR(INDEX(InternalTrades!$I$2:$I$461,MATCH($A349,InternalTrades!$A$2:$A$461,0)),"")</f>
        <v/>
      </c>
      <c r="P349">
        <f>IFERROR(INDEX(ExchangeConfirms!$I$2:$I$460,MATCH($A349,ExchangeConfirms!$A$2:$A$460,0)),"")</f>
        <v/>
      </c>
      <c r="Q349">
        <f>IF(AND($E349=1,$F349=0),"MISSING IN EXCHANGE",IF(AND($E349=0,$F349=1),"MISSING IN INTERNAL",IF($G349&lt;&gt;$H349,"SIDE BREAK",IF($I349&lt;&gt;$J349,"QTY BREAK",IF(ABS($K349-$L349)&gt;0.005,"PRICE BREAK",IF(ABS($M349-$N349)&gt;0.01,"FEE BREAK","MATCHED"))))))</f>
        <v/>
      </c>
      <c r="R349">
        <f>IF($Q349="MATCHED",0,1)</f>
        <v/>
      </c>
      <c r="S349">
        <f>IF($Q349="MATCHED",0,IF($Q349="MISSING IN EXCHANGE",$O349,IF($Q349="MISSING IN INTERNAL",$P349,ABS(N($O349)-N($P349)))))</f>
        <v/>
      </c>
    </row>
    <row r="350">
      <c r="A350" t="inlineStr">
        <is>
          <t>T100349</t>
        </is>
      </c>
      <c r="B350">
        <f>IFERROR(INDEX(InternalTrades!$D$2:$D$461,MATCH($A350,InternalTrades!$A$2:$A$461,0)),INDEX(ExchangeConfirms!$D$2:$D$460,MATCH($A350,ExchangeConfirms!$A$2:$A$460,0)))</f>
        <v/>
      </c>
      <c r="C350">
        <f>IFERROR(INDEX(InternalTrades!$E$2:$E$461,MATCH($A350,InternalTrades!$A$2:$A$461,0)),INDEX(ExchangeConfirms!$E$2:$E$460,MATCH($A350,ExchangeConfirms!$A$2:$A$460,0)))</f>
        <v/>
      </c>
      <c r="D350">
        <f>IFERROR(INDEX(InternalTrades!$K$2:$K$461,MATCH($A350,InternalTrades!$A$2:$A$461,0)),INDEX(ExchangeConfirms!$K$2:$K$460,MATCH($A350,ExchangeConfirms!$A$2:$A$460,0)))</f>
        <v/>
      </c>
      <c r="E350">
        <f>IF(COUNTIF(InternalTrades!$A$2:$A$461,$A350)&gt;0,1,0)</f>
        <v/>
      </c>
      <c r="F350">
        <f>IF(COUNTIF(ExchangeConfirms!$A$2:$A$460,$A350)&gt;0,1,0)</f>
        <v/>
      </c>
      <c r="G350">
        <f>IFERROR(INDEX(InternalTrades!$F$2:$F$461,MATCH($A350,InternalTrades!$A$2:$A$461,0)),"")</f>
        <v/>
      </c>
      <c r="H350">
        <f>IFERROR(INDEX(ExchangeConfirms!$F$2:$F$460,MATCH($A350,ExchangeConfirms!$A$2:$A$460,0)),"")</f>
        <v/>
      </c>
      <c r="I350">
        <f>IFERROR(INDEX(InternalTrades!$G$2:$G$461,MATCH($A350,InternalTrades!$A$2:$A$461,0)),"")</f>
        <v/>
      </c>
      <c r="J350">
        <f>IFERROR(INDEX(ExchangeConfirms!$G$2:$G$460,MATCH($A350,ExchangeConfirms!$A$2:$A$460,0)),"")</f>
        <v/>
      </c>
      <c r="K350">
        <f>IFERROR(INDEX(InternalTrades!$H$2:$H$461,MATCH($A350,InternalTrades!$A$2:$A$461,0)),"")</f>
        <v/>
      </c>
      <c r="L350">
        <f>IFERROR(INDEX(ExchangeConfirms!$H$2:$H$460,MATCH($A350,ExchangeConfirms!$A$2:$A$460,0)),"")</f>
        <v/>
      </c>
      <c r="M350">
        <f>IFERROR(INDEX(InternalTrades!$J$2:$J$461,MATCH($A350,InternalTrades!$A$2:$A$461,0)),"")</f>
        <v/>
      </c>
      <c r="N350">
        <f>IFERROR(INDEX(ExchangeConfirms!$J$2:$J$460,MATCH($A350,ExchangeConfirms!$A$2:$A$460,0)),"")</f>
        <v/>
      </c>
      <c r="O350">
        <f>IFERROR(INDEX(InternalTrades!$I$2:$I$461,MATCH($A350,InternalTrades!$A$2:$A$461,0)),"")</f>
        <v/>
      </c>
      <c r="P350">
        <f>IFERROR(INDEX(ExchangeConfirms!$I$2:$I$460,MATCH($A350,ExchangeConfirms!$A$2:$A$460,0)),"")</f>
        <v/>
      </c>
      <c r="Q350">
        <f>IF(AND($E350=1,$F350=0),"MISSING IN EXCHANGE",IF(AND($E350=0,$F350=1),"MISSING IN INTERNAL",IF($G350&lt;&gt;$H350,"SIDE BREAK",IF($I350&lt;&gt;$J350,"QTY BREAK",IF(ABS($K350-$L350)&gt;0.005,"PRICE BREAK",IF(ABS($M350-$N350)&gt;0.01,"FEE BREAK","MATCHED"))))))</f>
        <v/>
      </c>
      <c r="R350">
        <f>IF($Q350="MATCHED",0,1)</f>
        <v/>
      </c>
      <c r="S350">
        <f>IF($Q350="MATCHED",0,IF($Q350="MISSING IN EXCHANGE",$O350,IF($Q350="MISSING IN INTERNAL",$P350,ABS(N($O350)-N($P350)))))</f>
        <v/>
      </c>
    </row>
    <row r="351">
      <c r="A351" t="inlineStr">
        <is>
          <t>T100350</t>
        </is>
      </c>
      <c r="B351">
        <f>IFERROR(INDEX(InternalTrades!$D$2:$D$461,MATCH($A351,InternalTrades!$A$2:$A$461,0)),INDEX(ExchangeConfirms!$D$2:$D$460,MATCH($A351,ExchangeConfirms!$A$2:$A$460,0)))</f>
        <v/>
      </c>
      <c r="C351">
        <f>IFERROR(INDEX(InternalTrades!$E$2:$E$461,MATCH($A351,InternalTrades!$A$2:$A$461,0)),INDEX(ExchangeConfirms!$E$2:$E$460,MATCH($A351,ExchangeConfirms!$A$2:$A$460,0)))</f>
        <v/>
      </c>
      <c r="D351">
        <f>IFERROR(INDEX(InternalTrades!$K$2:$K$461,MATCH($A351,InternalTrades!$A$2:$A$461,0)),INDEX(ExchangeConfirms!$K$2:$K$460,MATCH($A351,ExchangeConfirms!$A$2:$A$460,0)))</f>
        <v/>
      </c>
      <c r="E351">
        <f>IF(COUNTIF(InternalTrades!$A$2:$A$461,$A351)&gt;0,1,0)</f>
        <v/>
      </c>
      <c r="F351">
        <f>IF(COUNTIF(ExchangeConfirms!$A$2:$A$460,$A351)&gt;0,1,0)</f>
        <v/>
      </c>
      <c r="G351">
        <f>IFERROR(INDEX(InternalTrades!$F$2:$F$461,MATCH($A351,InternalTrades!$A$2:$A$461,0)),"")</f>
        <v/>
      </c>
      <c r="H351">
        <f>IFERROR(INDEX(ExchangeConfirms!$F$2:$F$460,MATCH($A351,ExchangeConfirms!$A$2:$A$460,0)),"")</f>
        <v/>
      </c>
      <c r="I351">
        <f>IFERROR(INDEX(InternalTrades!$G$2:$G$461,MATCH($A351,InternalTrades!$A$2:$A$461,0)),"")</f>
        <v/>
      </c>
      <c r="J351">
        <f>IFERROR(INDEX(ExchangeConfirms!$G$2:$G$460,MATCH($A351,ExchangeConfirms!$A$2:$A$460,0)),"")</f>
        <v/>
      </c>
      <c r="K351">
        <f>IFERROR(INDEX(InternalTrades!$H$2:$H$461,MATCH($A351,InternalTrades!$A$2:$A$461,0)),"")</f>
        <v/>
      </c>
      <c r="L351">
        <f>IFERROR(INDEX(ExchangeConfirms!$H$2:$H$460,MATCH($A351,ExchangeConfirms!$A$2:$A$460,0)),"")</f>
        <v/>
      </c>
      <c r="M351">
        <f>IFERROR(INDEX(InternalTrades!$J$2:$J$461,MATCH($A351,InternalTrades!$A$2:$A$461,0)),"")</f>
        <v/>
      </c>
      <c r="N351">
        <f>IFERROR(INDEX(ExchangeConfirms!$J$2:$J$460,MATCH($A351,ExchangeConfirms!$A$2:$A$460,0)),"")</f>
        <v/>
      </c>
      <c r="O351">
        <f>IFERROR(INDEX(InternalTrades!$I$2:$I$461,MATCH($A351,InternalTrades!$A$2:$A$461,0)),"")</f>
        <v/>
      </c>
      <c r="P351">
        <f>IFERROR(INDEX(ExchangeConfirms!$I$2:$I$460,MATCH($A351,ExchangeConfirms!$A$2:$A$460,0)),"")</f>
        <v/>
      </c>
      <c r="Q351">
        <f>IF(AND($E351=1,$F351=0),"MISSING IN EXCHANGE",IF(AND($E351=0,$F351=1),"MISSING IN INTERNAL",IF($G351&lt;&gt;$H351,"SIDE BREAK",IF($I351&lt;&gt;$J351,"QTY BREAK",IF(ABS($K351-$L351)&gt;0.005,"PRICE BREAK",IF(ABS($M351-$N351)&gt;0.01,"FEE BREAK","MATCHED"))))))</f>
        <v/>
      </c>
      <c r="R351">
        <f>IF($Q351="MATCHED",0,1)</f>
        <v/>
      </c>
      <c r="S351">
        <f>IF($Q351="MATCHED",0,IF($Q351="MISSING IN EXCHANGE",$O351,IF($Q351="MISSING IN INTERNAL",$P351,ABS(N($O351)-N($P351)))))</f>
        <v/>
      </c>
    </row>
    <row r="352">
      <c r="A352" t="inlineStr">
        <is>
          <t>T100351</t>
        </is>
      </c>
      <c r="B352">
        <f>IFERROR(INDEX(InternalTrades!$D$2:$D$461,MATCH($A352,InternalTrades!$A$2:$A$461,0)),INDEX(ExchangeConfirms!$D$2:$D$460,MATCH($A352,ExchangeConfirms!$A$2:$A$460,0)))</f>
        <v/>
      </c>
      <c r="C352">
        <f>IFERROR(INDEX(InternalTrades!$E$2:$E$461,MATCH($A352,InternalTrades!$A$2:$A$461,0)),INDEX(ExchangeConfirms!$E$2:$E$460,MATCH($A352,ExchangeConfirms!$A$2:$A$460,0)))</f>
        <v/>
      </c>
      <c r="D352">
        <f>IFERROR(INDEX(InternalTrades!$K$2:$K$461,MATCH($A352,InternalTrades!$A$2:$A$461,0)),INDEX(ExchangeConfirms!$K$2:$K$460,MATCH($A352,ExchangeConfirms!$A$2:$A$460,0)))</f>
        <v/>
      </c>
      <c r="E352">
        <f>IF(COUNTIF(InternalTrades!$A$2:$A$461,$A352)&gt;0,1,0)</f>
        <v/>
      </c>
      <c r="F352">
        <f>IF(COUNTIF(ExchangeConfirms!$A$2:$A$460,$A352)&gt;0,1,0)</f>
        <v/>
      </c>
      <c r="G352">
        <f>IFERROR(INDEX(InternalTrades!$F$2:$F$461,MATCH($A352,InternalTrades!$A$2:$A$461,0)),"")</f>
        <v/>
      </c>
      <c r="H352">
        <f>IFERROR(INDEX(ExchangeConfirms!$F$2:$F$460,MATCH($A352,ExchangeConfirms!$A$2:$A$460,0)),"")</f>
        <v/>
      </c>
      <c r="I352">
        <f>IFERROR(INDEX(InternalTrades!$G$2:$G$461,MATCH($A352,InternalTrades!$A$2:$A$461,0)),"")</f>
        <v/>
      </c>
      <c r="J352">
        <f>IFERROR(INDEX(ExchangeConfirms!$G$2:$G$460,MATCH($A352,ExchangeConfirms!$A$2:$A$460,0)),"")</f>
        <v/>
      </c>
      <c r="K352">
        <f>IFERROR(INDEX(InternalTrades!$H$2:$H$461,MATCH($A352,InternalTrades!$A$2:$A$461,0)),"")</f>
        <v/>
      </c>
      <c r="L352">
        <f>IFERROR(INDEX(ExchangeConfirms!$H$2:$H$460,MATCH($A352,ExchangeConfirms!$A$2:$A$460,0)),"")</f>
        <v/>
      </c>
      <c r="M352">
        <f>IFERROR(INDEX(InternalTrades!$J$2:$J$461,MATCH($A352,InternalTrades!$A$2:$A$461,0)),"")</f>
        <v/>
      </c>
      <c r="N352">
        <f>IFERROR(INDEX(ExchangeConfirms!$J$2:$J$460,MATCH($A352,ExchangeConfirms!$A$2:$A$460,0)),"")</f>
        <v/>
      </c>
      <c r="O352">
        <f>IFERROR(INDEX(InternalTrades!$I$2:$I$461,MATCH($A352,InternalTrades!$A$2:$A$461,0)),"")</f>
        <v/>
      </c>
      <c r="P352">
        <f>IFERROR(INDEX(ExchangeConfirms!$I$2:$I$460,MATCH($A352,ExchangeConfirms!$A$2:$A$460,0)),"")</f>
        <v/>
      </c>
      <c r="Q352">
        <f>IF(AND($E352=1,$F352=0),"MISSING IN EXCHANGE",IF(AND($E352=0,$F352=1),"MISSING IN INTERNAL",IF($G352&lt;&gt;$H352,"SIDE BREAK",IF($I352&lt;&gt;$J352,"QTY BREAK",IF(ABS($K352-$L352)&gt;0.005,"PRICE BREAK",IF(ABS($M352-$N352)&gt;0.01,"FEE BREAK","MATCHED"))))))</f>
        <v/>
      </c>
      <c r="R352">
        <f>IF($Q352="MATCHED",0,1)</f>
        <v/>
      </c>
      <c r="S352">
        <f>IF($Q352="MATCHED",0,IF($Q352="MISSING IN EXCHANGE",$O352,IF($Q352="MISSING IN INTERNAL",$P352,ABS(N($O352)-N($P352)))))</f>
        <v/>
      </c>
    </row>
    <row r="353">
      <c r="A353" t="inlineStr">
        <is>
          <t>T100352</t>
        </is>
      </c>
      <c r="B353">
        <f>IFERROR(INDEX(InternalTrades!$D$2:$D$461,MATCH($A353,InternalTrades!$A$2:$A$461,0)),INDEX(ExchangeConfirms!$D$2:$D$460,MATCH($A353,ExchangeConfirms!$A$2:$A$460,0)))</f>
        <v/>
      </c>
      <c r="C353">
        <f>IFERROR(INDEX(InternalTrades!$E$2:$E$461,MATCH($A353,InternalTrades!$A$2:$A$461,0)),INDEX(ExchangeConfirms!$E$2:$E$460,MATCH($A353,ExchangeConfirms!$A$2:$A$460,0)))</f>
        <v/>
      </c>
      <c r="D353">
        <f>IFERROR(INDEX(InternalTrades!$K$2:$K$461,MATCH($A353,InternalTrades!$A$2:$A$461,0)),INDEX(ExchangeConfirms!$K$2:$K$460,MATCH($A353,ExchangeConfirms!$A$2:$A$460,0)))</f>
        <v/>
      </c>
      <c r="E353">
        <f>IF(COUNTIF(InternalTrades!$A$2:$A$461,$A353)&gt;0,1,0)</f>
        <v/>
      </c>
      <c r="F353">
        <f>IF(COUNTIF(ExchangeConfirms!$A$2:$A$460,$A353)&gt;0,1,0)</f>
        <v/>
      </c>
      <c r="G353">
        <f>IFERROR(INDEX(InternalTrades!$F$2:$F$461,MATCH($A353,InternalTrades!$A$2:$A$461,0)),"")</f>
        <v/>
      </c>
      <c r="H353">
        <f>IFERROR(INDEX(ExchangeConfirms!$F$2:$F$460,MATCH($A353,ExchangeConfirms!$A$2:$A$460,0)),"")</f>
        <v/>
      </c>
      <c r="I353">
        <f>IFERROR(INDEX(InternalTrades!$G$2:$G$461,MATCH($A353,InternalTrades!$A$2:$A$461,0)),"")</f>
        <v/>
      </c>
      <c r="J353">
        <f>IFERROR(INDEX(ExchangeConfirms!$G$2:$G$460,MATCH($A353,ExchangeConfirms!$A$2:$A$460,0)),"")</f>
        <v/>
      </c>
      <c r="K353">
        <f>IFERROR(INDEX(InternalTrades!$H$2:$H$461,MATCH($A353,InternalTrades!$A$2:$A$461,0)),"")</f>
        <v/>
      </c>
      <c r="L353">
        <f>IFERROR(INDEX(ExchangeConfirms!$H$2:$H$460,MATCH($A353,ExchangeConfirms!$A$2:$A$460,0)),"")</f>
        <v/>
      </c>
      <c r="M353">
        <f>IFERROR(INDEX(InternalTrades!$J$2:$J$461,MATCH($A353,InternalTrades!$A$2:$A$461,0)),"")</f>
        <v/>
      </c>
      <c r="N353">
        <f>IFERROR(INDEX(ExchangeConfirms!$J$2:$J$460,MATCH($A353,ExchangeConfirms!$A$2:$A$460,0)),"")</f>
        <v/>
      </c>
      <c r="O353">
        <f>IFERROR(INDEX(InternalTrades!$I$2:$I$461,MATCH($A353,InternalTrades!$A$2:$A$461,0)),"")</f>
        <v/>
      </c>
      <c r="P353">
        <f>IFERROR(INDEX(ExchangeConfirms!$I$2:$I$460,MATCH($A353,ExchangeConfirms!$A$2:$A$460,0)),"")</f>
        <v/>
      </c>
      <c r="Q353">
        <f>IF(AND($E353=1,$F353=0),"MISSING IN EXCHANGE",IF(AND($E353=0,$F353=1),"MISSING IN INTERNAL",IF($G353&lt;&gt;$H353,"SIDE BREAK",IF($I353&lt;&gt;$J353,"QTY BREAK",IF(ABS($K353-$L353)&gt;0.005,"PRICE BREAK",IF(ABS($M353-$N353)&gt;0.01,"FEE BREAK","MATCHED"))))))</f>
        <v/>
      </c>
      <c r="R353">
        <f>IF($Q353="MATCHED",0,1)</f>
        <v/>
      </c>
      <c r="S353">
        <f>IF($Q353="MATCHED",0,IF($Q353="MISSING IN EXCHANGE",$O353,IF($Q353="MISSING IN INTERNAL",$P353,ABS(N($O353)-N($P353)))))</f>
        <v/>
      </c>
    </row>
    <row r="354">
      <c r="A354" t="inlineStr">
        <is>
          <t>T100353</t>
        </is>
      </c>
      <c r="B354">
        <f>IFERROR(INDEX(InternalTrades!$D$2:$D$461,MATCH($A354,InternalTrades!$A$2:$A$461,0)),INDEX(ExchangeConfirms!$D$2:$D$460,MATCH($A354,ExchangeConfirms!$A$2:$A$460,0)))</f>
        <v/>
      </c>
      <c r="C354">
        <f>IFERROR(INDEX(InternalTrades!$E$2:$E$461,MATCH($A354,InternalTrades!$A$2:$A$461,0)),INDEX(ExchangeConfirms!$E$2:$E$460,MATCH($A354,ExchangeConfirms!$A$2:$A$460,0)))</f>
        <v/>
      </c>
      <c r="D354">
        <f>IFERROR(INDEX(InternalTrades!$K$2:$K$461,MATCH($A354,InternalTrades!$A$2:$A$461,0)),INDEX(ExchangeConfirms!$K$2:$K$460,MATCH($A354,ExchangeConfirms!$A$2:$A$460,0)))</f>
        <v/>
      </c>
      <c r="E354">
        <f>IF(COUNTIF(InternalTrades!$A$2:$A$461,$A354)&gt;0,1,0)</f>
        <v/>
      </c>
      <c r="F354">
        <f>IF(COUNTIF(ExchangeConfirms!$A$2:$A$460,$A354)&gt;0,1,0)</f>
        <v/>
      </c>
      <c r="G354">
        <f>IFERROR(INDEX(InternalTrades!$F$2:$F$461,MATCH($A354,InternalTrades!$A$2:$A$461,0)),"")</f>
        <v/>
      </c>
      <c r="H354">
        <f>IFERROR(INDEX(ExchangeConfirms!$F$2:$F$460,MATCH($A354,ExchangeConfirms!$A$2:$A$460,0)),"")</f>
        <v/>
      </c>
      <c r="I354">
        <f>IFERROR(INDEX(InternalTrades!$G$2:$G$461,MATCH($A354,InternalTrades!$A$2:$A$461,0)),"")</f>
        <v/>
      </c>
      <c r="J354">
        <f>IFERROR(INDEX(ExchangeConfirms!$G$2:$G$460,MATCH($A354,ExchangeConfirms!$A$2:$A$460,0)),"")</f>
        <v/>
      </c>
      <c r="K354">
        <f>IFERROR(INDEX(InternalTrades!$H$2:$H$461,MATCH($A354,InternalTrades!$A$2:$A$461,0)),"")</f>
        <v/>
      </c>
      <c r="L354">
        <f>IFERROR(INDEX(ExchangeConfirms!$H$2:$H$460,MATCH($A354,ExchangeConfirms!$A$2:$A$460,0)),"")</f>
        <v/>
      </c>
      <c r="M354">
        <f>IFERROR(INDEX(InternalTrades!$J$2:$J$461,MATCH($A354,InternalTrades!$A$2:$A$461,0)),"")</f>
        <v/>
      </c>
      <c r="N354">
        <f>IFERROR(INDEX(ExchangeConfirms!$J$2:$J$460,MATCH($A354,ExchangeConfirms!$A$2:$A$460,0)),"")</f>
        <v/>
      </c>
      <c r="O354">
        <f>IFERROR(INDEX(InternalTrades!$I$2:$I$461,MATCH($A354,InternalTrades!$A$2:$A$461,0)),"")</f>
        <v/>
      </c>
      <c r="P354">
        <f>IFERROR(INDEX(ExchangeConfirms!$I$2:$I$460,MATCH($A354,ExchangeConfirms!$A$2:$A$460,0)),"")</f>
        <v/>
      </c>
      <c r="Q354">
        <f>IF(AND($E354=1,$F354=0),"MISSING IN EXCHANGE",IF(AND($E354=0,$F354=1),"MISSING IN INTERNAL",IF($G354&lt;&gt;$H354,"SIDE BREAK",IF($I354&lt;&gt;$J354,"QTY BREAK",IF(ABS($K354-$L354)&gt;0.005,"PRICE BREAK",IF(ABS($M354-$N354)&gt;0.01,"FEE BREAK","MATCHED"))))))</f>
        <v/>
      </c>
      <c r="R354">
        <f>IF($Q354="MATCHED",0,1)</f>
        <v/>
      </c>
      <c r="S354">
        <f>IF($Q354="MATCHED",0,IF($Q354="MISSING IN EXCHANGE",$O354,IF($Q354="MISSING IN INTERNAL",$P354,ABS(N($O354)-N($P354)))))</f>
        <v/>
      </c>
    </row>
    <row r="355">
      <c r="A355" t="inlineStr">
        <is>
          <t>T100354</t>
        </is>
      </c>
      <c r="B355">
        <f>IFERROR(INDEX(InternalTrades!$D$2:$D$461,MATCH($A355,InternalTrades!$A$2:$A$461,0)),INDEX(ExchangeConfirms!$D$2:$D$460,MATCH($A355,ExchangeConfirms!$A$2:$A$460,0)))</f>
        <v/>
      </c>
      <c r="C355">
        <f>IFERROR(INDEX(InternalTrades!$E$2:$E$461,MATCH($A355,InternalTrades!$A$2:$A$461,0)),INDEX(ExchangeConfirms!$E$2:$E$460,MATCH($A355,ExchangeConfirms!$A$2:$A$460,0)))</f>
        <v/>
      </c>
      <c r="D355">
        <f>IFERROR(INDEX(InternalTrades!$K$2:$K$461,MATCH($A355,InternalTrades!$A$2:$A$461,0)),INDEX(ExchangeConfirms!$K$2:$K$460,MATCH($A355,ExchangeConfirms!$A$2:$A$460,0)))</f>
        <v/>
      </c>
      <c r="E355">
        <f>IF(COUNTIF(InternalTrades!$A$2:$A$461,$A355)&gt;0,1,0)</f>
        <v/>
      </c>
      <c r="F355">
        <f>IF(COUNTIF(ExchangeConfirms!$A$2:$A$460,$A355)&gt;0,1,0)</f>
        <v/>
      </c>
      <c r="G355">
        <f>IFERROR(INDEX(InternalTrades!$F$2:$F$461,MATCH($A355,InternalTrades!$A$2:$A$461,0)),"")</f>
        <v/>
      </c>
      <c r="H355">
        <f>IFERROR(INDEX(ExchangeConfirms!$F$2:$F$460,MATCH($A355,ExchangeConfirms!$A$2:$A$460,0)),"")</f>
        <v/>
      </c>
      <c r="I355">
        <f>IFERROR(INDEX(InternalTrades!$G$2:$G$461,MATCH($A355,InternalTrades!$A$2:$A$461,0)),"")</f>
        <v/>
      </c>
      <c r="J355">
        <f>IFERROR(INDEX(ExchangeConfirms!$G$2:$G$460,MATCH($A355,ExchangeConfirms!$A$2:$A$460,0)),"")</f>
        <v/>
      </c>
      <c r="K355">
        <f>IFERROR(INDEX(InternalTrades!$H$2:$H$461,MATCH($A355,InternalTrades!$A$2:$A$461,0)),"")</f>
        <v/>
      </c>
      <c r="L355">
        <f>IFERROR(INDEX(ExchangeConfirms!$H$2:$H$460,MATCH($A355,ExchangeConfirms!$A$2:$A$460,0)),"")</f>
        <v/>
      </c>
      <c r="M355">
        <f>IFERROR(INDEX(InternalTrades!$J$2:$J$461,MATCH($A355,InternalTrades!$A$2:$A$461,0)),"")</f>
        <v/>
      </c>
      <c r="N355">
        <f>IFERROR(INDEX(ExchangeConfirms!$J$2:$J$460,MATCH($A355,ExchangeConfirms!$A$2:$A$460,0)),"")</f>
        <v/>
      </c>
      <c r="O355">
        <f>IFERROR(INDEX(InternalTrades!$I$2:$I$461,MATCH($A355,InternalTrades!$A$2:$A$461,0)),"")</f>
        <v/>
      </c>
      <c r="P355">
        <f>IFERROR(INDEX(ExchangeConfirms!$I$2:$I$460,MATCH($A355,ExchangeConfirms!$A$2:$A$460,0)),"")</f>
        <v/>
      </c>
      <c r="Q355">
        <f>IF(AND($E355=1,$F355=0),"MISSING IN EXCHANGE",IF(AND($E355=0,$F355=1),"MISSING IN INTERNAL",IF($G355&lt;&gt;$H355,"SIDE BREAK",IF($I355&lt;&gt;$J355,"QTY BREAK",IF(ABS($K355-$L355)&gt;0.005,"PRICE BREAK",IF(ABS($M355-$N355)&gt;0.01,"FEE BREAK","MATCHED"))))))</f>
        <v/>
      </c>
      <c r="R355">
        <f>IF($Q355="MATCHED",0,1)</f>
        <v/>
      </c>
      <c r="S355">
        <f>IF($Q355="MATCHED",0,IF($Q355="MISSING IN EXCHANGE",$O355,IF($Q355="MISSING IN INTERNAL",$P355,ABS(N($O355)-N($P355)))))</f>
        <v/>
      </c>
    </row>
    <row r="356">
      <c r="A356" t="inlineStr">
        <is>
          <t>T100355</t>
        </is>
      </c>
      <c r="B356">
        <f>IFERROR(INDEX(InternalTrades!$D$2:$D$461,MATCH($A356,InternalTrades!$A$2:$A$461,0)),INDEX(ExchangeConfirms!$D$2:$D$460,MATCH($A356,ExchangeConfirms!$A$2:$A$460,0)))</f>
        <v/>
      </c>
      <c r="C356">
        <f>IFERROR(INDEX(InternalTrades!$E$2:$E$461,MATCH($A356,InternalTrades!$A$2:$A$461,0)),INDEX(ExchangeConfirms!$E$2:$E$460,MATCH($A356,ExchangeConfirms!$A$2:$A$460,0)))</f>
        <v/>
      </c>
      <c r="D356">
        <f>IFERROR(INDEX(InternalTrades!$K$2:$K$461,MATCH($A356,InternalTrades!$A$2:$A$461,0)),INDEX(ExchangeConfirms!$K$2:$K$460,MATCH($A356,ExchangeConfirms!$A$2:$A$460,0)))</f>
        <v/>
      </c>
      <c r="E356">
        <f>IF(COUNTIF(InternalTrades!$A$2:$A$461,$A356)&gt;0,1,0)</f>
        <v/>
      </c>
      <c r="F356">
        <f>IF(COUNTIF(ExchangeConfirms!$A$2:$A$460,$A356)&gt;0,1,0)</f>
        <v/>
      </c>
      <c r="G356">
        <f>IFERROR(INDEX(InternalTrades!$F$2:$F$461,MATCH($A356,InternalTrades!$A$2:$A$461,0)),"")</f>
        <v/>
      </c>
      <c r="H356">
        <f>IFERROR(INDEX(ExchangeConfirms!$F$2:$F$460,MATCH($A356,ExchangeConfirms!$A$2:$A$460,0)),"")</f>
        <v/>
      </c>
      <c r="I356">
        <f>IFERROR(INDEX(InternalTrades!$G$2:$G$461,MATCH($A356,InternalTrades!$A$2:$A$461,0)),"")</f>
        <v/>
      </c>
      <c r="J356">
        <f>IFERROR(INDEX(ExchangeConfirms!$G$2:$G$460,MATCH($A356,ExchangeConfirms!$A$2:$A$460,0)),"")</f>
        <v/>
      </c>
      <c r="K356">
        <f>IFERROR(INDEX(InternalTrades!$H$2:$H$461,MATCH($A356,InternalTrades!$A$2:$A$461,0)),"")</f>
        <v/>
      </c>
      <c r="L356">
        <f>IFERROR(INDEX(ExchangeConfirms!$H$2:$H$460,MATCH($A356,ExchangeConfirms!$A$2:$A$460,0)),"")</f>
        <v/>
      </c>
      <c r="M356">
        <f>IFERROR(INDEX(InternalTrades!$J$2:$J$461,MATCH($A356,InternalTrades!$A$2:$A$461,0)),"")</f>
        <v/>
      </c>
      <c r="N356">
        <f>IFERROR(INDEX(ExchangeConfirms!$J$2:$J$460,MATCH($A356,ExchangeConfirms!$A$2:$A$460,0)),"")</f>
        <v/>
      </c>
      <c r="O356">
        <f>IFERROR(INDEX(InternalTrades!$I$2:$I$461,MATCH($A356,InternalTrades!$A$2:$A$461,0)),"")</f>
        <v/>
      </c>
      <c r="P356">
        <f>IFERROR(INDEX(ExchangeConfirms!$I$2:$I$460,MATCH($A356,ExchangeConfirms!$A$2:$A$460,0)),"")</f>
        <v/>
      </c>
      <c r="Q356">
        <f>IF(AND($E356=1,$F356=0),"MISSING IN EXCHANGE",IF(AND($E356=0,$F356=1),"MISSING IN INTERNAL",IF($G356&lt;&gt;$H356,"SIDE BREAK",IF($I356&lt;&gt;$J356,"QTY BREAK",IF(ABS($K356-$L356)&gt;0.005,"PRICE BREAK",IF(ABS($M356-$N356)&gt;0.01,"FEE BREAK","MATCHED"))))))</f>
        <v/>
      </c>
      <c r="R356">
        <f>IF($Q356="MATCHED",0,1)</f>
        <v/>
      </c>
      <c r="S356">
        <f>IF($Q356="MATCHED",0,IF($Q356="MISSING IN EXCHANGE",$O356,IF($Q356="MISSING IN INTERNAL",$P356,ABS(N($O356)-N($P356)))))</f>
        <v/>
      </c>
    </row>
    <row r="357">
      <c r="A357" t="inlineStr">
        <is>
          <t>T100356</t>
        </is>
      </c>
      <c r="B357">
        <f>IFERROR(INDEX(InternalTrades!$D$2:$D$461,MATCH($A357,InternalTrades!$A$2:$A$461,0)),INDEX(ExchangeConfirms!$D$2:$D$460,MATCH($A357,ExchangeConfirms!$A$2:$A$460,0)))</f>
        <v/>
      </c>
      <c r="C357">
        <f>IFERROR(INDEX(InternalTrades!$E$2:$E$461,MATCH($A357,InternalTrades!$A$2:$A$461,0)),INDEX(ExchangeConfirms!$E$2:$E$460,MATCH($A357,ExchangeConfirms!$A$2:$A$460,0)))</f>
        <v/>
      </c>
      <c r="D357">
        <f>IFERROR(INDEX(InternalTrades!$K$2:$K$461,MATCH($A357,InternalTrades!$A$2:$A$461,0)),INDEX(ExchangeConfirms!$K$2:$K$460,MATCH($A357,ExchangeConfirms!$A$2:$A$460,0)))</f>
        <v/>
      </c>
      <c r="E357">
        <f>IF(COUNTIF(InternalTrades!$A$2:$A$461,$A357)&gt;0,1,0)</f>
        <v/>
      </c>
      <c r="F357">
        <f>IF(COUNTIF(ExchangeConfirms!$A$2:$A$460,$A357)&gt;0,1,0)</f>
        <v/>
      </c>
      <c r="G357">
        <f>IFERROR(INDEX(InternalTrades!$F$2:$F$461,MATCH($A357,InternalTrades!$A$2:$A$461,0)),"")</f>
        <v/>
      </c>
      <c r="H357">
        <f>IFERROR(INDEX(ExchangeConfirms!$F$2:$F$460,MATCH($A357,ExchangeConfirms!$A$2:$A$460,0)),"")</f>
        <v/>
      </c>
      <c r="I357">
        <f>IFERROR(INDEX(InternalTrades!$G$2:$G$461,MATCH($A357,InternalTrades!$A$2:$A$461,0)),"")</f>
        <v/>
      </c>
      <c r="J357">
        <f>IFERROR(INDEX(ExchangeConfirms!$G$2:$G$460,MATCH($A357,ExchangeConfirms!$A$2:$A$460,0)),"")</f>
        <v/>
      </c>
      <c r="K357">
        <f>IFERROR(INDEX(InternalTrades!$H$2:$H$461,MATCH($A357,InternalTrades!$A$2:$A$461,0)),"")</f>
        <v/>
      </c>
      <c r="L357">
        <f>IFERROR(INDEX(ExchangeConfirms!$H$2:$H$460,MATCH($A357,ExchangeConfirms!$A$2:$A$460,0)),"")</f>
        <v/>
      </c>
      <c r="M357">
        <f>IFERROR(INDEX(InternalTrades!$J$2:$J$461,MATCH($A357,InternalTrades!$A$2:$A$461,0)),"")</f>
        <v/>
      </c>
      <c r="N357">
        <f>IFERROR(INDEX(ExchangeConfirms!$J$2:$J$460,MATCH($A357,ExchangeConfirms!$A$2:$A$460,0)),"")</f>
        <v/>
      </c>
      <c r="O357">
        <f>IFERROR(INDEX(InternalTrades!$I$2:$I$461,MATCH($A357,InternalTrades!$A$2:$A$461,0)),"")</f>
        <v/>
      </c>
      <c r="P357">
        <f>IFERROR(INDEX(ExchangeConfirms!$I$2:$I$460,MATCH($A357,ExchangeConfirms!$A$2:$A$460,0)),"")</f>
        <v/>
      </c>
      <c r="Q357">
        <f>IF(AND($E357=1,$F357=0),"MISSING IN EXCHANGE",IF(AND($E357=0,$F357=1),"MISSING IN INTERNAL",IF($G357&lt;&gt;$H357,"SIDE BREAK",IF($I357&lt;&gt;$J357,"QTY BREAK",IF(ABS($K357-$L357)&gt;0.005,"PRICE BREAK",IF(ABS($M357-$N357)&gt;0.01,"FEE BREAK","MATCHED"))))))</f>
        <v/>
      </c>
      <c r="R357">
        <f>IF($Q357="MATCHED",0,1)</f>
        <v/>
      </c>
      <c r="S357">
        <f>IF($Q357="MATCHED",0,IF($Q357="MISSING IN EXCHANGE",$O357,IF($Q357="MISSING IN INTERNAL",$P357,ABS(N($O357)-N($P357)))))</f>
        <v/>
      </c>
    </row>
    <row r="358">
      <c r="A358" t="inlineStr">
        <is>
          <t>T100357</t>
        </is>
      </c>
      <c r="B358">
        <f>IFERROR(INDEX(InternalTrades!$D$2:$D$461,MATCH($A358,InternalTrades!$A$2:$A$461,0)),INDEX(ExchangeConfirms!$D$2:$D$460,MATCH($A358,ExchangeConfirms!$A$2:$A$460,0)))</f>
        <v/>
      </c>
      <c r="C358">
        <f>IFERROR(INDEX(InternalTrades!$E$2:$E$461,MATCH($A358,InternalTrades!$A$2:$A$461,0)),INDEX(ExchangeConfirms!$E$2:$E$460,MATCH($A358,ExchangeConfirms!$A$2:$A$460,0)))</f>
        <v/>
      </c>
      <c r="D358">
        <f>IFERROR(INDEX(InternalTrades!$K$2:$K$461,MATCH($A358,InternalTrades!$A$2:$A$461,0)),INDEX(ExchangeConfirms!$K$2:$K$460,MATCH($A358,ExchangeConfirms!$A$2:$A$460,0)))</f>
        <v/>
      </c>
      <c r="E358">
        <f>IF(COUNTIF(InternalTrades!$A$2:$A$461,$A358)&gt;0,1,0)</f>
        <v/>
      </c>
      <c r="F358">
        <f>IF(COUNTIF(ExchangeConfirms!$A$2:$A$460,$A358)&gt;0,1,0)</f>
        <v/>
      </c>
      <c r="G358">
        <f>IFERROR(INDEX(InternalTrades!$F$2:$F$461,MATCH($A358,InternalTrades!$A$2:$A$461,0)),"")</f>
        <v/>
      </c>
      <c r="H358">
        <f>IFERROR(INDEX(ExchangeConfirms!$F$2:$F$460,MATCH($A358,ExchangeConfirms!$A$2:$A$460,0)),"")</f>
        <v/>
      </c>
      <c r="I358">
        <f>IFERROR(INDEX(InternalTrades!$G$2:$G$461,MATCH($A358,InternalTrades!$A$2:$A$461,0)),"")</f>
        <v/>
      </c>
      <c r="J358">
        <f>IFERROR(INDEX(ExchangeConfirms!$G$2:$G$460,MATCH($A358,ExchangeConfirms!$A$2:$A$460,0)),"")</f>
        <v/>
      </c>
      <c r="K358">
        <f>IFERROR(INDEX(InternalTrades!$H$2:$H$461,MATCH($A358,InternalTrades!$A$2:$A$461,0)),"")</f>
        <v/>
      </c>
      <c r="L358">
        <f>IFERROR(INDEX(ExchangeConfirms!$H$2:$H$460,MATCH($A358,ExchangeConfirms!$A$2:$A$460,0)),"")</f>
        <v/>
      </c>
      <c r="M358">
        <f>IFERROR(INDEX(InternalTrades!$J$2:$J$461,MATCH($A358,InternalTrades!$A$2:$A$461,0)),"")</f>
        <v/>
      </c>
      <c r="N358">
        <f>IFERROR(INDEX(ExchangeConfirms!$J$2:$J$460,MATCH($A358,ExchangeConfirms!$A$2:$A$460,0)),"")</f>
        <v/>
      </c>
      <c r="O358">
        <f>IFERROR(INDEX(InternalTrades!$I$2:$I$461,MATCH($A358,InternalTrades!$A$2:$A$461,0)),"")</f>
        <v/>
      </c>
      <c r="P358">
        <f>IFERROR(INDEX(ExchangeConfirms!$I$2:$I$460,MATCH($A358,ExchangeConfirms!$A$2:$A$460,0)),"")</f>
        <v/>
      </c>
      <c r="Q358">
        <f>IF(AND($E358=1,$F358=0),"MISSING IN EXCHANGE",IF(AND($E358=0,$F358=1),"MISSING IN INTERNAL",IF($G358&lt;&gt;$H358,"SIDE BREAK",IF($I358&lt;&gt;$J358,"QTY BREAK",IF(ABS($K358-$L358)&gt;0.005,"PRICE BREAK",IF(ABS($M358-$N358)&gt;0.01,"FEE BREAK","MATCHED"))))))</f>
        <v/>
      </c>
      <c r="R358">
        <f>IF($Q358="MATCHED",0,1)</f>
        <v/>
      </c>
      <c r="S358">
        <f>IF($Q358="MATCHED",0,IF($Q358="MISSING IN EXCHANGE",$O358,IF($Q358="MISSING IN INTERNAL",$P358,ABS(N($O358)-N($P358)))))</f>
        <v/>
      </c>
    </row>
    <row r="359">
      <c r="A359" t="inlineStr">
        <is>
          <t>T100358</t>
        </is>
      </c>
      <c r="B359">
        <f>IFERROR(INDEX(InternalTrades!$D$2:$D$461,MATCH($A359,InternalTrades!$A$2:$A$461,0)),INDEX(ExchangeConfirms!$D$2:$D$460,MATCH($A359,ExchangeConfirms!$A$2:$A$460,0)))</f>
        <v/>
      </c>
      <c r="C359">
        <f>IFERROR(INDEX(InternalTrades!$E$2:$E$461,MATCH($A359,InternalTrades!$A$2:$A$461,0)),INDEX(ExchangeConfirms!$E$2:$E$460,MATCH($A359,ExchangeConfirms!$A$2:$A$460,0)))</f>
        <v/>
      </c>
      <c r="D359">
        <f>IFERROR(INDEX(InternalTrades!$K$2:$K$461,MATCH($A359,InternalTrades!$A$2:$A$461,0)),INDEX(ExchangeConfirms!$K$2:$K$460,MATCH($A359,ExchangeConfirms!$A$2:$A$460,0)))</f>
        <v/>
      </c>
      <c r="E359">
        <f>IF(COUNTIF(InternalTrades!$A$2:$A$461,$A359)&gt;0,1,0)</f>
        <v/>
      </c>
      <c r="F359">
        <f>IF(COUNTIF(ExchangeConfirms!$A$2:$A$460,$A359)&gt;0,1,0)</f>
        <v/>
      </c>
      <c r="G359">
        <f>IFERROR(INDEX(InternalTrades!$F$2:$F$461,MATCH($A359,InternalTrades!$A$2:$A$461,0)),"")</f>
        <v/>
      </c>
      <c r="H359">
        <f>IFERROR(INDEX(ExchangeConfirms!$F$2:$F$460,MATCH($A359,ExchangeConfirms!$A$2:$A$460,0)),"")</f>
        <v/>
      </c>
      <c r="I359">
        <f>IFERROR(INDEX(InternalTrades!$G$2:$G$461,MATCH($A359,InternalTrades!$A$2:$A$461,0)),"")</f>
        <v/>
      </c>
      <c r="J359">
        <f>IFERROR(INDEX(ExchangeConfirms!$G$2:$G$460,MATCH($A359,ExchangeConfirms!$A$2:$A$460,0)),"")</f>
        <v/>
      </c>
      <c r="K359">
        <f>IFERROR(INDEX(InternalTrades!$H$2:$H$461,MATCH($A359,InternalTrades!$A$2:$A$461,0)),"")</f>
        <v/>
      </c>
      <c r="L359">
        <f>IFERROR(INDEX(ExchangeConfirms!$H$2:$H$460,MATCH($A359,ExchangeConfirms!$A$2:$A$460,0)),"")</f>
        <v/>
      </c>
      <c r="M359">
        <f>IFERROR(INDEX(InternalTrades!$J$2:$J$461,MATCH($A359,InternalTrades!$A$2:$A$461,0)),"")</f>
        <v/>
      </c>
      <c r="N359">
        <f>IFERROR(INDEX(ExchangeConfirms!$J$2:$J$460,MATCH($A359,ExchangeConfirms!$A$2:$A$460,0)),"")</f>
        <v/>
      </c>
      <c r="O359">
        <f>IFERROR(INDEX(InternalTrades!$I$2:$I$461,MATCH($A359,InternalTrades!$A$2:$A$461,0)),"")</f>
        <v/>
      </c>
      <c r="P359">
        <f>IFERROR(INDEX(ExchangeConfirms!$I$2:$I$460,MATCH($A359,ExchangeConfirms!$A$2:$A$460,0)),"")</f>
        <v/>
      </c>
      <c r="Q359">
        <f>IF(AND($E359=1,$F359=0),"MISSING IN EXCHANGE",IF(AND($E359=0,$F359=1),"MISSING IN INTERNAL",IF($G359&lt;&gt;$H359,"SIDE BREAK",IF($I359&lt;&gt;$J359,"QTY BREAK",IF(ABS($K359-$L359)&gt;0.005,"PRICE BREAK",IF(ABS($M359-$N359)&gt;0.01,"FEE BREAK","MATCHED"))))))</f>
        <v/>
      </c>
      <c r="R359">
        <f>IF($Q359="MATCHED",0,1)</f>
        <v/>
      </c>
      <c r="S359">
        <f>IF($Q359="MATCHED",0,IF($Q359="MISSING IN EXCHANGE",$O359,IF($Q359="MISSING IN INTERNAL",$P359,ABS(N($O359)-N($P359)))))</f>
        <v/>
      </c>
    </row>
    <row r="360">
      <c r="A360" t="inlineStr">
        <is>
          <t>T100359</t>
        </is>
      </c>
      <c r="B360">
        <f>IFERROR(INDEX(InternalTrades!$D$2:$D$461,MATCH($A360,InternalTrades!$A$2:$A$461,0)),INDEX(ExchangeConfirms!$D$2:$D$460,MATCH($A360,ExchangeConfirms!$A$2:$A$460,0)))</f>
        <v/>
      </c>
      <c r="C360">
        <f>IFERROR(INDEX(InternalTrades!$E$2:$E$461,MATCH($A360,InternalTrades!$A$2:$A$461,0)),INDEX(ExchangeConfirms!$E$2:$E$460,MATCH($A360,ExchangeConfirms!$A$2:$A$460,0)))</f>
        <v/>
      </c>
      <c r="D360">
        <f>IFERROR(INDEX(InternalTrades!$K$2:$K$461,MATCH($A360,InternalTrades!$A$2:$A$461,0)),INDEX(ExchangeConfirms!$K$2:$K$460,MATCH($A360,ExchangeConfirms!$A$2:$A$460,0)))</f>
        <v/>
      </c>
      <c r="E360">
        <f>IF(COUNTIF(InternalTrades!$A$2:$A$461,$A360)&gt;0,1,0)</f>
        <v/>
      </c>
      <c r="F360">
        <f>IF(COUNTIF(ExchangeConfirms!$A$2:$A$460,$A360)&gt;0,1,0)</f>
        <v/>
      </c>
      <c r="G360">
        <f>IFERROR(INDEX(InternalTrades!$F$2:$F$461,MATCH($A360,InternalTrades!$A$2:$A$461,0)),"")</f>
        <v/>
      </c>
      <c r="H360">
        <f>IFERROR(INDEX(ExchangeConfirms!$F$2:$F$460,MATCH($A360,ExchangeConfirms!$A$2:$A$460,0)),"")</f>
        <v/>
      </c>
      <c r="I360">
        <f>IFERROR(INDEX(InternalTrades!$G$2:$G$461,MATCH($A360,InternalTrades!$A$2:$A$461,0)),"")</f>
        <v/>
      </c>
      <c r="J360">
        <f>IFERROR(INDEX(ExchangeConfirms!$G$2:$G$460,MATCH($A360,ExchangeConfirms!$A$2:$A$460,0)),"")</f>
        <v/>
      </c>
      <c r="K360">
        <f>IFERROR(INDEX(InternalTrades!$H$2:$H$461,MATCH($A360,InternalTrades!$A$2:$A$461,0)),"")</f>
        <v/>
      </c>
      <c r="L360">
        <f>IFERROR(INDEX(ExchangeConfirms!$H$2:$H$460,MATCH($A360,ExchangeConfirms!$A$2:$A$460,0)),"")</f>
        <v/>
      </c>
      <c r="M360">
        <f>IFERROR(INDEX(InternalTrades!$J$2:$J$461,MATCH($A360,InternalTrades!$A$2:$A$461,0)),"")</f>
        <v/>
      </c>
      <c r="N360">
        <f>IFERROR(INDEX(ExchangeConfirms!$J$2:$J$460,MATCH($A360,ExchangeConfirms!$A$2:$A$460,0)),"")</f>
        <v/>
      </c>
      <c r="O360">
        <f>IFERROR(INDEX(InternalTrades!$I$2:$I$461,MATCH($A360,InternalTrades!$A$2:$A$461,0)),"")</f>
        <v/>
      </c>
      <c r="P360">
        <f>IFERROR(INDEX(ExchangeConfirms!$I$2:$I$460,MATCH($A360,ExchangeConfirms!$A$2:$A$460,0)),"")</f>
        <v/>
      </c>
      <c r="Q360">
        <f>IF(AND($E360=1,$F360=0),"MISSING IN EXCHANGE",IF(AND($E360=0,$F360=1),"MISSING IN INTERNAL",IF($G360&lt;&gt;$H360,"SIDE BREAK",IF($I360&lt;&gt;$J360,"QTY BREAK",IF(ABS($K360-$L360)&gt;0.005,"PRICE BREAK",IF(ABS($M360-$N360)&gt;0.01,"FEE BREAK","MATCHED"))))))</f>
        <v/>
      </c>
      <c r="R360">
        <f>IF($Q360="MATCHED",0,1)</f>
        <v/>
      </c>
      <c r="S360">
        <f>IF($Q360="MATCHED",0,IF($Q360="MISSING IN EXCHANGE",$O360,IF($Q360="MISSING IN INTERNAL",$P360,ABS(N($O360)-N($P360)))))</f>
        <v/>
      </c>
    </row>
    <row r="361">
      <c r="A361" t="inlineStr">
        <is>
          <t>T100360</t>
        </is>
      </c>
      <c r="B361">
        <f>IFERROR(INDEX(InternalTrades!$D$2:$D$461,MATCH($A361,InternalTrades!$A$2:$A$461,0)),INDEX(ExchangeConfirms!$D$2:$D$460,MATCH($A361,ExchangeConfirms!$A$2:$A$460,0)))</f>
        <v/>
      </c>
      <c r="C361">
        <f>IFERROR(INDEX(InternalTrades!$E$2:$E$461,MATCH($A361,InternalTrades!$A$2:$A$461,0)),INDEX(ExchangeConfirms!$E$2:$E$460,MATCH($A361,ExchangeConfirms!$A$2:$A$460,0)))</f>
        <v/>
      </c>
      <c r="D361">
        <f>IFERROR(INDEX(InternalTrades!$K$2:$K$461,MATCH($A361,InternalTrades!$A$2:$A$461,0)),INDEX(ExchangeConfirms!$K$2:$K$460,MATCH($A361,ExchangeConfirms!$A$2:$A$460,0)))</f>
        <v/>
      </c>
      <c r="E361">
        <f>IF(COUNTIF(InternalTrades!$A$2:$A$461,$A361)&gt;0,1,0)</f>
        <v/>
      </c>
      <c r="F361">
        <f>IF(COUNTIF(ExchangeConfirms!$A$2:$A$460,$A361)&gt;0,1,0)</f>
        <v/>
      </c>
      <c r="G361">
        <f>IFERROR(INDEX(InternalTrades!$F$2:$F$461,MATCH($A361,InternalTrades!$A$2:$A$461,0)),"")</f>
        <v/>
      </c>
      <c r="H361">
        <f>IFERROR(INDEX(ExchangeConfirms!$F$2:$F$460,MATCH($A361,ExchangeConfirms!$A$2:$A$460,0)),"")</f>
        <v/>
      </c>
      <c r="I361">
        <f>IFERROR(INDEX(InternalTrades!$G$2:$G$461,MATCH($A361,InternalTrades!$A$2:$A$461,0)),"")</f>
        <v/>
      </c>
      <c r="J361">
        <f>IFERROR(INDEX(ExchangeConfirms!$G$2:$G$460,MATCH($A361,ExchangeConfirms!$A$2:$A$460,0)),"")</f>
        <v/>
      </c>
      <c r="K361">
        <f>IFERROR(INDEX(InternalTrades!$H$2:$H$461,MATCH($A361,InternalTrades!$A$2:$A$461,0)),"")</f>
        <v/>
      </c>
      <c r="L361">
        <f>IFERROR(INDEX(ExchangeConfirms!$H$2:$H$460,MATCH($A361,ExchangeConfirms!$A$2:$A$460,0)),"")</f>
        <v/>
      </c>
      <c r="M361">
        <f>IFERROR(INDEX(InternalTrades!$J$2:$J$461,MATCH($A361,InternalTrades!$A$2:$A$461,0)),"")</f>
        <v/>
      </c>
      <c r="N361">
        <f>IFERROR(INDEX(ExchangeConfirms!$J$2:$J$460,MATCH($A361,ExchangeConfirms!$A$2:$A$460,0)),"")</f>
        <v/>
      </c>
      <c r="O361">
        <f>IFERROR(INDEX(InternalTrades!$I$2:$I$461,MATCH($A361,InternalTrades!$A$2:$A$461,0)),"")</f>
        <v/>
      </c>
      <c r="P361">
        <f>IFERROR(INDEX(ExchangeConfirms!$I$2:$I$460,MATCH($A361,ExchangeConfirms!$A$2:$A$460,0)),"")</f>
        <v/>
      </c>
      <c r="Q361">
        <f>IF(AND($E361=1,$F361=0),"MISSING IN EXCHANGE",IF(AND($E361=0,$F361=1),"MISSING IN INTERNAL",IF($G361&lt;&gt;$H361,"SIDE BREAK",IF($I361&lt;&gt;$J361,"QTY BREAK",IF(ABS($K361-$L361)&gt;0.005,"PRICE BREAK",IF(ABS($M361-$N361)&gt;0.01,"FEE BREAK","MATCHED"))))))</f>
        <v/>
      </c>
      <c r="R361">
        <f>IF($Q361="MATCHED",0,1)</f>
        <v/>
      </c>
      <c r="S361">
        <f>IF($Q361="MATCHED",0,IF($Q361="MISSING IN EXCHANGE",$O361,IF($Q361="MISSING IN INTERNAL",$P361,ABS(N($O361)-N($P361)))))</f>
        <v/>
      </c>
    </row>
    <row r="362">
      <c r="A362" t="inlineStr">
        <is>
          <t>T100361</t>
        </is>
      </c>
      <c r="B362">
        <f>IFERROR(INDEX(InternalTrades!$D$2:$D$461,MATCH($A362,InternalTrades!$A$2:$A$461,0)),INDEX(ExchangeConfirms!$D$2:$D$460,MATCH($A362,ExchangeConfirms!$A$2:$A$460,0)))</f>
        <v/>
      </c>
      <c r="C362">
        <f>IFERROR(INDEX(InternalTrades!$E$2:$E$461,MATCH($A362,InternalTrades!$A$2:$A$461,0)),INDEX(ExchangeConfirms!$E$2:$E$460,MATCH($A362,ExchangeConfirms!$A$2:$A$460,0)))</f>
        <v/>
      </c>
      <c r="D362">
        <f>IFERROR(INDEX(InternalTrades!$K$2:$K$461,MATCH($A362,InternalTrades!$A$2:$A$461,0)),INDEX(ExchangeConfirms!$K$2:$K$460,MATCH($A362,ExchangeConfirms!$A$2:$A$460,0)))</f>
        <v/>
      </c>
      <c r="E362">
        <f>IF(COUNTIF(InternalTrades!$A$2:$A$461,$A362)&gt;0,1,0)</f>
        <v/>
      </c>
      <c r="F362">
        <f>IF(COUNTIF(ExchangeConfirms!$A$2:$A$460,$A362)&gt;0,1,0)</f>
        <v/>
      </c>
      <c r="G362">
        <f>IFERROR(INDEX(InternalTrades!$F$2:$F$461,MATCH($A362,InternalTrades!$A$2:$A$461,0)),"")</f>
        <v/>
      </c>
      <c r="H362">
        <f>IFERROR(INDEX(ExchangeConfirms!$F$2:$F$460,MATCH($A362,ExchangeConfirms!$A$2:$A$460,0)),"")</f>
        <v/>
      </c>
      <c r="I362">
        <f>IFERROR(INDEX(InternalTrades!$G$2:$G$461,MATCH($A362,InternalTrades!$A$2:$A$461,0)),"")</f>
        <v/>
      </c>
      <c r="J362">
        <f>IFERROR(INDEX(ExchangeConfirms!$G$2:$G$460,MATCH($A362,ExchangeConfirms!$A$2:$A$460,0)),"")</f>
        <v/>
      </c>
      <c r="K362">
        <f>IFERROR(INDEX(InternalTrades!$H$2:$H$461,MATCH($A362,InternalTrades!$A$2:$A$461,0)),"")</f>
        <v/>
      </c>
      <c r="L362">
        <f>IFERROR(INDEX(ExchangeConfirms!$H$2:$H$460,MATCH($A362,ExchangeConfirms!$A$2:$A$460,0)),"")</f>
        <v/>
      </c>
      <c r="M362">
        <f>IFERROR(INDEX(InternalTrades!$J$2:$J$461,MATCH($A362,InternalTrades!$A$2:$A$461,0)),"")</f>
        <v/>
      </c>
      <c r="N362">
        <f>IFERROR(INDEX(ExchangeConfirms!$J$2:$J$460,MATCH($A362,ExchangeConfirms!$A$2:$A$460,0)),"")</f>
        <v/>
      </c>
      <c r="O362">
        <f>IFERROR(INDEX(InternalTrades!$I$2:$I$461,MATCH($A362,InternalTrades!$A$2:$A$461,0)),"")</f>
        <v/>
      </c>
      <c r="P362">
        <f>IFERROR(INDEX(ExchangeConfirms!$I$2:$I$460,MATCH($A362,ExchangeConfirms!$A$2:$A$460,0)),"")</f>
        <v/>
      </c>
      <c r="Q362">
        <f>IF(AND($E362=1,$F362=0),"MISSING IN EXCHANGE",IF(AND($E362=0,$F362=1),"MISSING IN INTERNAL",IF($G362&lt;&gt;$H362,"SIDE BREAK",IF($I362&lt;&gt;$J362,"QTY BREAK",IF(ABS($K362-$L362)&gt;0.005,"PRICE BREAK",IF(ABS($M362-$N362)&gt;0.01,"FEE BREAK","MATCHED"))))))</f>
        <v/>
      </c>
      <c r="R362">
        <f>IF($Q362="MATCHED",0,1)</f>
        <v/>
      </c>
      <c r="S362">
        <f>IF($Q362="MATCHED",0,IF($Q362="MISSING IN EXCHANGE",$O362,IF($Q362="MISSING IN INTERNAL",$P362,ABS(N($O362)-N($P362)))))</f>
        <v/>
      </c>
    </row>
    <row r="363">
      <c r="A363" t="inlineStr">
        <is>
          <t>T100362</t>
        </is>
      </c>
      <c r="B363">
        <f>IFERROR(INDEX(InternalTrades!$D$2:$D$461,MATCH($A363,InternalTrades!$A$2:$A$461,0)),INDEX(ExchangeConfirms!$D$2:$D$460,MATCH($A363,ExchangeConfirms!$A$2:$A$460,0)))</f>
        <v/>
      </c>
      <c r="C363">
        <f>IFERROR(INDEX(InternalTrades!$E$2:$E$461,MATCH($A363,InternalTrades!$A$2:$A$461,0)),INDEX(ExchangeConfirms!$E$2:$E$460,MATCH($A363,ExchangeConfirms!$A$2:$A$460,0)))</f>
        <v/>
      </c>
      <c r="D363">
        <f>IFERROR(INDEX(InternalTrades!$K$2:$K$461,MATCH($A363,InternalTrades!$A$2:$A$461,0)),INDEX(ExchangeConfirms!$K$2:$K$460,MATCH($A363,ExchangeConfirms!$A$2:$A$460,0)))</f>
        <v/>
      </c>
      <c r="E363">
        <f>IF(COUNTIF(InternalTrades!$A$2:$A$461,$A363)&gt;0,1,0)</f>
        <v/>
      </c>
      <c r="F363">
        <f>IF(COUNTIF(ExchangeConfirms!$A$2:$A$460,$A363)&gt;0,1,0)</f>
        <v/>
      </c>
      <c r="G363">
        <f>IFERROR(INDEX(InternalTrades!$F$2:$F$461,MATCH($A363,InternalTrades!$A$2:$A$461,0)),"")</f>
        <v/>
      </c>
      <c r="H363">
        <f>IFERROR(INDEX(ExchangeConfirms!$F$2:$F$460,MATCH($A363,ExchangeConfirms!$A$2:$A$460,0)),"")</f>
        <v/>
      </c>
      <c r="I363">
        <f>IFERROR(INDEX(InternalTrades!$G$2:$G$461,MATCH($A363,InternalTrades!$A$2:$A$461,0)),"")</f>
        <v/>
      </c>
      <c r="J363">
        <f>IFERROR(INDEX(ExchangeConfirms!$G$2:$G$460,MATCH($A363,ExchangeConfirms!$A$2:$A$460,0)),"")</f>
        <v/>
      </c>
      <c r="K363">
        <f>IFERROR(INDEX(InternalTrades!$H$2:$H$461,MATCH($A363,InternalTrades!$A$2:$A$461,0)),"")</f>
        <v/>
      </c>
      <c r="L363">
        <f>IFERROR(INDEX(ExchangeConfirms!$H$2:$H$460,MATCH($A363,ExchangeConfirms!$A$2:$A$460,0)),"")</f>
        <v/>
      </c>
      <c r="M363">
        <f>IFERROR(INDEX(InternalTrades!$J$2:$J$461,MATCH($A363,InternalTrades!$A$2:$A$461,0)),"")</f>
        <v/>
      </c>
      <c r="N363">
        <f>IFERROR(INDEX(ExchangeConfirms!$J$2:$J$460,MATCH($A363,ExchangeConfirms!$A$2:$A$460,0)),"")</f>
        <v/>
      </c>
      <c r="O363">
        <f>IFERROR(INDEX(InternalTrades!$I$2:$I$461,MATCH($A363,InternalTrades!$A$2:$A$461,0)),"")</f>
        <v/>
      </c>
      <c r="P363">
        <f>IFERROR(INDEX(ExchangeConfirms!$I$2:$I$460,MATCH($A363,ExchangeConfirms!$A$2:$A$460,0)),"")</f>
        <v/>
      </c>
      <c r="Q363">
        <f>IF(AND($E363=1,$F363=0),"MISSING IN EXCHANGE",IF(AND($E363=0,$F363=1),"MISSING IN INTERNAL",IF($G363&lt;&gt;$H363,"SIDE BREAK",IF($I363&lt;&gt;$J363,"QTY BREAK",IF(ABS($K363-$L363)&gt;0.005,"PRICE BREAK",IF(ABS($M363-$N363)&gt;0.01,"FEE BREAK","MATCHED"))))))</f>
        <v/>
      </c>
      <c r="R363">
        <f>IF($Q363="MATCHED",0,1)</f>
        <v/>
      </c>
      <c r="S363">
        <f>IF($Q363="MATCHED",0,IF($Q363="MISSING IN EXCHANGE",$O363,IF($Q363="MISSING IN INTERNAL",$P363,ABS(N($O363)-N($P363)))))</f>
        <v/>
      </c>
    </row>
    <row r="364">
      <c r="A364" t="inlineStr">
        <is>
          <t>T100363</t>
        </is>
      </c>
      <c r="B364">
        <f>IFERROR(INDEX(InternalTrades!$D$2:$D$461,MATCH($A364,InternalTrades!$A$2:$A$461,0)),INDEX(ExchangeConfirms!$D$2:$D$460,MATCH($A364,ExchangeConfirms!$A$2:$A$460,0)))</f>
        <v/>
      </c>
      <c r="C364">
        <f>IFERROR(INDEX(InternalTrades!$E$2:$E$461,MATCH($A364,InternalTrades!$A$2:$A$461,0)),INDEX(ExchangeConfirms!$E$2:$E$460,MATCH($A364,ExchangeConfirms!$A$2:$A$460,0)))</f>
        <v/>
      </c>
      <c r="D364">
        <f>IFERROR(INDEX(InternalTrades!$K$2:$K$461,MATCH($A364,InternalTrades!$A$2:$A$461,0)),INDEX(ExchangeConfirms!$K$2:$K$460,MATCH($A364,ExchangeConfirms!$A$2:$A$460,0)))</f>
        <v/>
      </c>
      <c r="E364">
        <f>IF(COUNTIF(InternalTrades!$A$2:$A$461,$A364)&gt;0,1,0)</f>
        <v/>
      </c>
      <c r="F364">
        <f>IF(COUNTIF(ExchangeConfirms!$A$2:$A$460,$A364)&gt;0,1,0)</f>
        <v/>
      </c>
      <c r="G364">
        <f>IFERROR(INDEX(InternalTrades!$F$2:$F$461,MATCH($A364,InternalTrades!$A$2:$A$461,0)),"")</f>
        <v/>
      </c>
      <c r="H364">
        <f>IFERROR(INDEX(ExchangeConfirms!$F$2:$F$460,MATCH($A364,ExchangeConfirms!$A$2:$A$460,0)),"")</f>
        <v/>
      </c>
      <c r="I364">
        <f>IFERROR(INDEX(InternalTrades!$G$2:$G$461,MATCH($A364,InternalTrades!$A$2:$A$461,0)),"")</f>
        <v/>
      </c>
      <c r="J364">
        <f>IFERROR(INDEX(ExchangeConfirms!$G$2:$G$460,MATCH($A364,ExchangeConfirms!$A$2:$A$460,0)),"")</f>
        <v/>
      </c>
      <c r="K364">
        <f>IFERROR(INDEX(InternalTrades!$H$2:$H$461,MATCH($A364,InternalTrades!$A$2:$A$461,0)),"")</f>
        <v/>
      </c>
      <c r="L364">
        <f>IFERROR(INDEX(ExchangeConfirms!$H$2:$H$460,MATCH($A364,ExchangeConfirms!$A$2:$A$460,0)),"")</f>
        <v/>
      </c>
      <c r="M364">
        <f>IFERROR(INDEX(InternalTrades!$J$2:$J$461,MATCH($A364,InternalTrades!$A$2:$A$461,0)),"")</f>
        <v/>
      </c>
      <c r="N364">
        <f>IFERROR(INDEX(ExchangeConfirms!$J$2:$J$460,MATCH($A364,ExchangeConfirms!$A$2:$A$460,0)),"")</f>
        <v/>
      </c>
      <c r="O364">
        <f>IFERROR(INDEX(InternalTrades!$I$2:$I$461,MATCH($A364,InternalTrades!$A$2:$A$461,0)),"")</f>
        <v/>
      </c>
      <c r="P364">
        <f>IFERROR(INDEX(ExchangeConfirms!$I$2:$I$460,MATCH($A364,ExchangeConfirms!$A$2:$A$460,0)),"")</f>
        <v/>
      </c>
      <c r="Q364">
        <f>IF(AND($E364=1,$F364=0),"MISSING IN EXCHANGE",IF(AND($E364=0,$F364=1),"MISSING IN INTERNAL",IF($G364&lt;&gt;$H364,"SIDE BREAK",IF($I364&lt;&gt;$J364,"QTY BREAK",IF(ABS($K364-$L364)&gt;0.005,"PRICE BREAK",IF(ABS($M364-$N364)&gt;0.01,"FEE BREAK","MATCHED"))))))</f>
        <v/>
      </c>
      <c r="R364">
        <f>IF($Q364="MATCHED",0,1)</f>
        <v/>
      </c>
      <c r="S364">
        <f>IF($Q364="MATCHED",0,IF($Q364="MISSING IN EXCHANGE",$O364,IF($Q364="MISSING IN INTERNAL",$P364,ABS(N($O364)-N($P364)))))</f>
        <v/>
      </c>
    </row>
    <row r="365">
      <c r="A365" t="inlineStr">
        <is>
          <t>T100364</t>
        </is>
      </c>
      <c r="B365">
        <f>IFERROR(INDEX(InternalTrades!$D$2:$D$461,MATCH($A365,InternalTrades!$A$2:$A$461,0)),INDEX(ExchangeConfirms!$D$2:$D$460,MATCH($A365,ExchangeConfirms!$A$2:$A$460,0)))</f>
        <v/>
      </c>
      <c r="C365">
        <f>IFERROR(INDEX(InternalTrades!$E$2:$E$461,MATCH($A365,InternalTrades!$A$2:$A$461,0)),INDEX(ExchangeConfirms!$E$2:$E$460,MATCH($A365,ExchangeConfirms!$A$2:$A$460,0)))</f>
        <v/>
      </c>
      <c r="D365">
        <f>IFERROR(INDEX(InternalTrades!$K$2:$K$461,MATCH($A365,InternalTrades!$A$2:$A$461,0)),INDEX(ExchangeConfirms!$K$2:$K$460,MATCH($A365,ExchangeConfirms!$A$2:$A$460,0)))</f>
        <v/>
      </c>
      <c r="E365">
        <f>IF(COUNTIF(InternalTrades!$A$2:$A$461,$A365)&gt;0,1,0)</f>
        <v/>
      </c>
      <c r="F365">
        <f>IF(COUNTIF(ExchangeConfirms!$A$2:$A$460,$A365)&gt;0,1,0)</f>
        <v/>
      </c>
      <c r="G365">
        <f>IFERROR(INDEX(InternalTrades!$F$2:$F$461,MATCH($A365,InternalTrades!$A$2:$A$461,0)),"")</f>
        <v/>
      </c>
      <c r="H365">
        <f>IFERROR(INDEX(ExchangeConfirms!$F$2:$F$460,MATCH($A365,ExchangeConfirms!$A$2:$A$460,0)),"")</f>
        <v/>
      </c>
      <c r="I365">
        <f>IFERROR(INDEX(InternalTrades!$G$2:$G$461,MATCH($A365,InternalTrades!$A$2:$A$461,0)),"")</f>
        <v/>
      </c>
      <c r="J365">
        <f>IFERROR(INDEX(ExchangeConfirms!$G$2:$G$460,MATCH($A365,ExchangeConfirms!$A$2:$A$460,0)),"")</f>
        <v/>
      </c>
      <c r="K365">
        <f>IFERROR(INDEX(InternalTrades!$H$2:$H$461,MATCH($A365,InternalTrades!$A$2:$A$461,0)),"")</f>
        <v/>
      </c>
      <c r="L365">
        <f>IFERROR(INDEX(ExchangeConfirms!$H$2:$H$460,MATCH($A365,ExchangeConfirms!$A$2:$A$460,0)),"")</f>
        <v/>
      </c>
      <c r="M365">
        <f>IFERROR(INDEX(InternalTrades!$J$2:$J$461,MATCH($A365,InternalTrades!$A$2:$A$461,0)),"")</f>
        <v/>
      </c>
      <c r="N365">
        <f>IFERROR(INDEX(ExchangeConfirms!$J$2:$J$460,MATCH($A365,ExchangeConfirms!$A$2:$A$460,0)),"")</f>
        <v/>
      </c>
      <c r="O365">
        <f>IFERROR(INDEX(InternalTrades!$I$2:$I$461,MATCH($A365,InternalTrades!$A$2:$A$461,0)),"")</f>
        <v/>
      </c>
      <c r="P365">
        <f>IFERROR(INDEX(ExchangeConfirms!$I$2:$I$460,MATCH($A365,ExchangeConfirms!$A$2:$A$460,0)),"")</f>
        <v/>
      </c>
      <c r="Q365">
        <f>IF(AND($E365=1,$F365=0),"MISSING IN EXCHANGE",IF(AND($E365=0,$F365=1),"MISSING IN INTERNAL",IF($G365&lt;&gt;$H365,"SIDE BREAK",IF($I365&lt;&gt;$J365,"QTY BREAK",IF(ABS($K365-$L365)&gt;0.005,"PRICE BREAK",IF(ABS($M365-$N365)&gt;0.01,"FEE BREAK","MATCHED"))))))</f>
        <v/>
      </c>
      <c r="R365">
        <f>IF($Q365="MATCHED",0,1)</f>
        <v/>
      </c>
      <c r="S365">
        <f>IF($Q365="MATCHED",0,IF($Q365="MISSING IN EXCHANGE",$O365,IF($Q365="MISSING IN INTERNAL",$P365,ABS(N($O365)-N($P365)))))</f>
        <v/>
      </c>
    </row>
    <row r="366">
      <c r="A366" t="inlineStr">
        <is>
          <t>T100365</t>
        </is>
      </c>
      <c r="B366">
        <f>IFERROR(INDEX(InternalTrades!$D$2:$D$461,MATCH($A366,InternalTrades!$A$2:$A$461,0)),INDEX(ExchangeConfirms!$D$2:$D$460,MATCH($A366,ExchangeConfirms!$A$2:$A$460,0)))</f>
        <v/>
      </c>
      <c r="C366">
        <f>IFERROR(INDEX(InternalTrades!$E$2:$E$461,MATCH($A366,InternalTrades!$A$2:$A$461,0)),INDEX(ExchangeConfirms!$E$2:$E$460,MATCH($A366,ExchangeConfirms!$A$2:$A$460,0)))</f>
        <v/>
      </c>
      <c r="D366">
        <f>IFERROR(INDEX(InternalTrades!$K$2:$K$461,MATCH($A366,InternalTrades!$A$2:$A$461,0)),INDEX(ExchangeConfirms!$K$2:$K$460,MATCH($A366,ExchangeConfirms!$A$2:$A$460,0)))</f>
        <v/>
      </c>
      <c r="E366">
        <f>IF(COUNTIF(InternalTrades!$A$2:$A$461,$A366)&gt;0,1,0)</f>
        <v/>
      </c>
      <c r="F366">
        <f>IF(COUNTIF(ExchangeConfirms!$A$2:$A$460,$A366)&gt;0,1,0)</f>
        <v/>
      </c>
      <c r="G366">
        <f>IFERROR(INDEX(InternalTrades!$F$2:$F$461,MATCH($A366,InternalTrades!$A$2:$A$461,0)),"")</f>
        <v/>
      </c>
      <c r="H366">
        <f>IFERROR(INDEX(ExchangeConfirms!$F$2:$F$460,MATCH($A366,ExchangeConfirms!$A$2:$A$460,0)),"")</f>
        <v/>
      </c>
      <c r="I366">
        <f>IFERROR(INDEX(InternalTrades!$G$2:$G$461,MATCH($A366,InternalTrades!$A$2:$A$461,0)),"")</f>
        <v/>
      </c>
      <c r="J366">
        <f>IFERROR(INDEX(ExchangeConfirms!$G$2:$G$460,MATCH($A366,ExchangeConfirms!$A$2:$A$460,0)),"")</f>
        <v/>
      </c>
      <c r="K366">
        <f>IFERROR(INDEX(InternalTrades!$H$2:$H$461,MATCH($A366,InternalTrades!$A$2:$A$461,0)),"")</f>
        <v/>
      </c>
      <c r="L366">
        <f>IFERROR(INDEX(ExchangeConfirms!$H$2:$H$460,MATCH($A366,ExchangeConfirms!$A$2:$A$460,0)),"")</f>
        <v/>
      </c>
      <c r="M366">
        <f>IFERROR(INDEX(InternalTrades!$J$2:$J$461,MATCH($A366,InternalTrades!$A$2:$A$461,0)),"")</f>
        <v/>
      </c>
      <c r="N366">
        <f>IFERROR(INDEX(ExchangeConfirms!$J$2:$J$460,MATCH($A366,ExchangeConfirms!$A$2:$A$460,0)),"")</f>
        <v/>
      </c>
      <c r="O366">
        <f>IFERROR(INDEX(InternalTrades!$I$2:$I$461,MATCH($A366,InternalTrades!$A$2:$A$461,0)),"")</f>
        <v/>
      </c>
      <c r="P366">
        <f>IFERROR(INDEX(ExchangeConfirms!$I$2:$I$460,MATCH($A366,ExchangeConfirms!$A$2:$A$460,0)),"")</f>
        <v/>
      </c>
      <c r="Q366">
        <f>IF(AND($E366=1,$F366=0),"MISSING IN EXCHANGE",IF(AND($E366=0,$F366=1),"MISSING IN INTERNAL",IF($G366&lt;&gt;$H366,"SIDE BREAK",IF($I366&lt;&gt;$J366,"QTY BREAK",IF(ABS($K366-$L366)&gt;0.005,"PRICE BREAK",IF(ABS($M366-$N366)&gt;0.01,"FEE BREAK","MATCHED"))))))</f>
        <v/>
      </c>
      <c r="R366">
        <f>IF($Q366="MATCHED",0,1)</f>
        <v/>
      </c>
      <c r="S366">
        <f>IF($Q366="MATCHED",0,IF($Q366="MISSING IN EXCHANGE",$O366,IF($Q366="MISSING IN INTERNAL",$P366,ABS(N($O366)-N($P366)))))</f>
        <v/>
      </c>
    </row>
    <row r="367">
      <c r="A367" t="inlineStr">
        <is>
          <t>T100366</t>
        </is>
      </c>
      <c r="B367">
        <f>IFERROR(INDEX(InternalTrades!$D$2:$D$461,MATCH($A367,InternalTrades!$A$2:$A$461,0)),INDEX(ExchangeConfirms!$D$2:$D$460,MATCH($A367,ExchangeConfirms!$A$2:$A$460,0)))</f>
        <v/>
      </c>
      <c r="C367">
        <f>IFERROR(INDEX(InternalTrades!$E$2:$E$461,MATCH($A367,InternalTrades!$A$2:$A$461,0)),INDEX(ExchangeConfirms!$E$2:$E$460,MATCH($A367,ExchangeConfirms!$A$2:$A$460,0)))</f>
        <v/>
      </c>
      <c r="D367">
        <f>IFERROR(INDEX(InternalTrades!$K$2:$K$461,MATCH($A367,InternalTrades!$A$2:$A$461,0)),INDEX(ExchangeConfirms!$K$2:$K$460,MATCH($A367,ExchangeConfirms!$A$2:$A$460,0)))</f>
        <v/>
      </c>
      <c r="E367">
        <f>IF(COUNTIF(InternalTrades!$A$2:$A$461,$A367)&gt;0,1,0)</f>
        <v/>
      </c>
      <c r="F367">
        <f>IF(COUNTIF(ExchangeConfirms!$A$2:$A$460,$A367)&gt;0,1,0)</f>
        <v/>
      </c>
      <c r="G367">
        <f>IFERROR(INDEX(InternalTrades!$F$2:$F$461,MATCH($A367,InternalTrades!$A$2:$A$461,0)),"")</f>
        <v/>
      </c>
      <c r="H367">
        <f>IFERROR(INDEX(ExchangeConfirms!$F$2:$F$460,MATCH($A367,ExchangeConfirms!$A$2:$A$460,0)),"")</f>
        <v/>
      </c>
      <c r="I367">
        <f>IFERROR(INDEX(InternalTrades!$G$2:$G$461,MATCH($A367,InternalTrades!$A$2:$A$461,0)),"")</f>
        <v/>
      </c>
      <c r="J367">
        <f>IFERROR(INDEX(ExchangeConfirms!$G$2:$G$460,MATCH($A367,ExchangeConfirms!$A$2:$A$460,0)),"")</f>
        <v/>
      </c>
      <c r="K367">
        <f>IFERROR(INDEX(InternalTrades!$H$2:$H$461,MATCH($A367,InternalTrades!$A$2:$A$461,0)),"")</f>
        <v/>
      </c>
      <c r="L367">
        <f>IFERROR(INDEX(ExchangeConfirms!$H$2:$H$460,MATCH($A367,ExchangeConfirms!$A$2:$A$460,0)),"")</f>
        <v/>
      </c>
      <c r="M367">
        <f>IFERROR(INDEX(InternalTrades!$J$2:$J$461,MATCH($A367,InternalTrades!$A$2:$A$461,0)),"")</f>
        <v/>
      </c>
      <c r="N367">
        <f>IFERROR(INDEX(ExchangeConfirms!$J$2:$J$460,MATCH($A367,ExchangeConfirms!$A$2:$A$460,0)),"")</f>
        <v/>
      </c>
      <c r="O367">
        <f>IFERROR(INDEX(InternalTrades!$I$2:$I$461,MATCH($A367,InternalTrades!$A$2:$A$461,0)),"")</f>
        <v/>
      </c>
      <c r="P367">
        <f>IFERROR(INDEX(ExchangeConfirms!$I$2:$I$460,MATCH($A367,ExchangeConfirms!$A$2:$A$460,0)),"")</f>
        <v/>
      </c>
      <c r="Q367">
        <f>IF(AND($E367=1,$F367=0),"MISSING IN EXCHANGE",IF(AND($E367=0,$F367=1),"MISSING IN INTERNAL",IF($G367&lt;&gt;$H367,"SIDE BREAK",IF($I367&lt;&gt;$J367,"QTY BREAK",IF(ABS($K367-$L367)&gt;0.005,"PRICE BREAK",IF(ABS($M367-$N367)&gt;0.01,"FEE BREAK","MATCHED"))))))</f>
        <v/>
      </c>
      <c r="R367">
        <f>IF($Q367="MATCHED",0,1)</f>
        <v/>
      </c>
      <c r="S367">
        <f>IF($Q367="MATCHED",0,IF($Q367="MISSING IN EXCHANGE",$O367,IF($Q367="MISSING IN INTERNAL",$P367,ABS(N($O367)-N($P367)))))</f>
        <v/>
      </c>
    </row>
    <row r="368">
      <c r="A368" t="inlineStr">
        <is>
          <t>T100367</t>
        </is>
      </c>
      <c r="B368">
        <f>IFERROR(INDEX(InternalTrades!$D$2:$D$461,MATCH($A368,InternalTrades!$A$2:$A$461,0)),INDEX(ExchangeConfirms!$D$2:$D$460,MATCH($A368,ExchangeConfirms!$A$2:$A$460,0)))</f>
        <v/>
      </c>
      <c r="C368">
        <f>IFERROR(INDEX(InternalTrades!$E$2:$E$461,MATCH($A368,InternalTrades!$A$2:$A$461,0)),INDEX(ExchangeConfirms!$E$2:$E$460,MATCH($A368,ExchangeConfirms!$A$2:$A$460,0)))</f>
        <v/>
      </c>
      <c r="D368">
        <f>IFERROR(INDEX(InternalTrades!$K$2:$K$461,MATCH($A368,InternalTrades!$A$2:$A$461,0)),INDEX(ExchangeConfirms!$K$2:$K$460,MATCH($A368,ExchangeConfirms!$A$2:$A$460,0)))</f>
        <v/>
      </c>
      <c r="E368">
        <f>IF(COUNTIF(InternalTrades!$A$2:$A$461,$A368)&gt;0,1,0)</f>
        <v/>
      </c>
      <c r="F368">
        <f>IF(COUNTIF(ExchangeConfirms!$A$2:$A$460,$A368)&gt;0,1,0)</f>
        <v/>
      </c>
      <c r="G368">
        <f>IFERROR(INDEX(InternalTrades!$F$2:$F$461,MATCH($A368,InternalTrades!$A$2:$A$461,0)),"")</f>
        <v/>
      </c>
      <c r="H368">
        <f>IFERROR(INDEX(ExchangeConfirms!$F$2:$F$460,MATCH($A368,ExchangeConfirms!$A$2:$A$460,0)),"")</f>
        <v/>
      </c>
      <c r="I368">
        <f>IFERROR(INDEX(InternalTrades!$G$2:$G$461,MATCH($A368,InternalTrades!$A$2:$A$461,0)),"")</f>
        <v/>
      </c>
      <c r="J368">
        <f>IFERROR(INDEX(ExchangeConfirms!$G$2:$G$460,MATCH($A368,ExchangeConfirms!$A$2:$A$460,0)),"")</f>
        <v/>
      </c>
      <c r="K368">
        <f>IFERROR(INDEX(InternalTrades!$H$2:$H$461,MATCH($A368,InternalTrades!$A$2:$A$461,0)),"")</f>
        <v/>
      </c>
      <c r="L368">
        <f>IFERROR(INDEX(ExchangeConfirms!$H$2:$H$460,MATCH($A368,ExchangeConfirms!$A$2:$A$460,0)),"")</f>
        <v/>
      </c>
      <c r="M368">
        <f>IFERROR(INDEX(InternalTrades!$J$2:$J$461,MATCH($A368,InternalTrades!$A$2:$A$461,0)),"")</f>
        <v/>
      </c>
      <c r="N368">
        <f>IFERROR(INDEX(ExchangeConfirms!$J$2:$J$460,MATCH($A368,ExchangeConfirms!$A$2:$A$460,0)),"")</f>
        <v/>
      </c>
      <c r="O368">
        <f>IFERROR(INDEX(InternalTrades!$I$2:$I$461,MATCH($A368,InternalTrades!$A$2:$A$461,0)),"")</f>
        <v/>
      </c>
      <c r="P368">
        <f>IFERROR(INDEX(ExchangeConfirms!$I$2:$I$460,MATCH($A368,ExchangeConfirms!$A$2:$A$460,0)),"")</f>
        <v/>
      </c>
      <c r="Q368">
        <f>IF(AND($E368=1,$F368=0),"MISSING IN EXCHANGE",IF(AND($E368=0,$F368=1),"MISSING IN INTERNAL",IF($G368&lt;&gt;$H368,"SIDE BREAK",IF($I368&lt;&gt;$J368,"QTY BREAK",IF(ABS($K368-$L368)&gt;0.005,"PRICE BREAK",IF(ABS($M368-$N368)&gt;0.01,"FEE BREAK","MATCHED"))))))</f>
        <v/>
      </c>
      <c r="R368">
        <f>IF($Q368="MATCHED",0,1)</f>
        <v/>
      </c>
      <c r="S368">
        <f>IF($Q368="MATCHED",0,IF($Q368="MISSING IN EXCHANGE",$O368,IF($Q368="MISSING IN INTERNAL",$P368,ABS(N($O368)-N($P368)))))</f>
        <v/>
      </c>
    </row>
    <row r="369">
      <c r="A369" t="inlineStr">
        <is>
          <t>T100368</t>
        </is>
      </c>
      <c r="B369">
        <f>IFERROR(INDEX(InternalTrades!$D$2:$D$461,MATCH($A369,InternalTrades!$A$2:$A$461,0)),INDEX(ExchangeConfirms!$D$2:$D$460,MATCH($A369,ExchangeConfirms!$A$2:$A$460,0)))</f>
        <v/>
      </c>
      <c r="C369">
        <f>IFERROR(INDEX(InternalTrades!$E$2:$E$461,MATCH($A369,InternalTrades!$A$2:$A$461,0)),INDEX(ExchangeConfirms!$E$2:$E$460,MATCH($A369,ExchangeConfirms!$A$2:$A$460,0)))</f>
        <v/>
      </c>
      <c r="D369">
        <f>IFERROR(INDEX(InternalTrades!$K$2:$K$461,MATCH($A369,InternalTrades!$A$2:$A$461,0)),INDEX(ExchangeConfirms!$K$2:$K$460,MATCH($A369,ExchangeConfirms!$A$2:$A$460,0)))</f>
        <v/>
      </c>
      <c r="E369">
        <f>IF(COUNTIF(InternalTrades!$A$2:$A$461,$A369)&gt;0,1,0)</f>
        <v/>
      </c>
      <c r="F369">
        <f>IF(COUNTIF(ExchangeConfirms!$A$2:$A$460,$A369)&gt;0,1,0)</f>
        <v/>
      </c>
      <c r="G369">
        <f>IFERROR(INDEX(InternalTrades!$F$2:$F$461,MATCH($A369,InternalTrades!$A$2:$A$461,0)),"")</f>
        <v/>
      </c>
      <c r="H369">
        <f>IFERROR(INDEX(ExchangeConfirms!$F$2:$F$460,MATCH($A369,ExchangeConfirms!$A$2:$A$460,0)),"")</f>
        <v/>
      </c>
      <c r="I369">
        <f>IFERROR(INDEX(InternalTrades!$G$2:$G$461,MATCH($A369,InternalTrades!$A$2:$A$461,0)),"")</f>
        <v/>
      </c>
      <c r="J369">
        <f>IFERROR(INDEX(ExchangeConfirms!$G$2:$G$460,MATCH($A369,ExchangeConfirms!$A$2:$A$460,0)),"")</f>
        <v/>
      </c>
      <c r="K369">
        <f>IFERROR(INDEX(InternalTrades!$H$2:$H$461,MATCH($A369,InternalTrades!$A$2:$A$461,0)),"")</f>
        <v/>
      </c>
      <c r="L369">
        <f>IFERROR(INDEX(ExchangeConfirms!$H$2:$H$460,MATCH($A369,ExchangeConfirms!$A$2:$A$460,0)),"")</f>
        <v/>
      </c>
      <c r="M369">
        <f>IFERROR(INDEX(InternalTrades!$J$2:$J$461,MATCH($A369,InternalTrades!$A$2:$A$461,0)),"")</f>
        <v/>
      </c>
      <c r="N369">
        <f>IFERROR(INDEX(ExchangeConfirms!$J$2:$J$460,MATCH($A369,ExchangeConfirms!$A$2:$A$460,0)),"")</f>
        <v/>
      </c>
      <c r="O369">
        <f>IFERROR(INDEX(InternalTrades!$I$2:$I$461,MATCH($A369,InternalTrades!$A$2:$A$461,0)),"")</f>
        <v/>
      </c>
      <c r="P369">
        <f>IFERROR(INDEX(ExchangeConfirms!$I$2:$I$460,MATCH($A369,ExchangeConfirms!$A$2:$A$460,0)),"")</f>
        <v/>
      </c>
      <c r="Q369">
        <f>IF(AND($E369=1,$F369=0),"MISSING IN EXCHANGE",IF(AND($E369=0,$F369=1),"MISSING IN INTERNAL",IF($G369&lt;&gt;$H369,"SIDE BREAK",IF($I369&lt;&gt;$J369,"QTY BREAK",IF(ABS($K369-$L369)&gt;0.005,"PRICE BREAK",IF(ABS($M369-$N369)&gt;0.01,"FEE BREAK","MATCHED"))))))</f>
        <v/>
      </c>
      <c r="R369">
        <f>IF($Q369="MATCHED",0,1)</f>
        <v/>
      </c>
      <c r="S369">
        <f>IF($Q369="MATCHED",0,IF($Q369="MISSING IN EXCHANGE",$O369,IF($Q369="MISSING IN INTERNAL",$P369,ABS(N($O369)-N($P369)))))</f>
        <v/>
      </c>
    </row>
    <row r="370">
      <c r="A370" t="inlineStr">
        <is>
          <t>T100369</t>
        </is>
      </c>
      <c r="B370">
        <f>IFERROR(INDEX(InternalTrades!$D$2:$D$461,MATCH($A370,InternalTrades!$A$2:$A$461,0)),INDEX(ExchangeConfirms!$D$2:$D$460,MATCH($A370,ExchangeConfirms!$A$2:$A$460,0)))</f>
        <v/>
      </c>
      <c r="C370">
        <f>IFERROR(INDEX(InternalTrades!$E$2:$E$461,MATCH($A370,InternalTrades!$A$2:$A$461,0)),INDEX(ExchangeConfirms!$E$2:$E$460,MATCH($A370,ExchangeConfirms!$A$2:$A$460,0)))</f>
        <v/>
      </c>
      <c r="D370">
        <f>IFERROR(INDEX(InternalTrades!$K$2:$K$461,MATCH($A370,InternalTrades!$A$2:$A$461,0)),INDEX(ExchangeConfirms!$K$2:$K$460,MATCH($A370,ExchangeConfirms!$A$2:$A$460,0)))</f>
        <v/>
      </c>
      <c r="E370">
        <f>IF(COUNTIF(InternalTrades!$A$2:$A$461,$A370)&gt;0,1,0)</f>
        <v/>
      </c>
      <c r="F370">
        <f>IF(COUNTIF(ExchangeConfirms!$A$2:$A$460,$A370)&gt;0,1,0)</f>
        <v/>
      </c>
      <c r="G370">
        <f>IFERROR(INDEX(InternalTrades!$F$2:$F$461,MATCH($A370,InternalTrades!$A$2:$A$461,0)),"")</f>
        <v/>
      </c>
      <c r="H370">
        <f>IFERROR(INDEX(ExchangeConfirms!$F$2:$F$460,MATCH($A370,ExchangeConfirms!$A$2:$A$460,0)),"")</f>
        <v/>
      </c>
      <c r="I370">
        <f>IFERROR(INDEX(InternalTrades!$G$2:$G$461,MATCH($A370,InternalTrades!$A$2:$A$461,0)),"")</f>
        <v/>
      </c>
      <c r="J370">
        <f>IFERROR(INDEX(ExchangeConfirms!$G$2:$G$460,MATCH($A370,ExchangeConfirms!$A$2:$A$460,0)),"")</f>
        <v/>
      </c>
      <c r="K370">
        <f>IFERROR(INDEX(InternalTrades!$H$2:$H$461,MATCH($A370,InternalTrades!$A$2:$A$461,0)),"")</f>
        <v/>
      </c>
      <c r="L370">
        <f>IFERROR(INDEX(ExchangeConfirms!$H$2:$H$460,MATCH($A370,ExchangeConfirms!$A$2:$A$460,0)),"")</f>
        <v/>
      </c>
      <c r="M370">
        <f>IFERROR(INDEX(InternalTrades!$J$2:$J$461,MATCH($A370,InternalTrades!$A$2:$A$461,0)),"")</f>
        <v/>
      </c>
      <c r="N370">
        <f>IFERROR(INDEX(ExchangeConfirms!$J$2:$J$460,MATCH($A370,ExchangeConfirms!$A$2:$A$460,0)),"")</f>
        <v/>
      </c>
      <c r="O370">
        <f>IFERROR(INDEX(InternalTrades!$I$2:$I$461,MATCH($A370,InternalTrades!$A$2:$A$461,0)),"")</f>
        <v/>
      </c>
      <c r="P370">
        <f>IFERROR(INDEX(ExchangeConfirms!$I$2:$I$460,MATCH($A370,ExchangeConfirms!$A$2:$A$460,0)),"")</f>
        <v/>
      </c>
      <c r="Q370">
        <f>IF(AND($E370=1,$F370=0),"MISSING IN EXCHANGE",IF(AND($E370=0,$F370=1),"MISSING IN INTERNAL",IF($G370&lt;&gt;$H370,"SIDE BREAK",IF($I370&lt;&gt;$J370,"QTY BREAK",IF(ABS($K370-$L370)&gt;0.005,"PRICE BREAK",IF(ABS($M370-$N370)&gt;0.01,"FEE BREAK","MATCHED"))))))</f>
        <v/>
      </c>
      <c r="R370">
        <f>IF($Q370="MATCHED",0,1)</f>
        <v/>
      </c>
      <c r="S370">
        <f>IF($Q370="MATCHED",0,IF($Q370="MISSING IN EXCHANGE",$O370,IF($Q370="MISSING IN INTERNAL",$P370,ABS(N($O370)-N($P370)))))</f>
        <v/>
      </c>
    </row>
    <row r="371">
      <c r="A371" t="inlineStr">
        <is>
          <t>T100370</t>
        </is>
      </c>
      <c r="B371">
        <f>IFERROR(INDEX(InternalTrades!$D$2:$D$461,MATCH($A371,InternalTrades!$A$2:$A$461,0)),INDEX(ExchangeConfirms!$D$2:$D$460,MATCH($A371,ExchangeConfirms!$A$2:$A$460,0)))</f>
        <v/>
      </c>
      <c r="C371">
        <f>IFERROR(INDEX(InternalTrades!$E$2:$E$461,MATCH($A371,InternalTrades!$A$2:$A$461,0)),INDEX(ExchangeConfirms!$E$2:$E$460,MATCH($A371,ExchangeConfirms!$A$2:$A$460,0)))</f>
        <v/>
      </c>
      <c r="D371">
        <f>IFERROR(INDEX(InternalTrades!$K$2:$K$461,MATCH($A371,InternalTrades!$A$2:$A$461,0)),INDEX(ExchangeConfirms!$K$2:$K$460,MATCH($A371,ExchangeConfirms!$A$2:$A$460,0)))</f>
        <v/>
      </c>
      <c r="E371">
        <f>IF(COUNTIF(InternalTrades!$A$2:$A$461,$A371)&gt;0,1,0)</f>
        <v/>
      </c>
      <c r="F371">
        <f>IF(COUNTIF(ExchangeConfirms!$A$2:$A$460,$A371)&gt;0,1,0)</f>
        <v/>
      </c>
      <c r="G371">
        <f>IFERROR(INDEX(InternalTrades!$F$2:$F$461,MATCH($A371,InternalTrades!$A$2:$A$461,0)),"")</f>
        <v/>
      </c>
      <c r="H371">
        <f>IFERROR(INDEX(ExchangeConfirms!$F$2:$F$460,MATCH($A371,ExchangeConfirms!$A$2:$A$460,0)),"")</f>
        <v/>
      </c>
      <c r="I371">
        <f>IFERROR(INDEX(InternalTrades!$G$2:$G$461,MATCH($A371,InternalTrades!$A$2:$A$461,0)),"")</f>
        <v/>
      </c>
      <c r="J371">
        <f>IFERROR(INDEX(ExchangeConfirms!$G$2:$G$460,MATCH($A371,ExchangeConfirms!$A$2:$A$460,0)),"")</f>
        <v/>
      </c>
      <c r="K371">
        <f>IFERROR(INDEX(InternalTrades!$H$2:$H$461,MATCH($A371,InternalTrades!$A$2:$A$461,0)),"")</f>
        <v/>
      </c>
      <c r="L371">
        <f>IFERROR(INDEX(ExchangeConfirms!$H$2:$H$460,MATCH($A371,ExchangeConfirms!$A$2:$A$460,0)),"")</f>
        <v/>
      </c>
      <c r="M371">
        <f>IFERROR(INDEX(InternalTrades!$J$2:$J$461,MATCH($A371,InternalTrades!$A$2:$A$461,0)),"")</f>
        <v/>
      </c>
      <c r="N371">
        <f>IFERROR(INDEX(ExchangeConfirms!$J$2:$J$460,MATCH($A371,ExchangeConfirms!$A$2:$A$460,0)),"")</f>
        <v/>
      </c>
      <c r="O371">
        <f>IFERROR(INDEX(InternalTrades!$I$2:$I$461,MATCH($A371,InternalTrades!$A$2:$A$461,0)),"")</f>
        <v/>
      </c>
      <c r="P371">
        <f>IFERROR(INDEX(ExchangeConfirms!$I$2:$I$460,MATCH($A371,ExchangeConfirms!$A$2:$A$460,0)),"")</f>
        <v/>
      </c>
      <c r="Q371">
        <f>IF(AND($E371=1,$F371=0),"MISSING IN EXCHANGE",IF(AND($E371=0,$F371=1),"MISSING IN INTERNAL",IF($G371&lt;&gt;$H371,"SIDE BREAK",IF($I371&lt;&gt;$J371,"QTY BREAK",IF(ABS($K371-$L371)&gt;0.005,"PRICE BREAK",IF(ABS($M371-$N371)&gt;0.01,"FEE BREAK","MATCHED"))))))</f>
        <v/>
      </c>
      <c r="R371">
        <f>IF($Q371="MATCHED",0,1)</f>
        <v/>
      </c>
      <c r="S371">
        <f>IF($Q371="MATCHED",0,IF($Q371="MISSING IN EXCHANGE",$O371,IF($Q371="MISSING IN INTERNAL",$P371,ABS(N($O371)-N($P371)))))</f>
        <v/>
      </c>
    </row>
    <row r="372">
      <c r="A372" t="inlineStr">
        <is>
          <t>T100371</t>
        </is>
      </c>
      <c r="B372">
        <f>IFERROR(INDEX(InternalTrades!$D$2:$D$461,MATCH($A372,InternalTrades!$A$2:$A$461,0)),INDEX(ExchangeConfirms!$D$2:$D$460,MATCH($A372,ExchangeConfirms!$A$2:$A$460,0)))</f>
        <v/>
      </c>
      <c r="C372">
        <f>IFERROR(INDEX(InternalTrades!$E$2:$E$461,MATCH($A372,InternalTrades!$A$2:$A$461,0)),INDEX(ExchangeConfirms!$E$2:$E$460,MATCH($A372,ExchangeConfirms!$A$2:$A$460,0)))</f>
        <v/>
      </c>
      <c r="D372">
        <f>IFERROR(INDEX(InternalTrades!$K$2:$K$461,MATCH($A372,InternalTrades!$A$2:$A$461,0)),INDEX(ExchangeConfirms!$K$2:$K$460,MATCH($A372,ExchangeConfirms!$A$2:$A$460,0)))</f>
        <v/>
      </c>
      <c r="E372">
        <f>IF(COUNTIF(InternalTrades!$A$2:$A$461,$A372)&gt;0,1,0)</f>
        <v/>
      </c>
      <c r="F372">
        <f>IF(COUNTIF(ExchangeConfirms!$A$2:$A$460,$A372)&gt;0,1,0)</f>
        <v/>
      </c>
      <c r="G372">
        <f>IFERROR(INDEX(InternalTrades!$F$2:$F$461,MATCH($A372,InternalTrades!$A$2:$A$461,0)),"")</f>
        <v/>
      </c>
      <c r="H372">
        <f>IFERROR(INDEX(ExchangeConfirms!$F$2:$F$460,MATCH($A372,ExchangeConfirms!$A$2:$A$460,0)),"")</f>
        <v/>
      </c>
      <c r="I372">
        <f>IFERROR(INDEX(InternalTrades!$G$2:$G$461,MATCH($A372,InternalTrades!$A$2:$A$461,0)),"")</f>
        <v/>
      </c>
      <c r="J372">
        <f>IFERROR(INDEX(ExchangeConfirms!$G$2:$G$460,MATCH($A372,ExchangeConfirms!$A$2:$A$460,0)),"")</f>
        <v/>
      </c>
      <c r="K372">
        <f>IFERROR(INDEX(InternalTrades!$H$2:$H$461,MATCH($A372,InternalTrades!$A$2:$A$461,0)),"")</f>
        <v/>
      </c>
      <c r="L372">
        <f>IFERROR(INDEX(ExchangeConfirms!$H$2:$H$460,MATCH($A372,ExchangeConfirms!$A$2:$A$460,0)),"")</f>
        <v/>
      </c>
      <c r="M372">
        <f>IFERROR(INDEX(InternalTrades!$J$2:$J$461,MATCH($A372,InternalTrades!$A$2:$A$461,0)),"")</f>
        <v/>
      </c>
      <c r="N372">
        <f>IFERROR(INDEX(ExchangeConfirms!$J$2:$J$460,MATCH($A372,ExchangeConfirms!$A$2:$A$460,0)),"")</f>
        <v/>
      </c>
      <c r="O372">
        <f>IFERROR(INDEX(InternalTrades!$I$2:$I$461,MATCH($A372,InternalTrades!$A$2:$A$461,0)),"")</f>
        <v/>
      </c>
      <c r="P372">
        <f>IFERROR(INDEX(ExchangeConfirms!$I$2:$I$460,MATCH($A372,ExchangeConfirms!$A$2:$A$460,0)),"")</f>
        <v/>
      </c>
      <c r="Q372">
        <f>IF(AND($E372=1,$F372=0),"MISSING IN EXCHANGE",IF(AND($E372=0,$F372=1),"MISSING IN INTERNAL",IF($G372&lt;&gt;$H372,"SIDE BREAK",IF($I372&lt;&gt;$J372,"QTY BREAK",IF(ABS($K372-$L372)&gt;0.005,"PRICE BREAK",IF(ABS($M372-$N372)&gt;0.01,"FEE BREAK","MATCHED"))))))</f>
        <v/>
      </c>
      <c r="R372">
        <f>IF($Q372="MATCHED",0,1)</f>
        <v/>
      </c>
      <c r="S372">
        <f>IF($Q372="MATCHED",0,IF($Q372="MISSING IN EXCHANGE",$O372,IF($Q372="MISSING IN INTERNAL",$P372,ABS(N($O372)-N($P372)))))</f>
        <v/>
      </c>
    </row>
    <row r="373">
      <c r="A373" t="inlineStr">
        <is>
          <t>T100372</t>
        </is>
      </c>
      <c r="B373">
        <f>IFERROR(INDEX(InternalTrades!$D$2:$D$461,MATCH($A373,InternalTrades!$A$2:$A$461,0)),INDEX(ExchangeConfirms!$D$2:$D$460,MATCH($A373,ExchangeConfirms!$A$2:$A$460,0)))</f>
        <v/>
      </c>
      <c r="C373">
        <f>IFERROR(INDEX(InternalTrades!$E$2:$E$461,MATCH($A373,InternalTrades!$A$2:$A$461,0)),INDEX(ExchangeConfirms!$E$2:$E$460,MATCH($A373,ExchangeConfirms!$A$2:$A$460,0)))</f>
        <v/>
      </c>
      <c r="D373">
        <f>IFERROR(INDEX(InternalTrades!$K$2:$K$461,MATCH($A373,InternalTrades!$A$2:$A$461,0)),INDEX(ExchangeConfirms!$K$2:$K$460,MATCH($A373,ExchangeConfirms!$A$2:$A$460,0)))</f>
        <v/>
      </c>
      <c r="E373">
        <f>IF(COUNTIF(InternalTrades!$A$2:$A$461,$A373)&gt;0,1,0)</f>
        <v/>
      </c>
      <c r="F373">
        <f>IF(COUNTIF(ExchangeConfirms!$A$2:$A$460,$A373)&gt;0,1,0)</f>
        <v/>
      </c>
      <c r="G373">
        <f>IFERROR(INDEX(InternalTrades!$F$2:$F$461,MATCH($A373,InternalTrades!$A$2:$A$461,0)),"")</f>
        <v/>
      </c>
      <c r="H373">
        <f>IFERROR(INDEX(ExchangeConfirms!$F$2:$F$460,MATCH($A373,ExchangeConfirms!$A$2:$A$460,0)),"")</f>
        <v/>
      </c>
      <c r="I373">
        <f>IFERROR(INDEX(InternalTrades!$G$2:$G$461,MATCH($A373,InternalTrades!$A$2:$A$461,0)),"")</f>
        <v/>
      </c>
      <c r="J373">
        <f>IFERROR(INDEX(ExchangeConfirms!$G$2:$G$460,MATCH($A373,ExchangeConfirms!$A$2:$A$460,0)),"")</f>
        <v/>
      </c>
      <c r="K373">
        <f>IFERROR(INDEX(InternalTrades!$H$2:$H$461,MATCH($A373,InternalTrades!$A$2:$A$461,0)),"")</f>
        <v/>
      </c>
      <c r="L373">
        <f>IFERROR(INDEX(ExchangeConfirms!$H$2:$H$460,MATCH($A373,ExchangeConfirms!$A$2:$A$460,0)),"")</f>
        <v/>
      </c>
      <c r="M373">
        <f>IFERROR(INDEX(InternalTrades!$J$2:$J$461,MATCH($A373,InternalTrades!$A$2:$A$461,0)),"")</f>
        <v/>
      </c>
      <c r="N373">
        <f>IFERROR(INDEX(ExchangeConfirms!$J$2:$J$460,MATCH($A373,ExchangeConfirms!$A$2:$A$460,0)),"")</f>
        <v/>
      </c>
      <c r="O373">
        <f>IFERROR(INDEX(InternalTrades!$I$2:$I$461,MATCH($A373,InternalTrades!$A$2:$A$461,0)),"")</f>
        <v/>
      </c>
      <c r="P373">
        <f>IFERROR(INDEX(ExchangeConfirms!$I$2:$I$460,MATCH($A373,ExchangeConfirms!$A$2:$A$460,0)),"")</f>
        <v/>
      </c>
      <c r="Q373">
        <f>IF(AND($E373=1,$F373=0),"MISSING IN EXCHANGE",IF(AND($E373=0,$F373=1),"MISSING IN INTERNAL",IF($G373&lt;&gt;$H373,"SIDE BREAK",IF($I373&lt;&gt;$J373,"QTY BREAK",IF(ABS($K373-$L373)&gt;0.005,"PRICE BREAK",IF(ABS($M373-$N373)&gt;0.01,"FEE BREAK","MATCHED"))))))</f>
        <v/>
      </c>
      <c r="R373">
        <f>IF($Q373="MATCHED",0,1)</f>
        <v/>
      </c>
      <c r="S373">
        <f>IF($Q373="MATCHED",0,IF($Q373="MISSING IN EXCHANGE",$O373,IF($Q373="MISSING IN INTERNAL",$P373,ABS(N($O373)-N($P373)))))</f>
        <v/>
      </c>
    </row>
    <row r="374">
      <c r="A374" t="inlineStr">
        <is>
          <t>T100373</t>
        </is>
      </c>
      <c r="B374">
        <f>IFERROR(INDEX(InternalTrades!$D$2:$D$461,MATCH($A374,InternalTrades!$A$2:$A$461,0)),INDEX(ExchangeConfirms!$D$2:$D$460,MATCH($A374,ExchangeConfirms!$A$2:$A$460,0)))</f>
        <v/>
      </c>
      <c r="C374">
        <f>IFERROR(INDEX(InternalTrades!$E$2:$E$461,MATCH($A374,InternalTrades!$A$2:$A$461,0)),INDEX(ExchangeConfirms!$E$2:$E$460,MATCH($A374,ExchangeConfirms!$A$2:$A$460,0)))</f>
        <v/>
      </c>
      <c r="D374">
        <f>IFERROR(INDEX(InternalTrades!$K$2:$K$461,MATCH($A374,InternalTrades!$A$2:$A$461,0)),INDEX(ExchangeConfirms!$K$2:$K$460,MATCH($A374,ExchangeConfirms!$A$2:$A$460,0)))</f>
        <v/>
      </c>
      <c r="E374">
        <f>IF(COUNTIF(InternalTrades!$A$2:$A$461,$A374)&gt;0,1,0)</f>
        <v/>
      </c>
      <c r="F374">
        <f>IF(COUNTIF(ExchangeConfirms!$A$2:$A$460,$A374)&gt;0,1,0)</f>
        <v/>
      </c>
      <c r="G374">
        <f>IFERROR(INDEX(InternalTrades!$F$2:$F$461,MATCH($A374,InternalTrades!$A$2:$A$461,0)),"")</f>
        <v/>
      </c>
      <c r="H374">
        <f>IFERROR(INDEX(ExchangeConfirms!$F$2:$F$460,MATCH($A374,ExchangeConfirms!$A$2:$A$460,0)),"")</f>
        <v/>
      </c>
      <c r="I374">
        <f>IFERROR(INDEX(InternalTrades!$G$2:$G$461,MATCH($A374,InternalTrades!$A$2:$A$461,0)),"")</f>
        <v/>
      </c>
      <c r="J374">
        <f>IFERROR(INDEX(ExchangeConfirms!$G$2:$G$460,MATCH($A374,ExchangeConfirms!$A$2:$A$460,0)),"")</f>
        <v/>
      </c>
      <c r="K374">
        <f>IFERROR(INDEX(InternalTrades!$H$2:$H$461,MATCH($A374,InternalTrades!$A$2:$A$461,0)),"")</f>
        <v/>
      </c>
      <c r="L374">
        <f>IFERROR(INDEX(ExchangeConfirms!$H$2:$H$460,MATCH($A374,ExchangeConfirms!$A$2:$A$460,0)),"")</f>
        <v/>
      </c>
      <c r="M374">
        <f>IFERROR(INDEX(InternalTrades!$J$2:$J$461,MATCH($A374,InternalTrades!$A$2:$A$461,0)),"")</f>
        <v/>
      </c>
      <c r="N374">
        <f>IFERROR(INDEX(ExchangeConfirms!$J$2:$J$460,MATCH($A374,ExchangeConfirms!$A$2:$A$460,0)),"")</f>
        <v/>
      </c>
      <c r="O374">
        <f>IFERROR(INDEX(InternalTrades!$I$2:$I$461,MATCH($A374,InternalTrades!$A$2:$A$461,0)),"")</f>
        <v/>
      </c>
      <c r="P374">
        <f>IFERROR(INDEX(ExchangeConfirms!$I$2:$I$460,MATCH($A374,ExchangeConfirms!$A$2:$A$460,0)),"")</f>
        <v/>
      </c>
      <c r="Q374">
        <f>IF(AND($E374=1,$F374=0),"MISSING IN EXCHANGE",IF(AND($E374=0,$F374=1),"MISSING IN INTERNAL",IF($G374&lt;&gt;$H374,"SIDE BREAK",IF($I374&lt;&gt;$J374,"QTY BREAK",IF(ABS($K374-$L374)&gt;0.005,"PRICE BREAK",IF(ABS($M374-$N374)&gt;0.01,"FEE BREAK","MATCHED"))))))</f>
        <v/>
      </c>
      <c r="R374">
        <f>IF($Q374="MATCHED",0,1)</f>
        <v/>
      </c>
      <c r="S374">
        <f>IF($Q374="MATCHED",0,IF($Q374="MISSING IN EXCHANGE",$O374,IF($Q374="MISSING IN INTERNAL",$P374,ABS(N($O374)-N($P374)))))</f>
        <v/>
      </c>
    </row>
    <row r="375">
      <c r="A375" t="inlineStr">
        <is>
          <t>T100374</t>
        </is>
      </c>
      <c r="B375">
        <f>IFERROR(INDEX(InternalTrades!$D$2:$D$461,MATCH($A375,InternalTrades!$A$2:$A$461,0)),INDEX(ExchangeConfirms!$D$2:$D$460,MATCH($A375,ExchangeConfirms!$A$2:$A$460,0)))</f>
        <v/>
      </c>
      <c r="C375">
        <f>IFERROR(INDEX(InternalTrades!$E$2:$E$461,MATCH($A375,InternalTrades!$A$2:$A$461,0)),INDEX(ExchangeConfirms!$E$2:$E$460,MATCH($A375,ExchangeConfirms!$A$2:$A$460,0)))</f>
        <v/>
      </c>
      <c r="D375">
        <f>IFERROR(INDEX(InternalTrades!$K$2:$K$461,MATCH($A375,InternalTrades!$A$2:$A$461,0)),INDEX(ExchangeConfirms!$K$2:$K$460,MATCH($A375,ExchangeConfirms!$A$2:$A$460,0)))</f>
        <v/>
      </c>
      <c r="E375">
        <f>IF(COUNTIF(InternalTrades!$A$2:$A$461,$A375)&gt;0,1,0)</f>
        <v/>
      </c>
      <c r="F375">
        <f>IF(COUNTIF(ExchangeConfirms!$A$2:$A$460,$A375)&gt;0,1,0)</f>
        <v/>
      </c>
      <c r="G375">
        <f>IFERROR(INDEX(InternalTrades!$F$2:$F$461,MATCH($A375,InternalTrades!$A$2:$A$461,0)),"")</f>
        <v/>
      </c>
      <c r="H375">
        <f>IFERROR(INDEX(ExchangeConfirms!$F$2:$F$460,MATCH($A375,ExchangeConfirms!$A$2:$A$460,0)),"")</f>
        <v/>
      </c>
      <c r="I375">
        <f>IFERROR(INDEX(InternalTrades!$G$2:$G$461,MATCH($A375,InternalTrades!$A$2:$A$461,0)),"")</f>
        <v/>
      </c>
      <c r="J375">
        <f>IFERROR(INDEX(ExchangeConfirms!$G$2:$G$460,MATCH($A375,ExchangeConfirms!$A$2:$A$460,0)),"")</f>
        <v/>
      </c>
      <c r="K375">
        <f>IFERROR(INDEX(InternalTrades!$H$2:$H$461,MATCH($A375,InternalTrades!$A$2:$A$461,0)),"")</f>
        <v/>
      </c>
      <c r="L375">
        <f>IFERROR(INDEX(ExchangeConfirms!$H$2:$H$460,MATCH($A375,ExchangeConfirms!$A$2:$A$460,0)),"")</f>
        <v/>
      </c>
      <c r="M375">
        <f>IFERROR(INDEX(InternalTrades!$J$2:$J$461,MATCH($A375,InternalTrades!$A$2:$A$461,0)),"")</f>
        <v/>
      </c>
      <c r="N375">
        <f>IFERROR(INDEX(ExchangeConfirms!$J$2:$J$460,MATCH($A375,ExchangeConfirms!$A$2:$A$460,0)),"")</f>
        <v/>
      </c>
      <c r="O375">
        <f>IFERROR(INDEX(InternalTrades!$I$2:$I$461,MATCH($A375,InternalTrades!$A$2:$A$461,0)),"")</f>
        <v/>
      </c>
      <c r="P375">
        <f>IFERROR(INDEX(ExchangeConfirms!$I$2:$I$460,MATCH($A375,ExchangeConfirms!$A$2:$A$460,0)),"")</f>
        <v/>
      </c>
      <c r="Q375">
        <f>IF(AND($E375=1,$F375=0),"MISSING IN EXCHANGE",IF(AND($E375=0,$F375=1),"MISSING IN INTERNAL",IF($G375&lt;&gt;$H375,"SIDE BREAK",IF($I375&lt;&gt;$J375,"QTY BREAK",IF(ABS($K375-$L375)&gt;0.005,"PRICE BREAK",IF(ABS($M375-$N375)&gt;0.01,"FEE BREAK","MATCHED"))))))</f>
        <v/>
      </c>
      <c r="R375">
        <f>IF($Q375="MATCHED",0,1)</f>
        <v/>
      </c>
      <c r="S375">
        <f>IF($Q375="MATCHED",0,IF($Q375="MISSING IN EXCHANGE",$O375,IF($Q375="MISSING IN INTERNAL",$P375,ABS(N($O375)-N($P375)))))</f>
        <v/>
      </c>
    </row>
    <row r="376">
      <c r="A376" t="inlineStr">
        <is>
          <t>T100375</t>
        </is>
      </c>
      <c r="B376">
        <f>IFERROR(INDEX(InternalTrades!$D$2:$D$461,MATCH($A376,InternalTrades!$A$2:$A$461,0)),INDEX(ExchangeConfirms!$D$2:$D$460,MATCH($A376,ExchangeConfirms!$A$2:$A$460,0)))</f>
        <v/>
      </c>
      <c r="C376">
        <f>IFERROR(INDEX(InternalTrades!$E$2:$E$461,MATCH($A376,InternalTrades!$A$2:$A$461,0)),INDEX(ExchangeConfirms!$E$2:$E$460,MATCH($A376,ExchangeConfirms!$A$2:$A$460,0)))</f>
        <v/>
      </c>
      <c r="D376">
        <f>IFERROR(INDEX(InternalTrades!$K$2:$K$461,MATCH($A376,InternalTrades!$A$2:$A$461,0)),INDEX(ExchangeConfirms!$K$2:$K$460,MATCH($A376,ExchangeConfirms!$A$2:$A$460,0)))</f>
        <v/>
      </c>
      <c r="E376">
        <f>IF(COUNTIF(InternalTrades!$A$2:$A$461,$A376)&gt;0,1,0)</f>
        <v/>
      </c>
      <c r="F376">
        <f>IF(COUNTIF(ExchangeConfirms!$A$2:$A$460,$A376)&gt;0,1,0)</f>
        <v/>
      </c>
      <c r="G376">
        <f>IFERROR(INDEX(InternalTrades!$F$2:$F$461,MATCH($A376,InternalTrades!$A$2:$A$461,0)),"")</f>
        <v/>
      </c>
      <c r="H376">
        <f>IFERROR(INDEX(ExchangeConfirms!$F$2:$F$460,MATCH($A376,ExchangeConfirms!$A$2:$A$460,0)),"")</f>
        <v/>
      </c>
      <c r="I376">
        <f>IFERROR(INDEX(InternalTrades!$G$2:$G$461,MATCH($A376,InternalTrades!$A$2:$A$461,0)),"")</f>
        <v/>
      </c>
      <c r="J376">
        <f>IFERROR(INDEX(ExchangeConfirms!$G$2:$G$460,MATCH($A376,ExchangeConfirms!$A$2:$A$460,0)),"")</f>
        <v/>
      </c>
      <c r="K376">
        <f>IFERROR(INDEX(InternalTrades!$H$2:$H$461,MATCH($A376,InternalTrades!$A$2:$A$461,0)),"")</f>
        <v/>
      </c>
      <c r="L376">
        <f>IFERROR(INDEX(ExchangeConfirms!$H$2:$H$460,MATCH($A376,ExchangeConfirms!$A$2:$A$460,0)),"")</f>
        <v/>
      </c>
      <c r="M376">
        <f>IFERROR(INDEX(InternalTrades!$J$2:$J$461,MATCH($A376,InternalTrades!$A$2:$A$461,0)),"")</f>
        <v/>
      </c>
      <c r="N376">
        <f>IFERROR(INDEX(ExchangeConfirms!$J$2:$J$460,MATCH($A376,ExchangeConfirms!$A$2:$A$460,0)),"")</f>
        <v/>
      </c>
      <c r="O376">
        <f>IFERROR(INDEX(InternalTrades!$I$2:$I$461,MATCH($A376,InternalTrades!$A$2:$A$461,0)),"")</f>
        <v/>
      </c>
      <c r="P376">
        <f>IFERROR(INDEX(ExchangeConfirms!$I$2:$I$460,MATCH($A376,ExchangeConfirms!$A$2:$A$460,0)),"")</f>
        <v/>
      </c>
      <c r="Q376">
        <f>IF(AND($E376=1,$F376=0),"MISSING IN EXCHANGE",IF(AND($E376=0,$F376=1),"MISSING IN INTERNAL",IF($G376&lt;&gt;$H376,"SIDE BREAK",IF($I376&lt;&gt;$J376,"QTY BREAK",IF(ABS($K376-$L376)&gt;0.005,"PRICE BREAK",IF(ABS($M376-$N376)&gt;0.01,"FEE BREAK","MATCHED"))))))</f>
        <v/>
      </c>
      <c r="R376">
        <f>IF($Q376="MATCHED",0,1)</f>
        <v/>
      </c>
      <c r="S376">
        <f>IF($Q376="MATCHED",0,IF($Q376="MISSING IN EXCHANGE",$O376,IF($Q376="MISSING IN INTERNAL",$P376,ABS(N($O376)-N($P376)))))</f>
        <v/>
      </c>
    </row>
    <row r="377">
      <c r="A377" t="inlineStr">
        <is>
          <t>T100376</t>
        </is>
      </c>
      <c r="B377">
        <f>IFERROR(INDEX(InternalTrades!$D$2:$D$461,MATCH($A377,InternalTrades!$A$2:$A$461,0)),INDEX(ExchangeConfirms!$D$2:$D$460,MATCH($A377,ExchangeConfirms!$A$2:$A$460,0)))</f>
        <v/>
      </c>
      <c r="C377">
        <f>IFERROR(INDEX(InternalTrades!$E$2:$E$461,MATCH($A377,InternalTrades!$A$2:$A$461,0)),INDEX(ExchangeConfirms!$E$2:$E$460,MATCH($A377,ExchangeConfirms!$A$2:$A$460,0)))</f>
        <v/>
      </c>
      <c r="D377">
        <f>IFERROR(INDEX(InternalTrades!$K$2:$K$461,MATCH($A377,InternalTrades!$A$2:$A$461,0)),INDEX(ExchangeConfirms!$K$2:$K$460,MATCH($A377,ExchangeConfirms!$A$2:$A$460,0)))</f>
        <v/>
      </c>
      <c r="E377">
        <f>IF(COUNTIF(InternalTrades!$A$2:$A$461,$A377)&gt;0,1,0)</f>
        <v/>
      </c>
      <c r="F377">
        <f>IF(COUNTIF(ExchangeConfirms!$A$2:$A$460,$A377)&gt;0,1,0)</f>
        <v/>
      </c>
      <c r="G377">
        <f>IFERROR(INDEX(InternalTrades!$F$2:$F$461,MATCH($A377,InternalTrades!$A$2:$A$461,0)),"")</f>
        <v/>
      </c>
      <c r="H377">
        <f>IFERROR(INDEX(ExchangeConfirms!$F$2:$F$460,MATCH($A377,ExchangeConfirms!$A$2:$A$460,0)),"")</f>
        <v/>
      </c>
      <c r="I377">
        <f>IFERROR(INDEX(InternalTrades!$G$2:$G$461,MATCH($A377,InternalTrades!$A$2:$A$461,0)),"")</f>
        <v/>
      </c>
      <c r="J377">
        <f>IFERROR(INDEX(ExchangeConfirms!$G$2:$G$460,MATCH($A377,ExchangeConfirms!$A$2:$A$460,0)),"")</f>
        <v/>
      </c>
      <c r="K377">
        <f>IFERROR(INDEX(InternalTrades!$H$2:$H$461,MATCH($A377,InternalTrades!$A$2:$A$461,0)),"")</f>
        <v/>
      </c>
      <c r="L377">
        <f>IFERROR(INDEX(ExchangeConfirms!$H$2:$H$460,MATCH($A377,ExchangeConfirms!$A$2:$A$460,0)),"")</f>
        <v/>
      </c>
      <c r="M377">
        <f>IFERROR(INDEX(InternalTrades!$J$2:$J$461,MATCH($A377,InternalTrades!$A$2:$A$461,0)),"")</f>
        <v/>
      </c>
      <c r="N377">
        <f>IFERROR(INDEX(ExchangeConfirms!$J$2:$J$460,MATCH($A377,ExchangeConfirms!$A$2:$A$460,0)),"")</f>
        <v/>
      </c>
      <c r="O377">
        <f>IFERROR(INDEX(InternalTrades!$I$2:$I$461,MATCH($A377,InternalTrades!$A$2:$A$461,0)),"")</f>
        <v/>
      </c>
      <c r="P377">
        <f>IFERROR(INDEX(ExchangeConfirms!$I$2:$I$460,MATCH($A377,ExchangeConfirms!$A$2:$A$460,0)),"")</f>
        <v/>
      </c>
      <c r="Q377">
        <f>IF(AND($E377=1,$F377=0),"MISSING IN EXCHANGE",IF(AND($E377=0,$F377=1),"MISSING IN INTERNAL",IF($G377&lt;&gt;$H377,"SIDE BREAK",IF($I377&lt;&gt;$J377,"QTY BREAK",IF(ABS($K377-$L377)&gt;0.005,"PRICE BREAK",IF(ABS($M377-$N377)&gt;0.01,"FEE BREAK","MATCHED"))))))</f>
        <v/>
      </c>
      <c r="R377">
        <f>IF($Q377="MATCHED",0,1)</f>
        <v/>
      </c>
      <c r="S377">
        <f>IF($Q377="MATCHED",0,IF($Q377="MISSING IN EXCHANGE",$O377,IF($Q377="MISSING IN INTERNAL",$P377,ABS(N($O377)-N($P377)))))</f>
        <v/>
      </c>
    </row>
    <row r="378">
      <c r="A378" t="inlineStr">
        <is>
          <t>T100377</t>
        </is>
      </c>
      <c r="B378">
        <f>IFERROR(INDEX(InternalTrades!$D$2:$D$461,MATCH($A378,InternalTrades!$A$2:$A$461,0)),INDEX(ExchangeConfirms!$D$2:$D$460,MATCH($A378,ExchangeConfirms!$A$2:$A$460,0)))</f>
        <v/>
      </c>
      <c r="C378">
        <f>IFERROR(INDEX(InternalTrades!$E$2:$E$461,MATCH($A378,InternalTrades!$A$2:$A$461,0)),INDEX(ExchangeConfirms!$E$2:$E$460,MATCH($A378,ExchangeConfirms!$A$2:$A$460,0)))</f>
        <v/>
      </c>
      <c r="D378">
        <f>IFERROR(INDEX(InternalTrades!$K$2:$K$461,MATCH($A378,InternalTrades!$A$2:$A$461,0)),INDEX(ExchangeConfirms!$K$2:$K$460,MATCH($A378,ExchangeConfirms!$A$2:$A$460,0)))</f>
        <v/>
      </c>
      <c r="E378">
        <f>IF(COUNTIF(InternalTrades!$A$2:$A$461,$A378)&gt;0,1,0)</f>
        <v/>
      </c>
      <c r="F378">
        <f>IF(COUNTIF(ExchangeConfirms!$A$2:$A$460,$A378)&gt;0,1,0)</f>
        <v/>
      </c>
      <c r="G378">
        <f>IFERROR(INDEX(InternalTrades!$F$2:$F$461,MATCH($A378,InternalTrades!$A$2:$A$461,0)),"")</f>
        <v/>
      </c>
      <c r="H378">
        <f>IFERROR(INDEX(ExchangeConfirms!$F$2:$F$460,MATCH($A378,ExchangeConfirms!$A$2:$A$460,0)),"")</f>
        <v/>
      </c>
      <c r="I378">
        <f>IFERROR(INDEX(InternalTrades!$G$2:$G$461,MATCH($A378,InternalTrades!$A$2:$A$461,0)),"")</f>
        <v/>
      </c>
      <c r="J378">
        <f>IFERROR(INDEX(ExchangeConfirms!$G$2:$G$460,MATCH($A378,ExchangeConfirms!$A$2:$A$460,0)),"")</f>
        <v/>
      </c>
      <c r="K378">
        <f>IFERROR(INDEX(InternalTrades!$H$2:$H$461,MATCH($A378,InternalTrades!$A$2:$A$461,0)),"")</f>
        <v/>
      </c>
      <c r="L378">
        <f>IFERROR(INDEX(ExchangeConfirms!$H$2:$H$460,MATCH($A378,ExchangeConfirms!$A$2:$A$460,0)),"")</f>
        <v/>
      </c>
      <c r="M378">
        <f>IFERROR(INDEX(InternalTrades!$J$2:$J$461,MATCH($A378,InternalTrades!$A$2:$A$461,0)),"")</f>
        <v/>
      </c>
      <c r="N378">
        <f>IFERROR(INDEX(ExchangeConfirms!$J$2:$J$460,MATCH($A378,ExchangeConfirms!$A$2:$A$460,0)),"")</f>
        <v/>
      </c>
      <c r="O378">
        <f>IFERROR(INDEX(InternalTrades!$I$2:$I$461,MATCH($A378,InternalTrades!$A$2:$A$461,0)),"")</f>
        <v/>
      </c>
      <c r="P378">
        <f>IFERROR(INDEX(ExchangeConfirms!$I$2:$I$460,MATCH($A378,ExchangeConfirms!$A$2:$A$460,0)),"")</f>
        <v/>
      </c>
      <c r="Q378">
        <f>IF(AND($E378=1,$F378=0),"MISSING IN EXCHANGE",IF(AND($E378=0,$F378=1),"MISSING IN INTERNAL",IF($G378&lt;&gt;$H378,"SIDE BREAK",IF($I378&lt;&gt;$J378,"QTY BREAK",IF(ABS($K378-$L378)&gt;0.005,"PRICE BREAK",IF(ABS($M378-$N378)&gt;0.01,"FEE BREAK","MATCHED"))))))</f>
        <v/>
      </c>
      <c r="R378">
        <f>IF($Q378="MATCHED",0,1)</f>
        <v/>
      </c>
      <c r="S378">
        <f>IF($Q378="MATCHED",0,IF($Q378="MISSING IN EXCHANGE",$O378,IF($Q378="MISSING IN INTERNAL",$P378,ABS(N($O378)-N($P378)))))</f>
        <v/>
      </c>
    </row>
    <row r="379">
      <c r="A379" t="inlineStr">
        <is>
          <t>T100378</t>
        </is>
      </c>
      <c r="B379">
        <f>IFERROR(INDEX(InternalTrades!$D$2:$D$461,MATCH($A379,InternalTrades!$A$2:$A$461,0)),INDEX(ExchangeConfirms!$D$2:$D$460,MATCH($A379,ExchangeConfirms!$A$2:$A$460,0)))</f>
        <v/>
      </c>
      <c r="C379">
        <f>IFERROR(INDEX(InternalTrades!$E$2:$E$461,MATCH($A379,InternalTrades!$A$2:$A$461,0)),INDEX(ExchangeConfirms!$E$2:$E$460,MATCH($A379,ExchangeConfirms!$A$2:$A$460,0)))</f>
        <v/>
      </c>
      <c r="D379">
        <f>IFERROR(INDEX(InternalTrades!$K$2:$K$461,MATCH($A379,InternalTrades!$A$2:$A$461,0)),INDEX(ExchangeConfirms!$K$2:$K$460,MATCH($A379,ExchangeConfirms!$A$2:$A$460,0)))</f>
        <v/>
      </c>
      <c r="E379">
        <f>IF(COUNTIF(InternalTrades!$A$2:$A$461,$A379)&gt;0,1,0)</f>
        <v/>
      </c>
      <c r="F379">
        <f>IF(COUNTIF(ExchangeConfirms!$A$2:$A$460,$A379)&gt;0,1,0)</f>
        <v/>
      </c>
      <c r="G379">
        <f>IFERROR(INDEX(InternalTrades!$F$2:$F$461,MATCH($A379,InternalTrades!$A$2:$A$461,0)),"")</f>
        <v/>
      </c>
      <c r="H379">
        <f>IFERROR(INDEX(ExchangeConfirms!$F$2:$F$460,MATCH($A379,ExchangeConfirms!$A$2:$A$460,0)),"")</f>
        <v/>
      </c>
      <c r="I379">
        <f>IFERROR(INDEX(InternalTrades!$G$2:$G$461,MATCH($A379,InternalTrades!$A$2:$A$461,0)),"")</f>
        <v/>
      </c>
      <c r="J379">
        <f>IFERROR(INDEX(ExchangeConfirms!$G$2:$G$460,MATCH($A379,ExchangeConfirms!$A$2:$A$460,0)),"")</f>
        <v/>
      </c>
      <c r="K379">
        <f>IFERROR(INDEX(InternalTrades!$H$2:$H$461,MATCH($A379,InternalTrades!$A$2:$A$461,0)),"")</f>
        <v/>
      </c>
      <c r="L379">
        <f>IFERROR(INDEX(ExchangeConfirms!$H$2:$H$460,MATCH($A379,ExchangeConfirms!$A$2:$A$460,0)),"")</f>
        <v/>
      </c>
      <c r="M379">
        <f>IFERROR(INDEX(InternalTrades!$J$2:$J$461,MATCH($A379,InternalTrades!$A$2:$A$461,0)),"")</f>
        <v/>
      </c>
      <c r="N379">
        <f>IFERROR(INDEX(ExchangeConfirms!$J$2:$J$460,MATCH($A379,ExchangeConfirms!$A$2:$A$460,0)),"")</f>
        <v/>
      </c>
      <c r="O379">
        <f>IFERROR(INDEX(InternalTrades!$I$2:$I$461,MATCH($A379,InternalTrades!$A$2:$A$461,0)),"")</f>
        <v/>
      </c>
      <c r="P379">
        <f>IFERROR(INDEX(ExchangeConfirms!$I$2:$I$460,MATCH($A379,ExchangeConfirms!$A$2:$A$460,0)),"")</f>
        <v/>
      </c>
      <c r="Q379">
        <f>IF(AND($E379=1,$F379=0),"MISSING IN EXCHANGE",IF(AND($E379=0,$F379=1),"MISSING IN INTERNAL",IF($G379&lt;&gt;$H379,"SIDE BREAK",IF($I379&lt;&gt;$J379,"QTY BREAK",IF(ABS($K379-$L379)&gt;0.005,"PRICE BREAK",IF(ABS($M379-$N379)&gt;0.01,"FEE BREAK","MATCHED"))))))</f>
        <v/>
      </c>
      <c r="R379">
        <f>IF($Q379="MATCHED",0,1)</f>
        <v/>
      </c>
      <c r="S379">
        <f>IF($Q379="MATCHED",0,IF($Q379="MISSING IN EXCHANGE",$O379,IF($Q379="MISSING IN INTERNAL",$P379,ABS(N($O379)-N($P379)))))</f>
        <v/>
      </c>
    </row>
    <row r="380">
      <c r="A380" t="inlineStr">
        <is>
          <t>T100379</t>
        </is>
      </c>
      <c r="B380">
        <f>IFERROR(INDEX(InternalTrades!$D$2:$D$461,MATCH($A380,InternalTrades!$A$2:$A$461,0)),INDEX(ExchangeConfirms!$D$2:$D$460,MATCH($A380,ExchangeConfirms!$A$2:$A$460,0)))</f>
        <v/>
      </c>
      <c r="C380">
        <f>IFERROR(INDEX(InternalTrades!$E$2:$E$461,MATCH($A380,InternalTrades!$A$2:$A$461,0)),INDEX(ExchangeConfirms!$E$2:$E$460,MATCH($A380,ExchangeConfirms!$A$2:$A$460,0)))</f>
        <v/>
      </c>
      <c r="D380">
        <f>IFERROR(INDEX(InternalTrades!$K$2:$K$461,MATCH($A380,InternalTrades!$A$2:$A$461,0)),INDEX(ExchangeConfirms!$K$2:$K$460,MATCH($A380,ExchangeConfirms!$A$2:$A$460,0)))</f>
        <v/>
      </c>
      <c r="E380">
        <f>IF(COUNTIF(InternalTrades!$A$2:$A$461,$A380)&gt;0,1,0)</f>
        <v/>
      </c>
      <c r="F380">
        <f>IF(COUNTIF(ExchangeConfirms!$A$2:$A$460,$A380)&gt;0,1,0)</f>
        <v/>
      </c>
      <c r="G380">
        <f>IFERROR(INDEX(InternalTrades!$F$2:$F$461,MATCH($A380,InternalTrades!$A$2:$A$461,0)),"")</f>
        <v/>
      </c>
      <c r="H380">
        <f>IFERROR(INDEX(ExchangeConfirms!$F$2:$F$460,MATCH($A380,ExchangeConfirms!$A$2:$A$460,0)),"")</f>
        <v/>
      </c>
      <c r="I380">
        <f>IFERROR(INDEX(InternalTrades!$G$2:$G$461,MATCH($A380,InternalTrades!$A$2:$A$461,0)),"")</f>
        <v/>
      </c>
      <c r="J380">
        <f>IFERROR(INDEX(ExchangeConfirms!$G$2:$G$460,MATCH($A380,ExchangeConfirms!$A$2:$A$460,0)),"")</f>
        <v/>
      </c>
      <c r="K380">
        <f>IFERROR(INDEX(InternalTrades!$H$2:$H$461,MATCH($A380,InternalTrades!$A$2:$A$461,0)),"")</f>
        <v/>
      </c>
      <c r="L380">
        <f>IFERROR(INDEX(ExchangeConfirms!$H$2:$H$460,MATCH($A380,ExchangeConfirms!$A$2:$A$460,0)),"")</f>
        <v/>
      </c>
      <c r="M380">
        <f>IFERROR(INDEX(InternalTrades!$J$2:$J$461,MATCH($A380,InternalTrades!$A$2:$A$461,0)),"")</f>
        <v/>
      </c>
      <c r="N380">
        <f>IFERROR(INDEX(ExchangeConfirms!$J$2:$J$460,MATCH($A380,ExchangeConfirms!$A$2:$A$460,0)),"")</f>
        <v/>
      </c>
      <c r="O380">
        <f>IFERROR(INDEX(InternalTrades!$I$2:$I$461,MATCH($A380,InternalTrades!$A$2:$A$461,0)),"")</f>
        <v/>
      </c>
      <c r="P380">
        <f>IFERROR(INDEX(ExchangeConfirms!$I$2:$I$460,MATCH($A380,ExchangeConfirms!$A$2:$A$460,0)),"")</f>
        <v/>
      </c>
      <c r="Q380">
        <f>IF(AND($E380=1,$F380=0),"MISSING IN EXCHANGE",IF(AND($E380=0,$F380=1),"MISSING IN INTERNAL",IF($G380&lt;&gt;$H380,"SIDE BREAK",IF($I380&lt;&gt;$J380,"QTY BREAK",IF(ABS($K380-$L380)&gt;0.005,"PRICE BREAK",IF(ABS($M380-$N380)&gt;0.01,"FEE BREAK","MATCHED"))))))</f>
        <v/>
      </c>
      <c r="R380">
        <f>IF($Q380="MATCHED",0,1)</f>
        <v/>
      </c>
      <c r="S380">
        <f>IF($Q380="MATCHED",0,IF($Q380="MISSING IN EXCHANGE",$O380,IF($Q380="MISSING IN INTERNAL",$P380,ABS(N($O380)-N($P380)))))</f>
        <v/>
      </c>
    </row>
    <row r="381">
      <c r="A381" t="inlineStr">
        <is>
          <t>T100380</t>
        </is>
      </c>
      <c r="B381">
        <f>IFERROR(INDEX(InternalTrades!$D$2:$D$461,MATCH($A381,InternalTrades!$A$2:$A$461,0)),INDEX(ExchangeConfirms!$D$2:$D$460,MATCH($A381,ExchangeConfirms!$A$2:$A$460,0)))</f>
        <v/>
      </c>
      <c r="C381">
        <f>IFERROR(INDEX(InternalTrades!$E$2:$E$461,MATCH($A381,InternalTrades!$A$2:$A$461,0)),INDEX(ExchangeConfirms!$E$2:$E$460,MATCH($A381,ExchangeConfirms!$A$2:$A$460,0)))</f>
        <v/>
      </c>
      <c r="D381">
        <f>IFERROR(INDEX(InternalTrades!$K$2:$K$461,MATCH($A381,InternalTrades!$A$2:$A$461,0)),INDEX(ExchangeConfirms!$K$2:$K$460,MATCH($A381,ExchangeConfirms!$A$2:$A$460,0)))</f>
        <v/>
      </c>
      <c r="E381">
        <f>IF(COUNTIF(InternalTrades!$A$2:$A$461,$A381)&gt;0,1,0)</f>
        <v/>
      </c>
      <c r="F381">
        <f>IF(COUNTIF(ExchangeConfirms!$A$2:$A$460,$A381)&gt;0,1,0)</f>
        <v/>
      </c>
      <c r="G381">
        <f>IFERROR(INDEX(InternalTrades!$F$2:$F$461,MATCH($A381,InternalTrades!$A$2:$A$461,0)),"")</f>
        <v/>
      </c>
      <c r="H381">
        <f>IFERROR(INDEX(ExchangeConfirms!$F$2:$F$460,MATCH($A381,ExchangeConfirms!$A$2:$A$460,0)),"")</f>
        <v/>
      </c>
      <c r="I381">
        <f>IFERROR(INDEX(InternalTrades!$G$2:$G$461,MATCH($A381,InternalTrades!$A$2:$A$461,0)),"")</f>
        <v/>
      </c>
      <c r="J381">
        <f>IFERROR(INDEX(ExchangeConfirms!$G$2:$G$460,MATCH($A381,ExchangeConfirms!$A$2:$A$460,0)),"")</f>
        <v/>
      </c>
      <c r="K381">
        <f>IFERROR(INDEX(InternalTrades!$H$2:$H$461,MATCH($A381,InternalTrades!$A$2:$A$461,0)),"")</f>
        <v/>
      </c>
      <c r="L381">
        <f>IFERROR(INDEX(ExchangeConfirms!$H$2:$H$460,MATCH($A381,ExchangeConfirms!$A$2:$A$460,0)),"")</f>
        <v/>
      </c>
      <c r="M381">
        <f>IFERROR(INDEX(InternalTrades!$J$2:$J$461,MATCH($A381,InternalTrades!$A$2:$A$461,0)),"")</f>
        <v/>
      </c>
      <c r="N381">
        <f>IFERROR(INDEX(ExchangeConfirms!$J$2:$J$460,MATCH($A381,ExchangeConfirms!$A$2:$A$460,0)),"")</f>
        <v/>
      </c>
      <c r="O381">
        <f>IFERROR(INDEX(InternalTrades!$I$2:$I$461,MATCH($A381,InternalTrades!$A$2:$A$461,0)),"")</f>
        <v/>
      </c>
      <c r="P381">
        <f>IFERROR(INDEX(ExchangeConfirms!$I$2:$I$460,MATCH($A381,ExchangeConfirms!$A$2:$A$460,0)),"")</f>
        <v/>
      </c>
      <c r="Q381">
        <f>IF(AND($E381=1,$F381=0),"MISSING IN EXCHANGE",IF(AND($E381=0,$F381=1),"MISSING IN INTERNAL",IF($G381&lt;&gt;$H381,"SIDE BREAK",IF($I381&lt;&gt;$J381,"QTY BREAK",IF(ABS($K381-$L381)&gt;0.005,"PRICE BREAK",IF(ABS($M381-$N381)&gt;0.01,"FEE BREAK","MATCHED"))))))</f>
        <v/>
      </c>
      <c r="R381">
        <f>IF($Q381="MATCHED",0,1)</f>
        <v/>
      </c>
      <c r="S381">
        <f>IF($Q381="MATCHED",0,IF($Q381="MISSING IN EXCHANGE",$O381,IF($Q381="MISSING IN INTERNAL",$P381,ABS(N($O381)-N($P381)))))</f>
        <v/>
      </c>
    </row>
    <row r="382">
      <c r="A382" t="inlineStr">
        <is>
          <t>T100381</t>
        </is>
      </c>
      <c r="B382">
        <f>IFERROR(INDEX(InternalTrades!$D$2:$D$461,MATCH($A382,InternalTrades!$A$2:$A$461,0)),INDEX(ExchangeConfirms!$D$2:$D$460,MATCH($A382,ExchangeConfirms!$A$2:$A$460,0)))</f>
        <v/>
      </c>
      <c r="C382">
        <f>IFERROR(INDEX(InternalTrades!$E$2:$E$461,MATCH($A382,InternalTrades!$A$2:$A$461,0)),INDEX(ExchangeConfirms!$E$2:$E$460,MATCH($A382,ExchangeConfirms!$A$2:$A$460,0)))</f>
        <v/>
      </c>
      <c r="D382">
        <f>IFERROR(INDEX(InternalTrades!$K$2:$K$461,MATCH($A382,InternalTrades!$A$2:$A$461,0)),INDEX(ExchangeConfirms!$K$2:$K$460,MATCH($A382,ExchangeConfirms!$A$2:$A$460,0)))</f>
        <v/>
      </c>
      <c r="E382">
        <f>IF(COUNTIF(InternalTrades!$A$2:$A$461,$A382)&gt;0,1,0)</f>
        <v/>
      </c>
      <c r="F382">
        <f>IF(COUNTIF(ExchangeConfirms!$A$2:$A$460,$A382)&gt;0,1,0)</f>
        <v/>
      </c>
      <c r="G382">
        <f>IFERROR(INDEX(InternalTrades!$F$2:$F$461,MATCH($A382,InternalTrades!$A$2:$A$461,0)),"")</f>
        <v/>
      </c>
      <c r="H382">
        <f>IFERROR(INDEX(ExchangeConfirms!$F$2:$F$460,MATCH($A382,ExchangeConfirms!$A$2:$A$460,0)),"")</f>
        <v/>
      </c>
      <c r="I382">
        <f>IFERROR(INDEX(InternalTrades!$G$2:$G$461,MATCH($A382,InternalTrades!$A$2:$A$461,0)),"")</f>
        <v/>
      </c>
      <c r="J382">
        <f>IFERROR(INDEX(ExchangeConfirms!$G$2:$G$460,MATCH($A382,ExchangeConfirms!$A$2:$A$460,0)),"")</f>
        <v/>
      </c>
      <c r="K382">
        <f>IFERROR(INDEX(InternalTrades!$H$2:$H$461,MATCH($A382,InternalTrades!$A$2:$A$461,0)),"")</f>
        <v/>
      </c>
      <c r="L382">
        <f>IFERROR(INDEX(ExchangeConfirms!$H$2:$H$460,MATCH($A382,ExchangeConfirms!$A$2:$A$460,0)),"")</f>
        <v/>
      </c>
      <c r="M382">
        <f>IFERROR(INDEX(InternalTrades!$J$2:$J$461,MATCH($A382,InternalTrades!$A$2:$A$461,0)),"")</f>
        <v/>
      </c>
      <c r="N382">
        <f>IFERROR(INDEX(ExchangeConfirms!$J$2:$J$460,MATCH($A382,ExchangeConfirms!$A$2:$A$460,0)),"")</f>
        <v/>
      </c>
      <c r="O382">
        <f>IFERROR(INDEX(InternalTrades!$I$2:$I$461,MATCH($A382,InternalTrades!$A$2:$A$461,0)),"")</f>
        <v/>
      </c>
      <c r="P382">
        <f>IFERROR(INDEX(ExchangeConfirms!$I$2:$I$460,MATCH($A382,ExchangeConfirms!$A$2:$A$460,0)),"")</f>
        <v/>
      </c>
      <c r="Q382">
        <f>IF(AND($E382=1,$F382=0),"MISSING IN EXCHANGE",IF(AND($E382=0,$F382=1),"MISSING IN INTERNAL",IF($G382&lt;&gt;$H382,"SIDE BREAK",IF($I382&lt;&gt;$J382,"QTY BREAK",IF(ABS($K382-$L382)&gt;0.005,"PRICE BREAK",IF(ABS($M382-$N382)&gt;0.01,"FEE BREAK","MATCHED"))))))</f>
        <v/>
      </c>
      <c r="R382">
        <f>IF($Q382="MATCHED",0,1)</f>
        <v/>
      </c>
      <c r="S382">
        <f>IF($Q382="MATCHED",0,IF($Q382="MISSING IN EXCHANGE",$O382,IF($Q382="MISSING IN INTERNAL",$P382,ABS(N($O382)-N($P382)))))</f>
        <v/>
      </c>
    </row>
    <row r="383">
      <c r="A383" t="inlineStr">
        <is>
          <t>T100382</t>
        </is>
      </c>
      <c r="B383">
        <f>IFERROR(INDEX(InternalTrades!$D$2:$D$461,MATCH($A383,InternalTrades!$A$2:$A$461,0)),INDEX(ExchangeConfirms!$D$2:$D$460,MATCH($A383,ExchangeConfirms!$A$2:$A$460,0)))</f>
        <v/>
      </c>
      <c r="C383">
        <f>IFERROR(INDEX(InternalTrades!$E$2:$E$461,MATCH($A383,InternalTrades!$A$2:$A$461,0)),INDEX(ExchangeConfirms!$E$2:$E$460,MATCH($A383,ExchangeConfirms!$A$2:$A$460,0)))</f>
        <v/>
      </c>
      <c r="D383">
        <f>IFERROR(INDEX(InternalTrades!$K$2:$K$461,MATCH($A383,InternalTrades!$A$2:$A$461,0)),INDEX(ExchangeConfirms!$K$2:$K$460,MATCH($A383,ExchangeConfirms!$A$2:$A$460,0)))</f>
        <v/>
      </c>
      <c r="E383">
        <f>IF(COUNTIF(InternalTrades!$A$2:$A$461,$A383)&gt;0,1,0)</f>
        <v/>
      </c>
      <c r="F383">
        <f>IF(COUNTIF(ExchangeConfirms!$A$2:$A$460,$A383)&gt;0,1,0)</f>
        <v/>
      </c>
      <c r="G383">
        <f>IFERROR(INDEX(InternalTrades!$F$2:$F$461,MATCH($A383,InternalTrades!$A$2:$A$461,0)),"")</f>
        <v/>
      </c>
      <c r="H383">
        <f>IFERROR(INDEX(ExchangeConfirms!$F$2:$F$460,MATCH($A383,ExchangeConfirms!$A$2:$A$460,0)),"")</f>
        <v/>
      </c>
      <c r="I383">
        <f>IFERROR(INDEX(InternalTrades!$G$2:$G$461,MATCH($A383,InternalTrades!$A$2:$A$461,0)),"")</f>
        <v/>
      </c>
      <c r="J383">
        <f>IFERROR(INDEX(ExchangeConfirms!$G$2:$G$460,MATCH($A383,ExchangeConfirms!$A$2:$A$460,0)),"")</f>
        <v/>
      </c>
      <c r="K383">
        <f>IFERROR(INDEX(InternalTrades!$H$2:$H$461,MATCH($A383,InternalTrades!$A$2:$A$461,0)),"")</f>
        <v/>
      </c>
      <c r="L383">
        <f>IFERROR(INDEX(ExchangeConfirms!$H$2:$H$460,MATCH($A383,ExchangeConfirms!$A$2:$A$460,0)),"")</f>
        <v/>
      </c>
      <c r="M383">
        <f>IFERROR(INDEX(InternalTrades!$J$2:$J$461,MATCH($A383,InternalTrades!$A$2:$A$461,0)),"")</f>
        <v/>
      </c>
      <c r="N383">
        <f>IFERROR(INDEX(ExchangeConfirms!$J$2:$J$460,MATCH($A383,ExchangeConfirms!$A$2:$A$460,0)),"")</f>
        <v/>
      </c>
      <c r="O383">
        <f>IFERROR(INDEX(InternalTrades!$I$2:$I$461,MATCH($A383,InternalTrades!$A$2:$A$461,0)),"")</f>
        <v/>
      </c>
      <c r="P383">
        <f>IFERROR(INDEX(ExchangeConfirms!$I$2:$I$460,MATCH($A383,ExchangeConfirms!$A$2:$A$460,0)),"")</f>
        <v/>
      </c>
      <c r="Q383">
        <f>IF(AND($E383=1,$F383=0),"MISSING IN EXCHANGE",IF(AND($E383=0,$F383=1),"MISSING IN INTERNAL",IF($G383&lt;&gt;$H383,"SIDE BREAK",IF($I383&lt;&gt;$J383,"QTY BREAK",IF(ABS($K383-$L383)&gt;0.005,"PRICE BREAK",IF(ABS($M383-$N383)&gt;0.01,"FEE BREAK","MATCHED"))))))</f>
        <v/>
      </c>
      <c r="R383">
        <f>IF($Q383="MATCHED",0,1)</f>
        <v/>
      </c>
      <c r="S383">
        <f>IF($Q383="MATCHED",0,IF($Q383="MISSING IN EXCHANGE",$O383,IF($Q383="MISSING IN INTERNAL",$P383,ABS(N($O383)-N($P383)))))</f>
        <v/>
      </c>
    </row>
    <row r="384">
      <c r="A384" t="inlineStr">
        <is>
          <t>T100383</t>
        </is>
      </c>
      <c r="B384">
        <f>IFERROR(INDEX(InternalTrades!$D$2:$D$461,MATCH($A384,InternalTrades!$A$2:$A$461,0)),INDEX(ExchangeConfirms!$D$2:$D$460,MATCH($A384,ExchangeConfirms!$A$2:$A$460,0)))</f>
        <v/>
      </c>
      <c r="C384">
        <f>IFERROR(INDEX(InternalTrades!$E$2:$E$461,MATCH($A384,InternalTrades!$A$2:$A$461,0)),INDEX(ExchangeConfirms!$E$2:$E$460,MATCH($A384,ExchangeConfirms!$A$2:$A$460,0)))</f>
        <v/>
      </c>
      <c r="D384">
        <f>IFERROR(INDEX(InternalTrades!$K$2:$K$461,MATCH($A384,InternalTrades!$A$2:$A$461,0)),INDEX(ExchangeConfirms!$K$2:$K$460,MATCH($A384,ExchangeConfirms!$A$2:$A$460,0)))</f>
        <v/>
      </c>
      <c r="E384">
        <f>IF(COUNTIF(InternalTrades!$A$2:$A$461,$A384)&gt;0,1,0)</f>
        <v/>
      </c>
      <c r="F384">
        <f>IF(COUNTIF(ExchangeConfirms!$A$2:$A$460,$A384)&gt;0,1,0)</f>
        <v/>
      </c>
      <c r="G384">
        <f>IFERROR(INDEX(InternalTrades!$F$2:$F$461,MATCH($A384,InternalTrades!$A$2:$A$461,0)),"")</f>
        <v/>
      </c>
      <c r="H384">
        <f>IFERROR(INDEX(ExchangeConfirms!$F$2:$F$460,MATCH($A384,ExchangeConfirms!$A$2:$A$460,0)),"")</f>
        <v/>
      </c>
      <c r="I384">
        <f>IFERROR(INDEX(InternalTrades!$G$2:$G$461,MATCH($A384,InternalTrades!$A$2:$A$461,0)),"")</f>
        <v/>
      </c>
      <c r="J384">
        <f>IFERROR(INDEX(ExchangeConfirms!$G$2:$G$460,MATCH($A384,ExchangeConfirms!$A$2:$A$460,0)),"")</f>
        <v/>
      </c>
      <c r="K384">
        <f>IFERROR(INDEX(InternalTrades!$H$2:$H$461,MATCH($A384,InternalTrades!$A$2:$A$461,0)),"")</f>
        <v/>
      </c>
      <c r="L384">
        <f>IFERROR(INDEX(ExchangeConfirms!$H$2:$H$460,MATCH($A384,ExchangeConfirms!$A$2:$A$460,0)),"")</f>
        <v/>
      </c>
      <c r="M384">
        <f>IFERROR(INDEX(InternalTrades!$J$2:$J$461,MATCH($A384,InternalTrades!$A$2:$A$461,0)),"")</f>
        <v/>
      </c>
      <c r="N384">
        <f>IFERROR(INDEX(ExchangeConfirms!$J$2:$J$460,MATCH($A384,ExchangeConfirms!$A$2:$A$460,0)),"")</f>
        <v/>
      </c>
      <c r="O384">
        <f>IFERROR(INDEX(InternalTrades!$I$2:$I$461,MATCH($A384,InternalTrades!$A$2:$A$461,0)),"")</f>
        <v/>
      </c>
      <c r="P384">
        <f>IFERROR(INDEX(ExchangeConfirms!$I$2:$I$460,MATCH($A384,ExchangeConfirms!$A$2:$A$460,0)),"")</f>
        <v/>
      </c>
      <c r="Q384">
        <f>IF(AND($E384=1,$F384=0),"MISSING IN EXCHANGE",IF(AND($E384=0,$F384=1),"MISSING IN INTERNAL",IF($G384&lt;&gt;$H384,"SIDE BREAK",IF($I384&lt;&gt;$J384,"QTY BREAK",IF(ABS($K384-$L384)&gt;0.005,"PRICE BREAK",IF(ABS($M384-$N384)&gt;0.01,"FEE BREAK","MATCHED"))))))</f>
        <v/>
      </c>
      <c r="R384">
        <f>IF($Q384="MATCHED",0,1)</f>
        <v/>
      </c>
      <c r="S384">
        <f>IF($Q384="MATCHED",0,IF($Q384="MISSING IN EXCHANGE",$O384,IF($Q384="MISSING IN INTERNAL",$P384,ABS(N($O384)-N($P384)))))</f>
        <v/>
      </c>
    </row>
    <row r="385">
      <c r="A385" t="inlineStr">
        <is>
          <t>T100384</t>
        </is>
      </c>
      <c r="B385">
        <f>IFERROR(INDEX(InternalTrades!$D$2:$D$461,MATCH($A385,InternalTrades!$A$2:$A$461,0)),INDEX(ExchangeConfirms!$D$2:$D$460,MATCH($A385,ExchangeConfirms!$A$2:$A$460,0)))</f>
        <v/>
      </c>
      <c r="C385">
        <f>IFERROR(INDEX(InternalTrades!$E$2:$E$461,MATCH($A385,InternalTrades!$A$2:$A$461,0)),INDEX(ExchangeConfirms!$E$2:$E$460,MATCH($A385,ExchangeConfirms!$A$2:$A$460,0)))</f>
        <v/>
      </c>
      <c r="D385">
        <f>IFERROR(INDEX(InternalTrades!$K$2:$K$461,MATCH($A385,InternalTrades!$A$2:$A$461,0)),INDEX(ExchangeConfirms!$K$2:$K$460,MATCH($A385,ExchangeConfirms!$A$2:$A$460,0)))</f>
        <v/>
      </c>
      <c r="E385">
        <f>IF(COUNTIF(InternalTrades!$A$2:$A$461,$A385)&gt;0,1,0)</f>
        <v/>
      </c>
      <c r="F385">
        <f>IF(COUNTIF(ExchangeConfirms!$A$2:$A$460,$A385)&gt;0,1,0)</f>
        <v/>
      </c>
      <c r="G385">
        <f>IFERROR(INDEX(InternalTrades!$F$2:$F$461,MATCH($A385,InternalTrades!$A$2:$A$461,0)),"")</f>
        <v/>
      </c>
      <c r="H385">
        <f>IFERROR(INDEX(ExchangeConfirms!$F$2:$F$460,MATCH($A385,ExchangeConfirms!$A$2:$A$460,0)),"")</f>
        <v/>
      </c>
      <c r="I385">
        <f>IFERROR(INDEX(InternalTrades!$G$2:$G$461,MATCH($A385,InternalTrades!$A$2:$A$461,0)),"")</f>
        <v/>
      </c>
      <c r="J385">
        <f>IFERROR(INDEX(ExchangeConfirms!$G$2:$G$460,MATCH($A385,ExchangeConfirms!$A$2:$A$460,0)),"")</f>
        <v/>
      </c>
      <c r="K385">
        <f>IFERROR(INDEX(InternalTrades!$H$2:$H$461,MATCH($A385,InternalTrades!$A$2:$A$461,0)),"")</f>
        <v/>
      </c>
      <c r="L385">
        <f>IFERROR(INDEX(ExchangeConfirms!$H$2:$H$460,MATCH($A385,ExchangeConfirms!$A$2:$A$460,0)),"")</f>
        <v/>
      </c>
      <c r="M385">
        <f>IFERROR(INDEX(InternalTrades!$J$2:$J$461,MATCH($A385,InternalTrades!$A$2:$A$461,0)),"")</f>
        <v/>
      </c>
      <c r="N385">
        <f>IFERROR(INDEX(ExchangeConfirms!$J$2:$J$460,MATCH($A385,ExchangeConfirms!$A$2:$A$460,0)),"")</f>
        <v/>
      </c>
      <c r="O385">
        <f>IFERROR(INDEX(InternalTrades!$I$2:$I$461,MATCH($A385,InternalTrades!$A$2:$A$461,0)),"")</f>
        <v/>
      </c>
      <c r="P385">
        <f>IFERROR(INDEX(ExchangeConfirms!$I$2:$I$460,MATCH($A385,ExchangeConfirms!$A$2:$A$460,0)),"")</f>
        <v/>
      </c>
      <c r="Q385">
        <f>IF(AND($E385=1,$F385=0),"MISSING IN EXCHANGE",IF(AND($E385=0,$F385=1),"MISSING IN INTERNAL",IF($G385&lt;&gt;$H385,"SIDE BREAK",IF($I385&lt;&gt;$J385,"QTY BREAK",IF(ABS($K385-$L385)&gt;0.005,"PRICE BREAK",IF(ABS($M385-$N385)&gt;0.01,"FEE BREAK","MATCHED"))))))</f>
        <v/>
      </c>
      <c r="R385">
        <f>IF($Q385="MATCHED",0,1)</f>
        <v/>
      </c>
      <c r="S385">
        <f>IF($Q385="MATCHED",0,IF($Q385="MISSING IN EXCHANGE",$O385,IF($Q385="MISSING IN INTERNAL",$P385,ABS(N($O385)-N($P385)))))</f>
        <v/>
      </c>
    </row>
    <row r="386">
      <c r="A386" t="inlineStr">
        <is>
          <t>T100385</t>
        </is>
      </c>
      <c r="B386">
        <f>IFERROR(INDEX(InternalTrades!$D$2:$D$461,MATCH($A386,InternalTrades!$A$2:$A$461,0)),INDEX(ExchangeConfirms!$D$2:$D$460,MATCH($A386,ExchangeConfirms!$A$2:$A$460,0)))</f>
        <v/>
      </c>
      <c r="C386">
        <f>IFERROR(INDEX(InternalTrades!$E$2:$E$461,MATCH($A386,InternalTrades!$A$2:$A$461,0)),INDEX(ExchangeConfirms!$E$2:$E$460,MATCH($A386,ExchangeConfirms!$A$2:$A$460,0)))</f>
        <v/>
      </c>
      <c r="D386">
        <f>IFERROR(INDEX(InternalTrades!$K$2:$K$461,MATCH($A386,InternalTrades!$A$2:$A$461,0)),INDEX(ExchangeConfirms!$K$2:$K$460,MATCH($A386,ExchangeConfirms!$A$2:$A$460,0)))</f>
        <v/>
      </c>
      <c r="E386">
        <f>IF(COUNTIF(InternalTrades!$A$2:$A$461,$A386)&gt;0,1,0)</f>
        <v/>
      </c>
      <c r="F386">
        <f>IF(COUNTIF(ExchangeConfirms!$A$2:$A$460,$A386)&gt;0,1,0)</f>
        <v/>
      </c>
      <c r="G386">
        <f>IFERROR(INDEX(InternalTrades!$F$2:$F$461,MATCH($A386,InternalTrades!$A$2:$A$461,0)),"")</f>
        <v/>
      </c>
      <c r="H386">
        <f>IFERROR(INDEX(ExchangeConfirms!$F$2:$F$460,MATCH($A386,ExchangeConfirms!$A$2:$A$460,0)),"")</f>
        <v/>
      </c>
      <c r="I386">
        <f>IFERROR(INDEX(InternalTrades!$G$2:$G$461,MATCH($A386,InternalTrades!$A$2:$A$461,0)),"")</f>
        <v/>
      </c>
      <c r="J386">
        <f>IFERROR(INDEX(ExchangeConfirms!$G$2:$G$460,MATCH($A386,ExchangeConfirms!$A$2:$A$460,0)),"")</f>
        <v/>
      </c>
      <c r="K386">
        <f>IFERROR(INDEX(InternalTrades!$H$2:$H$461,MATCH($A386,InternalTrades!$A$2:$A$461,0)),"")</f>
        <v/>
      </c>
      <c r="L386">
        <f>IFERROR(INDEX(ExchangeConfirms!$H$2:$H$460,MATCH($A386,ExchangeConfirms!$A$2:$A$460,0)),"")</f>
        <v/>
      </c>
      <c r="M386">
        <f>IFERROR(INDEX(InternalTrades!$J$2:$J$461,MATCH($A386,InternalTrades!$A$2:$A$461,0)),"")</f>
        <v/>
      </c>
      <c r="N386">
        <f>IFERROR(INDEX(ExchangeConfirms!$J$2:$J$460,MATCH($A386,ExchangeConfirms!$A$2:$A$460,0)),"")</f>
        <v/>
      </c>
      <c r="O386">
        <f>IFERROR(INDEX(InternalTrades!$I$2:$I$461,MATCH($A386,InternalTrades!$A$2:$A$461,0)),"")</f>
        <v/>
      </c>
      <c r="P386">
        <f>IFERROR(INDEX(ExchangeConfirms!$I$2:$I$460,MATCH($A386,ExchangeConfirms!$A$2:$A$460,0)),"")</f>
        <v/>
      </c>
      <c r="Q386">
        <f>IF(AND($E386=1,$F386=0),"MISSING IN EXCHANGE",IF(AND($E386=0,$F386=1),"MISSING IN INTERNAL",IF($G386&lt;&gt;$H386,"SIDE BREAK",IF($I386&lt;&gt;$J386,"QTY BREAK",IF(ABS($K386-$L386)&gt;0.005,"PRICE BREAK",IF(ABS($M386-$N386)&gt;0.01,"FEE BREAK","MATCHED"))))))</f>
        <v/>
      </c>
      <c r="R386">
        <f>IF($Q386="MATCHED",0,1)</f>
        <v/>
      </c>
      <c r="S386">
        <f>IF($Q386="MATCHED",0,IF($Q386="MISSING IN EXCHANGE",$O386,IF($Q386="MISSING IN INTERNAL",$P386,ABS(N($O386)-N($P386)))))</f>
        <v/>
      </c>
    </row>
    <row r="387">
      <c r="A387" t="inlineStr">
        <is>
          <t>T100386</t>
        </is>
      </c>
      <c r="B387">
        <f>IFERROR(INDEX(InternalTrades!$D$2:$D$461,MATCH($A387,InternalTrades!$A$2:$A$461,0)),INDEX(ExchangeConfirms!$D$2:$D$460,MATCH($A387,ExchangeConfirms!$A$2:$A$460,0)))</f>
        <v/>
      </c>
      <c r="C387">
        <f>IFERROR(INDEX(InternalTrades!$E$2:$E$461,MATCH($A387,InternalTrades!$A$2:$A$461,0)),INDEX(ExchangeConfirms!$E$2:$E$460,MATCH($A387,ExchangeConfirms!$A$2:$A$460,0)))</f>
        <v/>
      </c>
      <c r="D387">
        <f>IFERROR(INDEX(InternalTrades!$K$2:$K$461,MATCH($A387,InternalTrades!$A$2:$A$461,0)),INDEX(ExchangeConfirms!$K$2:$K$460,MATCH($A387,ExchangeConfirms!$A$2:$A$460,0)))</f>
        <v/>
      </c>
      <c r="E387">
        <f>IF(COUNTIF(InternalTrades!$A$2:$A$461,$A387)&gt;0,1,0)</f>
        <v/>
      </c>
      <c r="F387">
        <f>IF(COUNTIF(ExchangeConfirms!$A$2:$A$460,$A387)&gt;0,1,0)</f>
        <v/>
      </c>
      <c r="G387">
        <f>IFERROR(INDEX(InternalTrades!$F$2:$F$461,MATCH($A387,InternalTrades!$A$2:$A$461,0)),"")</f>
        <v/>
      </c>
      <c r="H387">
        <f>IFERROR(INDEX(ExchangeConfirms!$F$2:$F$460,MATCH($A387,ExchangeConfirms!$A$2:$A$460,0)),"")</f>
        <v/>
      </c>
      <c r="I387">
        <f>IFERROR(INDEX(InternalTrades!$G$2:$G$461,MATCH($A387,InternalTrades!$A$2:$A$461,0)),"")</f>
        <v/>
      </c>
      <c r="J387">
        <f>IFERROR(INDEX(ExchangeConfirms!$G$2:$G$460,MATCH($A387,ExchangeConfirms!$A$2:$A$460,0)),"")</f>
        <v/>
      </c>
      <c r="K387">
        <f>IFERROR(INDEX(InternalTrades!$H$2:$H$461,MATCH($A387,InternalTrades!$A$2:$A$461,0)),"")</f>
        <v/>
      </c>
      <c r="L387">
        <f>IFERROR(INDEX(ExchangeConfirms!$H$2:$H$460,MATCH($A387,ExchangeConfirms!$A$2:$A$460,0)),"")</f>
        <v/>
      </c>
      <c r="M387">
        <f>IFERROR(INDEX(InternalTrades!$J$2:$J$461,MATCH($A387,InternalTrades!$A$2:$A$461,0)),"")</f>
        <v/>
      </c>
      <c r="N387">
        <f>IFERROR(INDEX(ExchangeConfirms!$J$2:$J$460,MATCH($A387,ExchangeConfirms!$A$2:$A$460,0)),"")</f>
        <v/>
      </c>
      <c r="O387">
        <f>IFERROR(INDEX(InternalTrades!$I$2:$I$461,MATCH($A387,InternalTrades!$A$2:$A$461,0)),"")</f>
        <v/>
      </c>
      <c r="P387">
        <f>IFERROR(INDEX(ExchangeConfirms!$I$2:$I$460,MATCH($A387,ExchangeConfirms!$A$2:$A$460,0)),"")</f>
        <v/>
      </c>
      <c r="Q387">
        <f>IF(AND($E387=1,$F387=0),"MISSING IN EXCHANGE",IF(AND($E387=0,$F387=1),"MISSING IN INTERNAL",IF($G387&lt;&gt;$H387,"SIDE BREAK",IF($I387&lt;&gt;$J387,"QTY BREAK",IF(ABS($K387-$L387)&gt;0.005,"PRICE BREAK",IF(ABS($M387-$N387)&gt;0.01,"FEE BREAK","MATCHED"))))))</f>
        <v/>
      </c>
      <c r="R387">
        <f>IF($Q387="MATCHED",0,1)</f>
        <v/>
      </c>
      <c r="S387">
        <f>IF($Q387="MATCHED",0,IF($Q387="MISSING IN EXCHANGE",$O387,IF($Q387="MISSING IN INTERNAL",$P387,ABS(N($O387)-N($P387)))))</f>
        <v/>
      </c>
    </row>
    <row r="388">
      <c r="A388" t="inlineStr">
        <is>
          <t>T100387</t>
        </is>
      </c>
      <c r="B388">
        <f>IFERROR(INDEX(InternalTrades!$D$2:$D$461,MATCH($A388,InternalTrades!$A$2:$A$461,0)),INDEX(ExchangeConfirms!$D$2:$D$460,MATCH($A388,ExchangeConfirms!$A$2:$A$460,0)))</f>
        <v/>
      </c>
      <c r="C388">
        <f>IFERROR(INDEX(InternalTrades!$E$2:$E$461,MATCH($A388,InternalTrades!$A$2:$A$461,0)),INDEX(ExchangeConfirms!$E$2:$E$460,MATCH($A388,ExchangeConfirms!$A$2:$A$460,0)))</f>
        <v/>
      </c>
      <c r="D388">
        <f>IFERROR(INDEX(InternalTrades!$K$2:$K$461,MATCH($A388,InternalTrades!$A$2:$A$461,0)),INDEX(ExchangeConfirms!$K$2:$K$460,MATCH($A388,ExchangeConfirms!$A$2:$A$460,0)))</f>
        <v/>
      </c>
      <c r="E388">
        <f>IF(COUNTIF(InternalTrades!$A$2:$A$461,$A388)&gt;0,1,0)</f>
        <v/>
      </c>
      <c r="F388">
        <f>IF(COUNTIF(ExchangeConfirms!$A$2:$A$460,$A388)&gt;0,1,0)</f>
        <v/>
      </c>
      <c r="G388">
        <f>IFERROR(INDEX(InternalTrades!$F$2:$F$461,MATCH($A388,InternalTrades!$A$2:$A$461,0)),"")</f>
        <v/>
      </c>
      <c r="H388">
        <f>IFERROR(INDEX(ExchangeConfirms!$F$2:$F$460,MATCH($A388,ExchangeConfirms!$A$2:$A$460,0)),"")</f>
        <v/>
      </c>
      <c r="I388">
        <f>IFERROR(INDEX(InternalTrades!$G$2:$G$461,MATCH($A388,InternalTrades!$A$2:$A$461,0)),"")</f>
        <v/>
      </c>
      <c r="J388">
        <f>IFERROR(INDEX(ExchangeConfirms!$G$2:$G$460,MATCH($A388,ExchangeConfirms!$A$2:$A$460,0)),"")</f>
        <v/>
      </c>
      <c r="K388">
        <f>IFERROR(INDEX(InternalTrades!$H$2:$H$461,MATCH($A388,InternalTrades!$A$2:$A$461,0)),"")</f>
        <v/>
      </c>
      <c r="L388">
        <f>IFERROR(INDEX(ExchangeConfirms!$H$2:$H$460,MATCH($A388,ExchangeConfirms!$A$2:$A$460,0)),"")</f>
        <v/>
      </c>
      <c r="M388">
        <f>IFERROR(INDEX(InternalTrades!$J$2:$J$461,MATCH($A388,InternalTrades!$A$2:$A$461,0)),"")</f>
        <v/>
      </c>
      <c r="N388">
        <f>IFERROR(INDEX(ExchangeConfirms!$J$2:$J$460,MATCH($A388,ExchangeConfirms!$A$2:$A$460,0)),"")</f>
        <v/>
      </c>
      <c r="O388">
        <f>IFERROR(INDEX(InternalTrades!$I$2:$I$461,MATCH($A388,InternalTrades!$A$2:$A$461,0)),"")</f>
        <v/>
      </c>
      <c r="P388">
        <f>IFERROR(INDEX(ExchangeConfirms!$I$2:$I$460,MATCH($A388,ExchangeConfirms!$A$2:$A$460,0)),"")</f>
        <v/>
      </c>
      <c r="Q388">
        <f>IF(AND($E388=1,$F388=0),"MISSING IN EXCHANGE",IF(AND($E388=0,$F388=1),"MISSING IN INTERNAL",IF($G388&lt;&gt;$H388,"SIDE BREAK",IF($I388&lt;&gt;$J388,"QTY BREAK",IF(ABS($K388-$L388)&gt;0.005,"PRICE BREAK",IF(ABS($M388-$N388)&gt;0.01,"FEE BREAK","MATCHED"))))))</f>
        <v/>
      </c>
      <c r="R388">
        <f>IF($Q388="MATCHED",0,1)</f>
        <v/>
      </c>
      <c r="S388">
        <f>IF($Q388="MATCHED",0,IF($Q388="MISSING IN EXCHANGE",$O388,IF($Q388="MISSING IN INTERNAL",$P388,ABS(N($O388)-N($P388)))))</f>
        <v/>
      </c>
    </row>
    <row r="389">
      <c r="A389" t="inlineStr">
        <is>
          <t>T100388</t>
        </is>
      </c>
      <c r="B389">
        <f>IFERROR(INDEX(InternalTrades!$D$2:$D$461,MATCH($A389,InternalTrades!$A$2:$A$461,0)),INDEX(ExchangeConfirms!$D$2:$D$460,MATCH($A389,ExchangeConfirms!$A$2:$A$460,0)))</f>
        <v/>
      </c>
      <c r="C389">
        <f>IFERROR(INDEX(InternalTrades!$E$2:$E$461,MATCH($A389,InternalTrades!$A$2:$A$461,0)),INDEX(ExchangeConfirms!$E$2:$E$460,MATCH($A389,ExchangeConfirms!$A$2:$A$460,0)))</f>
        <v/>
      </c>
      <c r="D389">
        <f>IFERROR(INDEX(InternalTrades!$K$2:$K$461,MATCH($A389,InternalTrades!$A$2:$A$461,0)),INDEX(ExchangeConfirms!$K$2:$K$460,MATCH($A389,ExchangeConfirms!$A$2:$A$460,0)))</f>
        <v/>
      </c>
      <c r="E389">
        <f>IF(COUNTIF(InternalTrades!$A$2:$A$461,$A389)&gt;0,1,0)</f>
        <v/>
      </c>
      <c r="F389">
        <f>IF(COUNTIF(ExchangeConfirms!$A$2:$A$460,$A389)&gt;0,1,0)</f>
        <v/>
      </c>
      <c r="G389">
        <f>IFERROR(INDEX(InternalTrades!$F$2:$F$461,MATCH($A389,InternalTrades!$A$2:$A$461,0)),"")</f>
        <v/>
      </c>
      <c r="H389">
        <f>IFERROR(INDEX(ExchangeConfirms!$F$2:$F$460,MATCH($A389,ExchangeConfirms!$A$2:$A$460,0)),"")</f>
        <v/>
      </c>
      <c r="I389">
        <f>IFERROR(INDEX(InternalTrades!$G$2:$G$461,MATCH($A389,InternalTrades!$A$2:$A$461,0)),"")</f>
        <v/>
      </c>
      <c r="J389">
        <f>IFERROR(INDEX(ExchangeConfirms!$G$2:$G$460,MATCH($A389,ExchangeConfirms!$A$2:$A$460,0)),"")</f>
        <v/>
      </c>
      <c r="K389">
        <f>IFERROR(INDEX(InternalTrades!$H$2:$H$461,MATCH($A389,InternalTrades!$A$2:$A$461,0)),"")</f>
        <v/>
      </c>
      <c r="L389">
        <f>IFERROR(INDEX(ExchangeConfirms!$H$2:$H$460,MATCH($A389,ExchangeConfirms!$A$2:$A$460,0)),"")</f>
        <v/>
      </c>
      <c r="M389">
        <f>IFERROR(INDEX(InternalTrades!$J$2:$J$461,MATCH($A389,InternalTrades!$A$2:$A$461,0)),"")</f>
        <v/>
      </c>
      <c r="N389">
        <f>IFERROR(INDEX(ExchangeConfirms!$J$2:$J$460,MATCH($A389,ExchangeConfirms!$A$2:$A$460,0)),"")</f>
        <v/>
      </c>
      <c r="O389">
        <f>IFERROR(INDEX(InternalTrades!$I$2:$I$461,MATCH($A389,InternalTrades!$A$2:$A$461,0)),"")</f>
        <v/>
      </c>
      <c r="P389">
        <f>IFERROR(INDEX(ExchangeConfirms!$I$2:$I$460,MATCH($A389,ExchangeConfirms!$A$2:$A$460,0)),"")</f>
        <v/>
      </c>
      <c r="Q389">
        <f>IF(AND($E389=1,$F389=0),"MISSING IN EXCHANGE",IF(AND($E389=0,$F389=1),"MISSING IN INTERNAL",IF($G389&lt;&gt;$H389,"SIDE BREAK",IF($I389&lt;&gt;$J389,"QTY BREAK",IF(ABS($K389-$L389)&gt;0.005,"PRICE BREAK",IF(ABS($M389-$N389)&gt;0.01,"FEE BREAK","MATCHED"))))))</f>
        <v/>
      </c>
      <c r="R389">
        <f>IF($Q389="MATCHED",0,1)</f>
        <v/>
      </c>
      <c r="S389">
        <f>IF($Q389="MATCHED",0,IF($Q389="MISSING IN EXCHANGE",$O389,IF($Q389="MISSING IN INTERNAL",$P389,ABS(N($O389)-N($P389)))))</f>
        <v/>
      </c>
    </row>
    <row r="390">
      <c r="A390" t="inlineStr">
        <is>
          <t>T100389</t>
        </is>
      </c>
      <c r="B390">
        <f>IFERROR(INDEX(InternalTrades!$D$2:$D$461,MATCH($A390,InternalTrades!$A$2:$A$461,0)),INDEX(ExchangeConfirms!$D$2:$D$460,MATCH($A390,ExchangeConfirms!$A$2:$A$460,0)))</f>
        <v/>
      </c>
      <c r="C390">
        <f>IFERROR(INDEX(InternalTrades!$E$2:$E$461,MATCH($A390,InternalTrades!$A$2:$A$461,0)),INDEX(ExchangeConfirms!$E$2:$E$460,MATCH($A390,ExchangeConfirms!$A$2:$A$460,0)))</f>
        <v/>
      </c>
      <c r="D390">
        <f>IFERROR(INDEX(InternalTrades!$K$2:$K$461,MATCH($A390,InternalTrades!$A$2:$A$461,0)),INDEX(ExchangeConfirms!$K$2:$K$460,MATCH($A390,ExchangeConfirms!$A$2:$A$460,0)))</f>
        <v/>
      </c>
      <c r="E390">
        <f>IF(COUNTIF(InternalTrades!$A$2:$A$461,$A390)&gt;0,1,0)</f>
        <v/>
      </c>
      <c r="F390">
        <f>IF(COUNTIF(ExchangeConfirms!$A$2:$A$460,$A390)&gt;0,1,0)</f>
        <v/>
      </c>
      <c r="G390">
        <f>IFERROR(INDEX(InternalTrades!$F$2:$F$461,MATCH($A390,InternalTrades!$A$2:$A$461,0)),"")</f>
        <v/>
      </c>
      <c r="H390">
        <f>IFERROR(INDEX(ExchangeConfirms!$F$2:$F$460,MATCH($A390,ExchangeConfirms!$A$2:$A$460,0)),"")</f>
        <v/>
      </c>
      <c r="I390">
        <f>IFERROR(INDEX(InternalTrades!$G$2:$G$461,MATCH($A390,InternalTrades!$A$2:$A$461,0)),"")</f>
        <v/>
      </c>
      <c r="J390">
        <f>IFERROR(INDEX(ExchangeConfirms!$G$2:$G$460,MATCH($A390,ExchangeConfirms!$A$2:$A$460,0)),"")</f>
        <v/>
      </c>
      <c r="K390">
        <f>IFERROR(INDEX(InternalTrades!$H$2:$H$461,MATCH($A390,InternalTrades!$A$2:$A$461,0)),"")</f>
        <v/>
      </c>
      <c r="L390">
        <f>IFERROR(INDEX(ExchangeConfirms!$H$2:$H$460,MATCH($A390,ExchangeConfirms!$A$2:$A$460,0)),"")</f>
        <v/>
      </c>
      <c r="M390">
        <f>IFERROR(INDEX(InternalTrades!$J$2:$J$461,MATCH($A390,InternalTrades!$A$2:$A$461,0)),"")</f>
        <v/>
      </c>
      <c r="N390">
        <f>IFERROR(INDEX(ExchangeConfirms!$J$2:$J$460,MATCH($A390,ExchangeConfirms!$A$2:$A$460,0)),"")</f>
        <v/>
      </c>
      <c r="O390">
        <f>IFERROR(INDEX(InternalTrades!$I$2:$I$461,MATCH($A390,InternalTrades!$A$2:$A$461,0)),"")</f>
        <v/>
      </c>
      <c r="P390">
        <f>IFERROR(INDEX(ExchangeConfirms!$I$2:$I$460,MATCH($A390,ExchangeConfirms!$A$2:$A$460,0)),"")</f>
        <v/>
      </c>
      <c r="Q390">
        <f>IF(AND($E390=1,$F390=0),"MISSING IN EXCHANGE",IF(AND($E390=0,$F390=1),"MISSING IN INTERNAL",IF($G390&lt;&gt;$H390,"SIDE BREAK",IF($I390&lt;&gt;$J390,"QTY BREAK",IF(ABS($K390-$L390)&gt;0.005,"PRICE BREAK",IF(ABS($M390-$N390)&gt;0.01,"FEE BREAK","MATCHED"))))))</f>
        <v/>
      </c>
      <c r="R390">
        <f>IF($Q390="MATCHED",0,1)</f>
        <v/>
      </c>
      <c r="S390">
        <f>IF($Q390="MATCHED",0,IF($Q390="MISSING IN EXCHANGE",$O390,IF($Q390="MISSING IN INTERNAL",$P390,ABS(N($O390)-N($P390)))))</f>
        <v/>
      </c>
    </row>
    <row r="391">
      <c r="A391" t="inlineStr">
        <is>
          <t>T100390</t>
        </is>
      </c>
      <c r="B391">
        <f>IFERROR(INDEX(InternalTrades!$D$2:$D$461,MATCH($A391,InternalTrades!$A$2:$A$461,0)),INDEX(ExchangeConfirms!$D$2:$D$460,MATCH($A391,ExchangeConfirms!$A$2:$A$460,0)))</f>
        <v/>
      </c>
      <c r="C391">
        <f>IFERROR(INDEX(InternalTrades!$E$2:$E$461,MATCH($A391,InternalTrades!$A$2:$A$461,0)),INDEX(ExchangeConfirms!$E$2:$E$460,MATCH($A391,ExchangeConfirms!$A$2:$A$460,0)))</f>
        <v/>
      </c>
      <c r="D391">
        <f>IFERROR(INDEX(InternalTrades!$K$2:$K$461,MATCH($A391,InternalTrades!$A$2:$A$461,0)),INDEX(ExchangeConfirms!$K$2:$K$460,MATCH($A391,ExchangeConfirms!$A$2:$A$460,0)))</f>
        <v/>
      </c>
      <c r="E391">
        <f>IF(COUNTIF(InternalTrades!$A$2:$A$461,$A391)&gt;0,1,0)</f>
        <v/>
      </c>
      <c r="F391">
        <f>IF(COUNTIF(ExchangeConfirms!$A$2:$A$460,$A391)&gt;0,1,0)</f>
        <v/>
      </c>
      <c r="G391">
        <f>IFERROR(INDEX(InternalTrades!$F$2:$F$461,MATCH($A391,InternalTrades!$A$2:$A$461,0)),"")</f>
        <v/>
      </c>
      <c r="H391">
        <f>IFERROR(INDEX(ExchangeConfirms!$F$2:$F$460,MATCH($A391,ExchangeConfirms!$A$2:$A$460,0)),"")</f>
        <v/>
      </c>
      <c r="I391">
        <f>IFERROR(INDEX(InternalTrades!$G$2:$G$461,MATCH($A391,InternalTrades!$A$2:$A$461,0)),"")</f>
        <v/>
      </c>
      <c r="J391">
        <f>IFERROR(INDEX(ExchangeConfirms!$G$2:$G$460,MATCH($A391,ExchangeConfirms!$A$2:$A$460,0)),"")</f>
        <v/>
      </c>
      <c r="K391">
        <f>IFERROR(INDEX(InternalTrades!$H$2:$H$461,MATCH($A391,InternalTrades!$A$2:$A$461,0)),"")</f>
        <v/>
      </c>
      <c r="L391">
        <f>IFERROR(INDEX(ExchangeConfirms!$H$2:$H$460,MATCH($A391,ExchangeConfirms!$A$2:$A$460,0)),"")</f>
        <v/>
      </c>
      <c r="M391">
        <f>IFERROR(INDEX(InternalTrades!$J$2:$J$461,MATCH($A391,InternalTrades!$A$2:$A$461,0)),"")</f>
        <v/>
      </c>
      <c r="N391">
        <f>IFERROR(INDEX(ExchangeConfirms!$J$2:$J$460,MATCH($A391,ExchangeConfirms!$A$2:$A$460,0)),"")</f>
        <v/>
      </c>
      <c r="O391">
        <f>IFERROR(INDEX(InternalTrades!$I$2:$I$461,MATCH($A391,InternalTrades!$A$2:$A$461,0)),"")</f>
        <v/>
      </c>
      <c r="P391">
        <f>IFERROR(INDEX(ExchangeConfirms!$I$2:$I$460,MATCH($A391,ExchangeConfirms!$A$2:$A$460,0)),"")</f>
        <v/>
      </c>
      <c r="Q391">
        <f>IF(AND($E391=1,$F391=0),"MISSING IN EXCHANGE",IF(AND($E391=0,$F391=1),"MISSING IN INTERNAL",IF($G391&lt;&gt;$H391,"SIDE BREAK",IF($I391&lt;&gt;$J391,"QTY BREAK",IF(ABS($K391-$L391)&gt;0.005,"PRICE BREAK",IF(ABS($M391-$N391)&gt;0.01,"FEE BREAK","MATCHED"))))))</f>
        <v/>
      </c>
      <c r="R391">
        <f>IF($Q391="MATCHED",0,1)</f>
        <v/>
      </c>
      <c r="S391">
        <f>IF($Q391="MATCHED",0,IF($Q391="MISSING IN EXCHANGE",$O391,IF($Q391="MISSING IN INTERNAL",$P391,ABS(N($O391)-N($P391)))))</f>
        <v/>
      </c>
    </row>
    <row r="392">
      <c r="A392" t="inlineStr">
        <is>
          <t>T100391</t>
        </is>
      </c>
      <c r="B392">
        <f>IFERROR(INDEX(InternalTrades!$D$2:$D$461,MATCH($A392,InternalTrades!$A$2:$A$461,0)),INDEX(ExchangeConfirms!$D$2:$D$460,MATCH($A392,ExchangeConfirms!$A$2:$A$460,0)))</f>
        <v/>
      </c>
      <c r="C392">
        <f>IFERROR(INDEX(InternalTrades!$E$2:$E$461,MATCH($A392,InternalTrades!$A$2:$A$461,0)),INDEX(ExchangeConfirms!$E$2:$E$460,MATCH($A392,ExchangeConfirms!$A$2:$A$460,0)))</f>
        <v/>
      </c>
      <c r="D392">
        <f>IFERROR(INDEX(InternalTrades!$K$2:$K$461,MATCH($A392,InternalTrades!$A$2:$A$461,0)),INDEX(ExchangeConfirms!$K$2:$K$460,MATCH($A392,ExchangeConfirms!$A$2:$A$460,0)))</f>
        <v/>
      </c>
      <c r="E392">
        <f>IF(COUNTIF(InternalTrades!$A$2:$A$461,$A392)&gt;0,1,0)</f>
        <v/>
      </c>
      <c r="F392">
        <f>IF(COUNTIF(ExchangeConfirms!$A$2:$A$460,$A392)&gt;0,1,0)</f>
        <v/>
      </c>
      <c r="G392">
        <f>IFERROR(INDEX(InternalTrades!$F$2:$F$461,MATCH($A392,InternalTrades!$A$2:$A$461,0)),"")</f>
        <v/>
      </c>
      <c r="H392">
        <f>IFERROR(INDEX(ExchangeConfirms!$F$2:$F$460,MATCH($A392,ExchangeConfirms!$A$2:$A$460,0)),"")</f>
        <v/>
      </c>
      <c r="I392">
        <f>IFERROR(INDEX(InternalTrades!$G$2:$G$461,MATCH($A392,InternalTrades!$A$2:$A$461,0)),"")</f>
        <v/>
      </c>
      <c r="J392">
        <f>IFERROR(INDEX(ExchangeConfirms!$G$2:$G$460,MATCH($A392,ExchangeConfirms!$A$2:$A$460,0)),"")</f>
        <v/>
      </c>
      <c r="K392">
        <f>IFERROR(INDEX(InternalTrades!$H$2:$H$461,MATCH($A392,InternalTrades!$A$2:$A$461,0)),"")</f>
        <v/>
      </c>
      <c r="L392">
        <f>IFERROR(INDEX(ExchangeConfirms!$H$2:$H$460,MATCH($A392,ExchangeConfirms!$A$2:$A$460,0)),"")</f>
        <v/>
      </c>
      <c r="M392">
        <f>IFERROR(INDEX(InternalTrades!$J$2:$J$461,MATCH($A392,InternalTrades!$A$2:$A$461,0)),"")</f>
        <v/>
      </c>
      <c r="N392">
        <f>IFERROR(INDEX(ExchangeConfirms!$J$2:$J$460,MATCH($A392,ExchangeConfirms!$A$2:$A$460,0)),"")</f>
        <v/>
      </c>
      <c r="O392">
        <f>IFERROR(INDEX(InternalTrades!$I$2:$I$461,MATCH($A392,InternalTrades!$A$2:$A$461,0)),"")</f>
        <v/>
      </c>
      <c r="P392">
        <f>IFERROR(INDEX(ExchangeConfirms!$I$2:$I$460,MATCH($A392,ExchangeConfirms!$A$2:$A$460,0)),"")</f>
        <v/>
      </c>
      <c r="Q392">
        <f>IF(AND($E392=1,$F392=0),"MISSING IN EXCHANGE",IF(AND($E392=0,$F392=1),"MISSING IN INTERNAL",IF($G392&lt;&gt;$H392,"SIDE BREAK",IF($I392&lt;&gt;$J392,"QTY BREAK",IF(ABS($K392-$L392)&gt;0.005,"PRICE BREAK",IF(ABS($M392-$N392)&gt;0.01,"FEE BREAK","MATCHED"))))))</f>
        <v/>
      </c>
      <c r="R392">
        <f>IF($Q392="MATCHED",0,1)</f>
        <v/>
      </c>
      <c r="S392">
        <f>IF($Q392="MATCHED",0,IF($Q392="MISSING IN EXCHANGE",$O392,IF($Q392="MISSING IN INTERNAL",$P392,ABS(N($O392)-N($P392)))))</f>
        <v/>
      </c>
    </row>
    <row r="393">
      <c r="A393" t="inlineStr">
        <is>
          <t>T100392</t>
        </is>
      </c>
      <c r="B393">
        <f>IFERROR(INDEX(InternalTrades!$D$2:$D$461,MATCH($A393,InternalTrades!$A$2:$A$461,0)),INDEX(ExchangeConfirms!$D$2:$D$460,MATCH($A393,ExchangeConfirms!$A$2:$A$460,0)))</f>
        <v/>
      </c>
      <c r="C393">
        <f>IFERROR(INDEX(InternalTrades!$E$2:$E$461,MATCH($A393,InternalTrades!$A$2:$A$461,0)),INDEX(ExchangeConfirms!$E$2:$E$460,MATCH($A393,ExchangeConfirms!$A$2:$A$460,0)))</f>
        <v/>
      </c>
      <c r="D393">
        <f>IFERROR(INDEX(InternalTrades!$K$2:$K$461,MATCH($A393,InternalTrades!$A$2:$A$461,0)),INDEX(ExchangeConfirms!$K$2:$K$460,MATCH($A393,ExchangeConfirms!$A$2:$A$460,0)))</f>
        <v/>
      </c>
      <c r="E393">
        <f>IF(COUNTIF(InternalTrades!$A$2:$A$461,$A393)&gt;0,1,0)</f>
        <v/>
      </c>
      <c r="F393">
        <f>IF(COUNTIF(ExchangeConfirms!$A$2:$A$460,$A393)&gt;0,1,0)</f>
        <v/>
      </c>
      <c r="G393">
        <f>IFERROR(INDEX(InternalTrades!$F$2:$F$461,MATCH($A393,InternalTrades!$A$2:$A$461,0)),"")</f>
        <v/>
      </c>
      <c r="H393">
        <f>IFERROR(INDEX(ExchangeConfirms!$F$2:$F$460,MATCH($A393,ExchangeConfirms!$A$2:$A$460,0)),"")</f>
        <v/>
      </c>
      <c r="I393">
        <f>IFERROR(INDEX(InternalTrades!$G$2:$G$461,MATCH($A393,InternalTrades!$A$2:$A$461,0)),"")</f>
        <v/>
      </c>
      <c r="J393">
        <f>IFERROR(INDEX(ExchangeConfirms!$G$2:$G$460,MATCH($A393,ExchangeConfirms!$A$2:$A$460,0)),"")</f>
        <v/>
      </c>
      <c r="K393">
        <f>IFERROR(INDEX(InternalTrades!$H$2:$H$461,MATCH($A393,InternalTrades!$A$2:$A$461,0)),"")</f>
        <v/>
      </c>
      <c r="L393">
        <f>IFERROR(INDEX(ExchangeConfirms!$H$2:$H$460,MATCH($A393,ExchangeConfirms!$A$2:$A$460,0)),"")</f>
        <v/>
      </c>
      <c r="M393">
        <f>IFERROR(INDEX(InternalTrades!$J$2:$J$461,MATCH($A393,InternalTrades!$A$2:$A$461,0)),"")</f>
        <v/>
      </c>
      <c r="N393">
        <f>IFERROR(INDEX(ExchangeConfirms!$J$2:$J$460,MATCH($A393,ExchangeConfirms!$A$2:$A$460,0)),"")</f>
        <v/>
      </c>
      <c r="O393">
        <f>IFERROR(INDEX(InternalTrades!$I$2:$I$461,MATCH($A393,InternalTrades!$A$2:$A$461,0)),"")</f>
        <v/>
      </c>
      <c r="P393">
        <f>IFERROR(INDEX(ExchangeConfirms!$I$2:$I$460,MATCH($A393,ExchangeConfirms!$A$2:$A$460,0)),"")</f>
        <v/>
      </c>
      <c r="Q393">
        <f>IF(AND($E393=1,$F393=0),"MISSING IN EXCHANGE",IF(AND($E393=0,$F393=1),"MISSING IN INTERNAL",IF($G393&lt;&gt;$H393,"SIDE BREAK",IF($I393&lt;&gt;$J393,"QTY BREAK",IF(ABS($K393-$L393)&gt;0.005,"PRICE BREAK",IF(ABS($M393-$N393)&gt;0.01,"FEE BREAK","MATCHED"))))))</f>
        <v/>
      </c>
      <c r="R393">
        <f>IF($Q393="MATCHED",0,1)</f>
        <v/>
      </c>
      <c r="S393">
        <f>IF($Q393="MATCHED",0,IF($Q393="MISSING IN EXCHANGE",$O393,IF($Q393="MISSING IN INTERNAL",$P393,ABS(N($O393)-N($P393)))))</f>
        <v/>
      </c>
    </row>
    <row r="394">
      <c r="A394" t="inlineStr">
        <is>
          <t>T100393</t>
        </is>
      </c>
      <c r="B394">
        <f>IFERROR(INDEX(InternalTrades!$D$2:$D$461,MATCH($A394,InternalTrades!$A$2:$A$461,0)),INDEX(ExchangeConfirms!$D$2:$D$460,MATCH($A394,ExchangeConfirms!$A$2:$A$460,0)))</f>
        <v/>
      </c>
      <c r="C394">
        <f>IFERROR(INDEX(InternalTrades!$E$2:$E$461,MATCH($A394,InternalTrades!$A$2:$A$461,0)),INDEX(ExchangeConfirms!$E$2:$E$460,MATCH($A394,ExchangeConfirms!$A$2:$A$460,0)))</f>
        <v/>
      </c>
      <c r="D394">
        <f>IFERROR(INDEX(InternalTrades!$K$2:$K$461,MATCH($A394,InternalTrades!$A$2:$A$461,0)),INDEX(ExchangeConfirms!$K$2:$K$460,MATCH($A394,ExchangeConfirms!$A$2:$A$460,0)))</f>
        <v/>
      </c>
      <c r="E394">
        <f>IF(COUNTIF(InternalTrades!$A$2:$A$461,$A394)&gt;0,1,0)</f>
        <v/>
      </c>
      <c r="F394">
        <f>IF(COUNTIF(ExchangeConfirms!$A$2:$A$460,$A394)&gt;0,1,0)</f>
        <v/>
      </c>
      <c r="G394">
        <f>IFERROR(INDEX(InternalTrades!$F$2:$F$461,MATCH($A394,InternalTrades!$A$2:$A$461,0)),"")</f>
        <v/>
      </c>
      <c r="H394">
        <f>IFERROR(INDEX(ExchangeConfirms!$F$2:$F$460,MATCH($A394,ExchangeConfirms!$A$2:$A$460,0)),"")</f>
        <v/>
      </c>
      <c r="I394">
        <f>IFERROR(INDEX(InternalTrades!$G$2:$G$461,MATCH($A394,InternalTrades!$A$2:$A$461,0)),"")</f>
        <v/>
      </c>
      <c r="J394">
        <f>IFERROR(INDEX(ExchangeConfirms!$G$2:$G$460,MATCH($A394,ExchangeConfirms!$A$2:$A$460,0)),"")</f>
        <v/>
      </c>
      <c r="K394">
        <f>IFERROR(INDEX(InternalTrades!$H$2:$H$461,MATCH($A394,InternalTrades!$A$2:$A$461,0)),"")</f>
        <v/>
      </c>
      <c r="L394">
        <f>IFERROR(INDEX(ExchangeConfirms!$H$2:$H$460,MATCH($A394,ExchangeConfirms!$A$2:$A$460,0)),"")</f>
        <v/>
      </c>
      <c r="M394">
        <f>IFERROR(INDEX(InternalTrades!$J$2:$J$461,MATCH($A394,InternalTrades!$A$2:$A$461,0)),"")</f>
        <v/>
      </c>
      <c r="N394">
        <f>IFERROR(INDEX(ExchangeConfirms!$J$2:$J$460,MATCH($A394,ExchangeConfirms!$A$2:$A$460,0)),"")</f>
        <v/>
      </c>
      <c r="O394">
        <f>IFERROR(INDEX(InternalTrades!$I$2:$I$461,MATCH($A394,InternalTrades!$A$2:$A$461,0)),"")</f>
        <v/>
      </c>
      <c r="P394">
        <f>IFERROR(INDEX(ExchangeConfirms!$I$2:$I$460,MATCH($A394,ExchangeConfirms!$A$2:$A$460,0)),"")</f>
        <v/>
      </c>
      <c r="Q394">
        <f>IF(AND($E394=1,$F394=0),"MISSING IN EXCHANGE",IF(AND($E394=0,$F394=1),"MISSING IN INTERNAL",IF($G394&lt;&gt;$H394,"SIDE BREAK",IF($I394&lt;&gt;$J394,"QTY BREAK",IF(ABS($K394-$L394)&gt;0.005,"PRICE BREAK",IF(ABS($M394-$N394)&gt;0.01,"FEE BREAK","MATCHED"))))))</f>
        <v/>
      </c>
      <c r="R394">
        <f>IF($Q394="MATCHED",0,1)</f>
        <v/>
      </c>
      <c r="S394">
        <f>IF($Q394="MATCHED",0,IF($Q394="MISSING IN EXCHANGE",$O394,IF($Q394="MISSING IN INTERNAL",$P394,ABS(N($O394)-N($P394)))))</f>
        <v/>
      </c>
    </row>
    <row r="395">
      <c r="A395" t="inlineStr">
        <is>
          <t>T100394</t>
        </is>
      </c>
      <c r="B395">
        <f>IFERROR(INDEX(InternalTrades!$D$2:$D$461,MATCH($A395,InternalTrades!$A$2:$A$461,0)),INDEX(ExchangeConfirms!$D$2:$D$460,MATCH($A395,ExchangeConfirms!$A$2:$A$460,0)))</f>
        <v/>
      </c>
      <c r="C395">
        <f>IFERROR(INDEX(InternalTrades!$E$2:$E$461,MATCH($A395,InternalTrades!$A$2:$A$461,0)),INDEX(ExchangeConfirms!$E$2:$E$460,MATCH($A395,ExchangeConfirms!$A$2:$A$460,0)))</f>
        <v/>
      </c>
      <c r="D395">
        <f>IFERROR(INDEX(InternalTrades!$K$2:$K$461,MATCH($A395,InternalTrades!$A$2:$A$461,0)),INDEX(ExchangeConfirms!$K$2:$K$460,MATCH($A395,ExchangeConfirms!$A$2:$A$460,0)))</f>
        <v/>
      </c>
      <c r="E395">
        <f>IF(COUNTIF(InternalTrades!$A$2:$A$461,$A395)&gt;0,1,0)</f>
        <v/>
      </c>
      <c r="F395">
        <f>IF(COUNTIF(ExchangeConfirms!$A$2:$A$460,$A395)&gt;0,1,0)</f>
        <v/>
      </c>
      <c r="G395">
        <f>IFERROR(INDEX(InternalTrades!$F$2:$F$461,MATCH($A395,InternalTrades!$A$2:$A$461,0)),"")</f>
        <v/>
      </c>
      <c r="H395">
        <f>IFERROR(INDEX(ExchangeConfirms!$F$2:$F$460,MATCH($A395,ExchangeConfirms!$A$2:$A$460,0)),"")</f>
        <v/>
      </c>
      <c r="I395">
        <f>IFERROR(INDEX(InternalTrades!$G$2:$G$461,MATCH($A395,InternalTrades!$A$2:$A$461,0)),"")</f>
        <v/>
      </c>
      <c r="J395">
        <f>IFERROR(INDEX(ExchangeConfirms!$G$2:$G$460,MATCH($A395,ExchangeConfirms!$A$2:$A$460,0)),"")</f>
        <v/>
      </c>
      <c r="K395">
        <f>IFERROR(INDEX(InternalTrades!$H$2:$H$461,MATCH($A395,InternalTrades!$A$2:$A$461,0)),"")</f>
        <v/>
      </c>
      <c r="L395">
        <f>IFERROR(INDEX(ExchangeConfirms!$H$2:$H$460,MATCH($A395,ExchangeConfirms!$A$2:$A$460,0)),"")</f>
        <v/>
      </c>
      <c r="M395">
        <f>IFERROR(INDEX(InternalTrades!$J$2:$J$461,MATCH($A395,InternalTrades!$A$2:$A$461,0)),"")</f>
        <v/>
      </c>
      <c r="N395">
        <f>IFERROR(INDEX(ExchangeConfirms!$J$2:$J$460,MATCH($A395,ExchangeConfirms!$A$2:$A$460,0)),"")</f>
        <v/>
      </c>
      <c r="O395">
        <f>IFERROR(INDEX(InternalTrades!$I$2:$I$461,MATCH($A395,InternalTrades!$A$2:$A$461,0)),"")</f>
        <v/>
      </c>
      <c r="P395">
        <f>IFERROR(INDEX(ExchangeConfirms!$I$2:$I$460,MATCH($A395,ExchangeConfirms!$A$2:$A$460,0)),"")</f>
        <v/>
      </c>
      <c r="Q395">
        <f>IF(AND($E395=1,$F395=0),"MISSING IN EXCHANGE",IF(AND($E395=0,$F395=1),"MISSING IN INTERNAL",IF($G395&lt;&gt;$H395,"SIDE BREAK",IF($I395&lt;&gt;$J395,"QTY BREAK",IF(ABS($K395-$L395)&gt;0.005,"PRICE BREAK",IF(ABS($M395-$N395)&gt;0.01,"FEE BREAK","MATCHED"))))))</f>
        <v/>
      </c>
      <c r="R395">
        <f>IF($Q395="MATCHED",0,1)</f>
        <v/>
      </c>
      <c r="S395">
        <f>IF($Q395="MATCHED",0,IF($Q395="MISSING IN EXCHANGE",$O395,IF($Q395="MISSING IN INTERNAL",$P395,ABS(N($O395)-N($P395)))))</f>
        <v/>
      </c>
    </row>
    <row r="396">
      <c r="A396" t="inlineStr">
        <is>
          <t>T100395</t>
        </is>
      </c>
      <c r="B396">
        <f>IFERROR(INDEX(InternalTrades!$D$2:$D$461,MATCH($A396,InternalTrades!$A$2:$A$461,0)),INDEX(ExchangeConfirms!$D$2:$D$460,MATCH($A396,ExchangeConfirms!$A$2:$A$460,0)))</f>
        <v/>
      </c>
      <c r="C396">
        <f>IFERROR(INDEX(InternalTrades!$E$2:$E$461,MATCH($A396,InternalTrades!$A$2:$A$461,0)),INDEX(ExchangeConfirms!$E$2:$E$460,MATCH($A396,ExchangeConfirms!$A$2:$A$460,0)))</f>
        <v/>
      </c>
      <c r="D396">
        <f>IFERROR(INDEX(InternalTrades!$K$2:$K$461,MATCH($A396,InternalTrades!$A$2:$A$461,0)),INDEX(ExchangeConfirms!$K$2:$K$460,MATCH($A396,ExchangeConfirms!$A$2:$A$460,0)))</f>
        <v/>
      </c>
      <c r="E396">
        <f>IF(COUNTIF(InternalTrades!$A$2:$A$461,$A396)&gt;0,1,0)</f>
        <v/>
      </c>
      <c r="F396">
        <f>IF(COUNTIF(ExchangeConfirms!$A$2:$A$460,$A396)&gt;0,1,0)</f>
        <v/>
      </c>
      <c r="G396">
        <f>IFERROR(INDEX(InternalTrades!$F$2:$F$461,MATCH($A396,InternalTrades!$A$2:$A$461,0)),"")</f>
        <v/>
      </c>
      <c r="H396">
        <f>IFERROR(INDEX(ExchangeConfirms!$F$2:$F$460,MATCH($A396,ExchangeConfirms!$A$2:$A$460,0)),"")</f>
        <v/>
      </c>
      <c r="I396">
        <f>IFERROR(INDEX(InternalTrades!$G$2:$G$461,MATCH($A396,InternalTrades!$A$2:$A$461,0)),"")</f>
        <v/>
      </c>
      <c r="J396">
        <f>IFERROR(INDEX(ExchangeConfirms!$G$2:$G$460,MATCH($A396,ExchangeConfirms!$A$2:$A$460,0)),"")</f>
        <v/>
      </c>
      <c r="K396">
        <f>IFERROR(INDEX(InternalTrades!$H$2:$H$461,MATCH($A396,InternalTrades!$A$2:$A$461,0)),"")</f>
        <v/>
      </c>
      <c r="L396">
        <f>IFERROR(INDEX(ExchangeConfirms!$H$2:$H$460,MATCH($A396,ExchangeConfirms!$A$2:$A$460,0)),"")</f>
        <v/>
      </c>
      <c r="M396">
        <f>IFERROR(INDEX(InternalTrades!$J$2:$J$461,MATCH($A396,InternalTrades!$A$2:$A$461,0)),"")</f>
        <v/>
      </c>
      <c r="N396">
        <f>IFERROR(INDEX(ExchangeConfirms!$J$2:$J$460,MATCH($A396,ExchangeConfirms!$A$2:$A$460,0)),"")</f>
        <v/>
      </c>
      <c r="O396">
        <f>IFERROR(INDEX(InternalTrades!$I$2:$I$461,MATCH($A396,InternalTrades!$A$2:$A$461,0)),"")</f>
        <v/>
      </c>
      <c r="P396">
        <f>IFERROR(INDEX(ExchangeConfirms!$I$2:$I$460,MATCH($A396,ExchangeConfirms!$A$2:$A$460,0)),"")</f>
        <v/>
      </c>
      <c r="Q396">
        <f>IF(AND($E396=1,$F396=0),"MISSING IN EXCHANGE",IF(AND($E396=0,$F396=1),"MISSING IN INTERNAL",IF($G396&lt;&gt;$H396,"SIDE BREAK",IF($I396&lt;&gt;$J396,"QTY BREAK",IF(ABS($K396-$L396)&gt;0.005,"PRICE BREAK",IF(ABS($M396-$N396)&gt;0.01,"FEE BREAK","MATCHED"))))))</f>
        <v/>
      </c>
      <c r="R396">
        <f>IF($Q396="MATCHED",0,1)</f>
        <v/>
      </c>
      <c r="S396">
        <f>IF($Q396="MATCHED",0,IF($Q396="MISSING IN EXCHANGE",$O396,IF($Q396="MISSING IN INTERNAL",$P396,ABS(N($O396)-N($P396)))))</f>
        <v/>
      </c>
    </row>
    <row r="397">
      <c r="A397" t="inlineStr">
        <is>
          <t>T100396</t>
        </is>
      </c>
      <c r="B397">
        <f>IFERROR(INDEX(InternalTrades!$D$2:$D$461,MATCH($A397,InternalTrades!$A$2:$A$461,0)),INDEX(ExchangeConfirms!$D$2:$D$460,MATCH($A397,ExchangeConfirms!$A$2:$A$460,0)))</f>
        <v/>
      </c>
      <c r="C397">
        <f>IFERROR(INDEX(InternalTrades!$E$2:$E$461,MATCH($A397,InternalTrades!$A$2:$A$461,0)),INDEX(ExchangeConfirms!$E$2:$E$460,MATCH($A397,ExchangeConfirms!$A$2:$A$460,0)))</f>
        <v/>
      </c>
      <c r="D397">
        <f>IFERROR(INDEX(InternalTrades!$K$2:$K$461,MATCH($A397,InternalTrades!$A$2:$A$461,0)),INDEX(ExchangeConfirms!$K$2:$K$460,MATCH($A397,ExchangeConfirms!$A$2:$A$460,0)))</f>
        <v/>
      </c>
      <c r="E397">
        <f>IF(COUNTIF(InternalTrades!$A$2:$A$461,$A397)&gt;0,1,0)</f>
        <v/>
      </c>
      <c r="F397">
        <f>IF(COUNTIF(ExchangeConfirms!$A$2:$A$460,$A397)&gt;0,1,0)</f>
        <v/>
      </c>
      <c r="G397">
        <f>IFERROR(INDEX(InternalTrades!$F$2:$F$461,MATCH($A397,InternalTrades!$A$2:$A$461,0)),"")</f>
        <v/>
      </c>
      <c r="H397">
        <f>IFERROR(INDEX(ExchangeConfirms!$F$2:$F$460,MATCH($A397,ExchangeConfirms!$A$2:$A$460,0)),"")</f>
        <v/>
      </c>
      <c r="I397">
        <f>IFERROR(INDEX(InternalTrades!$G$2:$G$461,MATCH($A397,InternalTrades!$A$2:$A$461,0)),"")</f>
        <v/>
      </c>
      <c r="J397">
        <f>IFERROR(INDEX(ExchangeConfirms!$G$2:$G$460,MATCH($A397,ExchangeConfirms!$A$2:$A$460,0)),"")</f>
        <v/>
      </c>
      <c r="K397">
        <f>IFERROR(INDEX(InternalTrades!$H$2:$H$461,MATCH($A397,InternalTrades!$A$2:$A$461,0)),"")</f>
        <v/>
      </c>
      <c r="L397">
        <f>IFERROR(INDEX(ExchangeConfirms!$H$2:$H$460,MATCH($A397,ExchangeConfirms!$A$2:$A$460,0)),"")</f>
        <v/>
      </c>
      <c r="M397">
        <f>IFERROR(INDEX(InternalTrades!$J$2:$J$461,MATCH($A397,InternalTrades!$A$2:$A$461,0)),"")</f>
        <v/>
      </c>
      <c r="N397">
        <f>IFERROR(INDEX(ExchangeConfirms!$J$2:$J$460,MATCH($A397,ExchangeConfirms!$A$2:$A$460,0)),"")</f>
        <v/>
      </c>
      <c r="O397">
        <f>IFERROR(INDEX(InternalTrades!$I$2:$I$461,MATCH($A397,InternalTrades!$A$2:$A$461,0)),"")</f>
        <v/>
      </c>
      <c r="P397">
        <f>IFERROR(INDEX(ExchangeConfirms!$I$2:$I$460,MATCH($A397,ExchangeConfirms!$A$2:$A$460,0)),"")</f>
        <v/>
      </c>
      <c r="Q397">
        <f>IF(AND($E397=1,$F397=0),"MISSING IN EXCHANGE",IF(AND($E397=0,$F397=1),"MISSING IN INTERNAL",IF($G397&lt;&gt;$H397,"SIDE BREAK",IF($I397&lt;&gt;$J397,"QTY BREAK",IF(ABS($K397-$L397)&gt;0.005,"PRICE BREAK",IF(ABS($M397-$N397)&gt;0.01,"FEE BREAK","MATCHED"))))))</f>
        <v/>
      </c>
      <c r="R397">
        <f>IF($Q397="MATCHED",0,1)</f>
        <v/>
      </c>
      <c r="S397">
        <f>IF($Q397="MATCHED",0,IF($Q397="MISSING IN EXCHANGE",$O397,IF($Q397="MISSING IN INTERNAL",$P397,ABS(N($O397)-N($P397)))))</f>
        <v/>
      </c>
    </row>
    <row r="398">
      <c r="A398" t="inlineStr">
        <is>
          <t>T100397</t>
        </is>
      </c>
      <c r="B398">
        <f>IFERROR(INDEX(InternalTrades!$D$2:$D$461,MATCH($A398,InternalTrades!$A$2:$A$461,0)),INDEX(ExchangeConfirms!$D$2:$D$460,MATCH($A398,ExchangeConfirms!$A$2:$A$460,0)))</f>
        <v/>
      </c>
      <c r="C398">
        <f>IFERROR(INDEX(InternalTrades!$E$2:$E$461,MATCH($A398,InternalTrades!$A$2:$A$461,0)),INDEX(ExchangeConfirms!$E$2:$E$460,MATCH($A398,ExchangeConfirms!$A$2:$A$460,0)))</f>
        <v/>
      </c>
      <c r="D398">
        <f>IFERROR(INDEX(InternalTrades!$K$2:$K$461,MATCH($A398,InternalTrades!$A$2:$A$461,0)),INDEX(ExchangeConfirms!$K$2:$K$460,MATCH($A398,ExchangeConfirms!$A$2:$A$460,0)))</f>
        <v/>
      </c>
      <c r="E398">
        <f>IF(COUNTIF(InternalTrades!$A$2:$A$461,$A398)&gt;0,1,0)</f>
        <v/>
      </c>
      <c r="F398">
        <f>IF(COUNTIF(ExchangeConfirms!$A$2:$A$460,$A398)&gt;0,1,0)</f>
        <v/>
      </c>
      <c r="G398">
        <f>IFERROR(INDEX(InternalTrades!$F$2:$F$461,MATCH($A398,InternalTrades!$A$2:$A$461,0)),"")</f>
        <v/>
      </c>
      <c r="H398">
        <f>IFERROR(INDEX(ExchangeConfirms!$F$2:$F$460,MATCH($A398,ExchangeConfirms!$A$2:$A$460,0)),"")</f>
        <v/>
      </c>
      <c r="I398">
        <f>IFERROR(INDEX(InternalTrades!$G$2:$G$461,MATCH($A398,InternalTrades!$A$2:$A$461,0)),"")</f>
        <v/>
      </c>
      <c r="J398">
        <f>IFERROR(INDEX(ExchangeConfirms!$G$2:$G$460,MATCH($A398,ExchangeConfirms!$A$2:$A$460,0)),"")</f>
        <v/>
      </c>
      <c r="K398">
        <f>IFERROR(INDEX(InternalTrades!$H$2:$H$461,MATCH($A398,InternalTrades!$A$2:$A$461,0)),"")</f>
        <v/>
      </c>
      <c r="L398">
        <f>IFERROR(INDEX(ExchangeConfirms!$H$2:$H$460,MATCH($A398,ExchangeConfirms!$A$2:$A$460,0)),"")</f>
        <v/>
      </c>
      <c r="M398">
        <f>IFERROR(INDEX(InternalTrades!$J$2:$J$461,MATCH($A398,InternalTrades!$A$2:$A$461,0)),"")</f>
        <v/>
      </c>
      <c r="N398">
        <f>IFERROR(INDEX(ExchangeConfirms!$J$2:$J$460,MATCH($A398,ExchangeConfirms!$A$2:$A$460,0)),"")</f>
        <v/>
      </c>
      <c r="O398">
        <f>IFERROR(INDEX(InternalTrades!$I$2:$I$461,MATCH($A398,InternalTrades!$A$2:$A$461,0)),"")</f>
        <v/>
      </c>
      <c r="P398">
        <f>IFERROR(INDEX(ExchangeConfirms!$I$2:$I$460,MATCH($A398,ExchangeConfirms!$A$2:$A$460,0)),"")</f>
        <v/>
      </c>
      <c r="Q398">
        <f>IF(AND($E398=1,$F398=0),"MISSING IN EXCHANGE",IF(AND($E398=0,$F398=1),"MISSING IN INTERNAL",IF($G398&lt;&gt;$H398,"SIDE BREAK",IF($I398&lt;&gt;$J398,"QTY BREAK",IF(ABS($K398-$L398)&gt;0.005,"PRICE BREAK",IF(ABS($M398-$N398)&gt;0.01,"FEE BREAK","MATCHED"))))))</f>
        <v/>
      </c>
      <c r="R398">
        <f>IF($Q398="MATCHED",0,1)</f>
        <v/>
      </c>
      <c r="S398">
        <f>IF($Q398="MATCHED",0,IF($Q398="MISSING IN EXCHANGE",$O398,IF($Q398="MISSING IN INTERNAL",$P398,ABS(N($O398)-N($P398)))))</f>
        <v/>
      </c>
    </row>
    <row r="399">
      <c r="A399" t="inlineStr">
        <is>
          <t>T100398</t>
        </is>
      </c>
      <c r="B399">
        <f>IFERROR(INDEX(InternalTrades!$D$2:$D$461,MATCH($A399,InternalTrades!$A$2:$A$461,0)),INDEX(ExchangeConfirms!$D$2:$D$460,MATCH($A399,ExchangeConfirms!$A$2:$A$460,0)))</f>
        <v/>
      </c>
      <c r="C399">
        <f>IFERROR(INDEX(InternalTrades!$E$2:$E$461,MATCH($A399,InternalTrades!$A$2:$A$461,0)),INDEX(ExchangeConfirms!$E$2:$E$460,MATCH($A399,ExchangeConfirms!$A$2:$A$460,0)))</f>
        <v/>
      </c>
      <c r="D399">
        <f>IFERROR(INDEX(InternalTrades!$K$2:$K$461,MATCH($A399,InternalTrades!$A$2:$A$461,0)),INDEX(ExchangeConfirms!$K$2:$K$460,MATCH($A399,ExchangeConfirms!$A$2:$A$460,0)))</f>
        <v/>
      </c>
      <c r="E399">
        <f>IF(COUNTIF(InternalTrades!$A$2:$A$461,$A399)&gt;0,1,0)</f>
        <v/>
      </c>
      <c r="F399">
        <f>IF(COUNTIF(ExchangeConfirms!$A$2:$A$460,$A399)&gt;0,1,0)</f>
        <v/>
      </c>
      <c r="G399">
        <f>IFERROR(INDEX(InternalTrades!$F$2:$F$461,MATCH($A399,InternalTrades!$A$2:$A$461,0)),"")</f>
        <v/>
      </c>
      <c r="H399">
        <f>IFERROR(INDEX(ExchangeConfirms!$F$2:$F$460,MATCH($A399,ExchangeConfirms!$A$2:$A$460,0)),"")</f>
        <v/>
      </c>
      <c r="I399">
        <f>IFERROR(INDEX(InternalTrades!$G$2:$G$461,MATCH($A399,InternalTrades!$A$2:$A$461,0)),"")</f>
        <v/>
      </c>
      <c r="J399">
        <f>IFERROR(INDEX(ExchangeConfirms!$G$2:$G$460,MATCH($A399,ExchangeConfirms!$A$2:$A$460,0)),"")</f>
        <v/>
      </c>
      <c r="K399">
        <f>IFERROR(INDEX(InternalTrades!$H$2:$H$461,MATCH($A399,InternalTrades!$A$2:$A$461,0)),"")</f>
        <v/>
      </c>
      <c r="L399">
        <f>IFERROR(INDEX(ExchangeConfirms!$H$2:$H$460,MATCH($A399,ExchangeConfirms!$A$2:$A$460,0)),"")</f>
        <v/>
      </c>
      <c r="M399">
        <f>IFERROR(INDEX(InternalTrades!$J$2:$J$461,MATCH($A399,InternalTrades!$A$2:$A$461,0)),"")</f>
        <v/>
      </c>
      <c r="N399">
        <f>IFERROR(INDEX(ExchangeConfirms!$J$2:$J$460,MATCH($A399,ExchangeConfirms!$A$2:$A$460,0)),"")</f>
        <v/>
      </c>
      <c r="O399">
        <f>IFERROR(INDEX(InternalTrades!$I$2:$I$461,MATCH($A399,InternalTrades!$A$2:$A$461,0)),"")</f>
        <v/>
      </c>
      <c r="P399">
        <f>IFERROR(INDEX(ExchangeConfirms!$I$2:$I$460,MATCH($A399,ExchangeConfirms!$A$2:$A$460,0)),"")</f>
        <v/>
      </c>
      <c r="Q399">
        <f>IF(AND($E399=1,$F399=0),"MISSING IN EXCHANGE",IF(AND($E399=0,$F399=1),"MISSING IN INTERNAL",IF($G399&lt;&gt;$H399,"SIDE BREAK",IF($I399&lt;&gt;$J399,"QTY BREAK",IF(ABS($K399-$L399)&gt;0.005,"PRICE BREAK",IF(ABS($M399-$N399)&gt;0.01,"FEE BREAK","MATCHED"))))))</f>
        <v/>
      </c>
      <c r="R399">
        <f>IF($Q399="MATCHED",0,1)</f>
        <v/>
      </c>
      <c r="S399">
        <f>IF($Q399="MATCHED",0,IF($Q399="MISSING IN EXCHANGE",$O399,IF($Q399="MISSING IN INTERNAL",$P399,ABS(N($O399)-N($P399)))))</f>
        <v/>
      </c>
    </row>
    <row r="400">
      <c r="A400" t="inlineStr">
        <is>
          <t>T100399</t>
        </is>
      </c>
      <c r="B400">
        <f>IFERROR(INDEX(InternalTrades!$D$2:$D$461,MATCH($A400,InternalTrades!$A$2:$A$461,0)),INDEX(ExchangeConfirms!$D$2:$D$460,MATCH($A400,ExchangeConfirms!$A$2:$A$460,0)))</f>
        <v/>
      </c>
      <c r="C400">
        <f>IFERROR(INDEX(InternalTrades!$E$2:$E$461,MATCH($A400,InternalTrades!$A$2:$A$461,0)),INDEX(ExchangeConfirms!$E$2:$E$460,MATCH($A400,ExchangeConfirms!$A$2:$A$460,0)))</f>
        <v/>
      </c>
      <c r="D400">
        <f>IFERROR(INDEX(InternalTrades!$K$2:$K$461,MATCH($A400,InternalTrades!$A$2:$A$461,0)),INDEX(ExchangeConfirms!$K$2:$K$460,MATCH($A400,ExchangeConfirms!$A$2:$A$460,0)))</f>
        <v/>
      </c>
      <c r="E400">
        <f>IF(COUNTIF(InternalTrades!$A$2:$A$461,$A400)&gt;0,1,0)</f>
        <v/>
      </c>
      <c r="F400">
        <f>IF(COUNTIF(ExchangeConfirms!$A$2:$A$460,$A400)&gt;0,1,0)</f>
        <v/>
      </c>
      <c r="G400">
        <f>IFERROR(INDEX(InternalTrades!$F$2:$F$461,MATCH($A400,InternalTrades!$A$2:$A$461,0)),"")</f>
        <v/>
      </c>
      <c r="H400">
        <f>IFERROR(INDEX(ExchangeConfirms!$F$2:$F$460,MATCH($A400,ExchangeConfirms!$A$2:$A$460,0)),"")</f>
        <v/>
      </c>
      <c r="I400">
        <f>IFERROR(INDEX(InternalTrades!$G$2:$G$461,MATCH($A400,InternalTrades!$A$2:$A$461,0)),"")</f>
        <v/>
      </c>
      <c r="J400">
        <f>IFERROR(INDEX(ExchangeConfirms!$G$2:$G$460,MATCH($A400,ExchangeConfirms!$A$2:$A$460,0)),"")</f>
        <v/>
      </c>
      <c r="K400">
        <f>IFERROR(INDEX(InternalTrades!$H$2:$H$461,MATCH($A400,InternalTrades!$A$2:$A$461,0)),"")</f>
        <v/>
      </c>
      <c r="L400">
        <f>IFERROR(INDEX(ExchangeConfirms!$H$2:$H$460,MATCH($A400,ExchangeConfirms!$A$2:$A$460,0)),"")</f>
        <v/>
      </c>
      <c r="M400">
        <f>IFERROR(INDEX(InternalTrades!$J$2:$J$461,MATCH($A400,InternalTrades!$A$2:$A$461,0)),"")</f>
        <v/>
      </c>
      <c r="N400">
        <f>IFERROR(INDEX(ExchangeConfirms!$J$2:$J$460,MATCH($A400,ExchangeConfirms!$A$2:$A$460,0)),"")</f>
        <v/>
      </c>
      <c r="O400">
        <f>IFERROR(INDEX(InternalTrades!$I$2:$I$461,MATCH($A400,InternalTrades!$A$2:$A$461,0)),"")</f>
        <v/>
      </c>
      <c r="P400">
        <f>IFERROR(INDEX(ExchangeConfirms!$I$2:$I$460,MATCH($A400,ExchangeConfirms!$A$2:$A$460,0)),"")</f>
        <v/>
      </c>
      <c r="Q400">
        <f>IF(AND($E400=1,$F400=0),"MISSING IN EXCHANGE",IF(AND($E400=0,$F400=1),"MISSING IN INTERNAL",IF($G400&lt;&gt;$H400,"SIDE BREAK",IF($I400&lt;&gt;$J400,"QTY BREAK",IF(ABS($K400-$L400)&gt;0.005,"PRICE BREAK",IF(ABS($M400-$N400)&gt;0.01,"FEE BREAK","MATCHED"))))))</f>
        <v/>
      </c>
      <c r="R400">
        <f>IF($Q400="MATCHED",0,1)</f>
        <v/>
      </c>
      <c r="S400">
        <f>IF($Q400="MATCHED",0,IF($Q400="MISSING IN EXCHANGE",$O400,IF($Q400="MISSING IN INTERNAL",$P400,ABS(N($O400)-N($P400)))))</f>
        <v/>
      </c>
    </row>
    <row r="401">
      <c r="A401" t="inlineStr">
        <is>
          <t>T100400</t>
        </is>
      </c>
      <c r="B401">
        <f>IFERROR(INDEX(InternalTrades!$D$2:$D$461,MATCH($A401,InternalTrades!$A$2:$A$461,0)),INDEX(ExchangeConfirms!$D$2:$D$460,MATCH($A401,ExchangeConfirms!$A$2:$A$460,0)))</f>
        <v/>
      </c>
      <c r="C401">
        <f>IFERROR(INDEX(InternalTrades!$E$2:$E$461,MATCH($A401,InternalTrades!$A$2:$A$461,0)),INDEX(ExchangeConfirms!$E$2:$E$460,MATCH($A401,ExchangeConfirms!$A$2:$A$460,0)))</f>
        <v/>
      </c>
      <c r="D401">
        <f>IFERROR(INDEX(InternalTrades!$K$2:$K$461,MATCH($A401,InternalTrades!$A$2:$A$461,0)),INDEX(ExchangeConfirms!$K$2:$K$460,MATCH($A401,ExchangeConfirms!$A$2:$A$460,0)))</f>
        <v/>
      </c>
      <c r="E401">
        <f>IF(COUNTIF(InternalTrades!$A$2:$A$461,$A401)&gt;0,1,0)</f>
        <v/>
      </c>
      <c r="F401">
        <f>IF(COUNTIF(ExchangeConfirms!$A$2:$A$460,$A401)&gt;0,1,0)</f>
        <v/>
      </c>
      <c r="G401">
        <f>IFERROR(INDEX(InternalTrades!$F$2:$F$461,MATCH($A401,InternalTrades!$A$2:$A$461,0)),"")</f>
        <v/>
      </c>
      <c r="H401">
        <f>IFERROR(INDEX(ExchangeConfirms!$F$2:$F$460,MATCH($A401,ExchangeConfirms!$A$2:$A$460,0)),"")</f>
        <v/>
      </c>
      <c r="I401">
        <f>IFERROR(INDEX(InternalTrades!$G$2:$G$461,MATCH($A401,InternalTrades!$A$2:$A$461,0)),"")</f>
        <v/>
      </c>
      <c r="J401">
        <f>IFERROR(INDEX(ExchangeConfirms!$G$2:$G$460,MATCH($A401,ExchangeConfirms!$A$2:$A$460,0)),"")</f>
        <v/>
      </c>
      <c r="K401">
        <f>IFERROR(INDEX(InternalTrades!$H$2:$H$461,MATCH($A401,InternalTrades!$A$2:$A$461,0)),"")</f>
        <v/>
      </c>
      <c r="L401">
        <f>IFERROR(INDEX(ExchangeConfirms!$H$2:$H$460,MATCH($A401,ExchangeConfirms!$A$2:$A$460,0)),"")</f>
        <v/>
      </c>
      <c r="M401">
        <f>IFERROR(INDEX(InternalTrades!$J$2:$J$461,MATCH($A401,InternalTrades!$A$2:$A$461,0)),"")</f>
        <v/>
      </c>
      <c r="N401">
        <f>IFERROR(INDEX(ExchangeConfirms!$J$2:$J$460,MATCH($A401,ExchangeConfirms!$A$2:$A$460,0)),"")</f>
        <v/>
      </c>
      <c r="O401">
        <f>IFERROR(INDEX(InternalTrades!$I$2:$I$461,MATCH($A401,InternalTrades!$A$2:$A$461,0)),"")</f>
        <v/>
      </c>
      <c r="P401">
        <f>IFERROR(INDEX(ExchangeConfirms!$I$2:$I$460,MATCH($A401,ExchangeConfirms!$A$2:$A$460,0)),"")</f>
        <v/>
      </c>
      <c r="Q401">
        <f>IF(AND($E401=1,$F401=0),"MISSING IN EXCHANGE",IF(AND($E401=0,$F401=1),"MISSING IN INTERNAL",IF($G401&lt;&gt;$H401,"SIDE BREAK",IF($I401&lt;&gt;$J401,"QTY BREAK",IF(ABS($K401-$L401)&gt;0.005,"PRICE BREAK",IF(ABS($M401-$N401)&gt;0.01,"FEE BREAK","MATCHED"))))))</f>
        <v/>
      </c>
      <c r="R401">
        <f>IF($Q401="MATCHED",0,1)</f>
        <v/>
      </c>
      <c r="S401">
        <f>IF($Q401="MATCHED",0,IF($Q401="MISSING IN EXCHANGE",$O401,IF($Q401="MISSING IN INTERNAL",$P401,ABS(N($O401)-N($P401)))))</f>
        <v/>
      </c>
    </row>
    <row r="402">
      <c r="A402" t="inlineStr">
        <is>
          <t>T100401</t>
        </is>
      </c>
      <c r="B402">
        <f>IFERROR(INDEX(InternalTrades!$D$2:$D$461,MATCH($A402,InternalTrades!$A$2:$A$461,0)),INDEX(ExchangeConfirms!$D$2:$D$460,MATCH($A402,ExchangeConfirms!$A$2:$A$460,0)))</f>
        <v/>
      </c>
      <c r="C402">
        <f>IFERROR(INDEX(InternalTrades!$E$2:$E$461,MATCH($A402,InternalTrades!$A$2:$A$461,0)),INDEX(ExchangeConfirms!$E$2:$E$460,MATCH($A402,ExchangeConfirms!$A$2:$A$460,0)))</f>
        <v/>
      </c>
      <c r="D402">
        <f>IFERROR(INDEX(InternalTrades!$K$2:$K$461,MATCH($A402,InternalTrades!$A$2:$A$461,0)),INDEX(ExchangeConfirms!$K$2:$K$460,MATCH($A402,ExchangeConfirms!$A$2:$A$460,0)))</f>
        <v/>
      </c>
      <c r="E402">
        <f>IF(COUNTIF(InternalTrades!$A$2:$A$461,$A402)&gt;0,1,0)</f>
        <v/>
      </c>
      <c r="F402">
        <f>IF(COUNTIF(ExchangeConfirms!$A$2:$A$460,$A402)&gt;0,1,0)</f>
        <v/>
      </c>
      <c r="G402">
        <f>IFERROR(INDEX(InternalTrades!$F$2:$F$461,MATCH($A402,InternalTrades!$A$2:$A$461,0)),"")</f>
        <v/>
      </c>
      <c r="H402">
        <f>IFERROR(INDEX(ExchangeConfirms!$F$2:$F$460,MATCH($A402,ExchangeConfirms!$A$2:$A$460,0)),"")</f>
        <v/>
      </c>
      <c r="I402">
        <f>IFERROR(INDEX(InternalTrades!$G$2:$G$461,MATCH($A402,InternalTrades!$A$2:$A$461,0)),"")</f>
        <v/>
      </c>
      <c r="J402">
        <f>IFERROR(INDEX(ExchangeConfirms!$G$2:$G$460,MATCH($A402,ExchangeConfirms!$A$2:$A$460,0)),"")</f>
        <v/>
      </c>
      <c r="K402">
        <f>IFERROR(INDEX(InternalTrades!$H$2:$H$461,MATCH($A402,InternalTrades!$A$2:$A$461,0)),"")</f>
        <v/>
      </c>
      <c r="L402">
        <f>IFERROR(INDEX(ExchangeConfirms!$H$2:$H$460,MATCH($A402,ExchangeConfirms!$A$2:$A$460,0)),"")</f>
        <v/>
      </c>
      <c r="M402">
        <f>IFERROR(INDEX(InternalTrades!$J$2:$J$461,MATCH($A402,InternalTrades!$A$2:$A$461,0)),"")</f>
        <v/>
      </c>
      <c r="N402">
        <f>IFERROR(INDEX(ExchangeConfirms!$J$2:$J$460,MATCH($A402,ExchangeConfirms!$A$2:$A$460,0)),"")</f>
        <v/>
      </c>
      <c r="O402">
        <f>IFERROR(INDEX(InternalTrades!$I$2:$I$461,MATCH($A402,InternalTrades!$A$2:$A$461,0)),"")</f>
        <v/>
      </c>
      <c r="P402">
        <f>IFERROR(INDEX(ExchangeConfirms!$I$2:$I$460,MATCH($A402,ExchangeConfirms!$A$2:$A$460,0)),"")</f>
        <v/>
      </c>
      <c r="Q402">
        <f>IF(AND($E402=1,$F402=0),"MISSING IN EXCHANGE",IF(AND($E402=0,$F402=1),"MISSING IN INTERNAL",IF($G402&lt;&gt;$H402,"SIDE BREAK",IF($I402&lt;&gt;$J402,"QTY BREAK",IF(ABS($K402-$L402)&gt;0.005,"PRICE BREAK",IF(ABS($M402-$N402)&gt;0.01,"FEE BREAK","MATCHED"))))))</f>
        <v/>
      </c>
      <c r="R402">
        <f>IF($Q402="MATCHED",0,1)</f>
        <v/>
      </c>
      <c r="S402">
        <f>IF($Q402="MATCHED",0,IF($Q402="MISSING IN EXCHANGE",$O402,IF($Q402="MISSING IN INTERNAL",$P402,ABS(N($O402)-N($P402)))))</f>
        <v/>
      </c>
    </row>
    <row r="403">
      <c r="A403" t="inlineStr">
        <is>
          <t>T100402</t>
        </is>
      </c>
      <c r="B403">
        <f>IFERROR(INDEX(InternalTrades!$D$2:$D$461,MATCH($A403,InternalTrades!$A$2:$A$461,0)),INDEX(ExchangeConfirms!$D$2:$D$460,MATCH($A403,ExchangeConfirms!$A$2:$A$460,0)))</f>
        <v/>
      </c>
      <c r="C403">
        <f>IFERROR(INDEX(InternalTrades!$E$2:$E$461,MATCH($A403,InternalTrades!$A$2:$A$461,0)),INDEX(ExchangeConfirms!$E$2:$E$460,MATCH($A403,ExchangeConfirms!$A$2:$A$460,0)))</f>
        <v/>
      </c>
      <c r="D403">
        <f>IFERROR(INDEX(InternalTrades!$K$2:$K$461,MATCH($A403,InternalTrades!$A$2:$A$461,0)),INDEX(ExchangeConfirms!$K$2:$K$460,MATCH($A403,ExchangeConfirms!$A$2:$A$460,0)))</f>
        <v/>
      </c>
      <c r="E403">
        <f>IF(COUNTIF(InternalTrades!$A$2:$A$461,$A403)&gt;0,1,0)</f>
        <v/>
      </c>
      <c r="F403">
        <f>IF(COUNTIF(ExchangeConfirms!$A$2:$A$460,$A403)&gt;0,1,0)</f>
        <v/>
      </c>
      <c r="G403">
        <f>IFERROR(INDEX(InternalTrades!$F$2:$F$461,MATCH($A403,InternalTrades!$A$2:$A$461,0)),"")</f>
        <v/>
      </c>
      <c r="H403">
        <f>IFERROR(INDEX(ExchangeConfirms!$F$2:$F$460,MATCH($A403,ExchangeConfirms!$A$2:$A$460,0)),"")</f>
        <v/>
      </c>
      <c r="I403">
        <f>IFERROR(INDEX(InternalTrades!$G$2:$G$461,MATCH($A403,InternalTrades!$A$2:$A$461,0)),"")</f>
        <v/>
      </c>
      <c r="J403">
        <f>IFERROR(INDEX(ExchangeConfirms!$G$2:$G$460,MATCH($A403,ExchangeConfirms!$A$2:$A$460,0)),"")</f>
        <v/>
      </c>
      <c r="K403">
        <f>IFERROR(INDEX(InternalTrades!$H$2:$H$461,MATCH($A403,InternalTrades!$A$2:$A$461,0)),"")</f>
        <v/>
      </c>
      <c r="L403">
        <f>IFERROR(INDEX(ExchangeConfirms!$H$2:$H$460,MATCH($A403,ExchangeConfirms!$A$2:$A$460,0)),"")</f>
        <v/>
      </c>
      <c r="M403">
        <f>IFERROR(INDEX(InternalTrades!$J$2:$J$461,MATCH($A403,InternalTrades!$A$2:$A$461,0)),"")</f>
        <v/>
      </c>
      <c r="N403">
        <f>IFERROR(INDEX(ExchangeConfirms!$J$2:$J$460,MATCH($A403,ExchangeConfirms!$A$2:$A$460,0)),"")</f>
        <v/>
      </c>
      <c r="O403">
        <f>IFERROR(INDEX(InternalTrades!$I$2:$I$461,MATCH($A403,InternalTrades!$A$2:$A$461,0)),"")</f>
        <v/>
      </c>
      <c r="P403">
        <f>IFERROR(INDEX(ExchangeConfirms!$I$2:$I$460,MATCH($A403,ExchangeConfirms!$A$2:$A$460,0)),"")</f>
        <v/>
      </c>
      <c r="Q403">
        <f>IF(AND($E403=1,$F403=0),"MISSING IN EXCHANGE",IF(AND($E403=0,$F403=1),"MISSING IN INTERNAL",IF($G403&lt;&gt;$H403,"SIDE BREAK",IF($I403&lt;&gt;$J403,"QTY BREAK",IF(ABS($K403-$L403)&gt;0.005,"PRICE BREAK",IF(ABS($M403-$N403)&gt;0.01,"FEE BREAK","MATCHED"))))))</f>
        <v/>
      </c>
      <c r="R403">
        <f>IF($Q403="MATCHED",0,1)</f>
        <v/>
      </c>
      <c r="S403">
        <f>IF($Q403="MATCHED",0,IF($Q403="MISSING IN EXCHANGE",$O403,IF($Q403="MISSING IN INTERNAL",$P403,ABS(N($O403)-N($P403)))))</f>
        <v/>
      </c>
    </row>
    <row r="404">
      <c r="A404" t="inlineStr">
        <is>
          <t>T100403</t>
        </is>
      </c>
      <c r="B404">
        <f>IFERROR(INDEX(InternalTrades!$D$2:$D$461,MATCH($A404,InternalTrades!$A$2:$A$461,0)),INDEX(ExchangeConfirms!$D$2:$D$460,MATCH($A404,ExchangeConfirms!$A$2:$A$460,0)))</f>
        <v/>
      </c>
      <c r="C404">
        <f>IFERROR(INDEX(InternalTrades!$E$2:$E$461,MATCH($A404,InternalTrades!$A$2:$A$461,0)),INDEX(ExchangeConfirms!$E$2:$E$460,MATCH($A404,ExchangeConfirms!$A$2:$A$460,0)))</f>
        <v/>
      </c>
      <c r="D404">
        <f>IFERROR(INDEX(InternalTrades!$K$2:$K$461,MATCH($A404,InternalTrades!$A$2:$A$461,0)),INDEX(ExchangeConfirms!$K$2:$K$460,MATCH($A404,ExchangeConfirms!$A$2:$A$460,0)))</f>
        <v/>
      </c>
      <c r="E404">
        <f>IF(COUNTIF(InternalTrades!$A$2:$A$461,$A404)&gt;0,1,0)</f>
        <v/>
      </c>
      <c r="F404">
        <f>IF(COUNTIF(ExchangeConfirms!$A$2:$A$460,$A404)&gt;0,1,0)</f>
        <v/>
      </c>
      <c r="G404">
        <f>IFERROR(INDEX(InternalTrades!$F$2:$F$461,MATCH($A404,InternalTrades!$A$2:$A$461,0)),"")</f>
        <v/>
      </c>
      <c r="H404">
        <f>IFERROR(INDEX(ExchangeConfirms!$F$2:$F$460,MATCH($A404,ExchangeConfirms!$A$2:$A$460,0)),"")</f>
        <v/>
      </c>
      <c r="I404">
        <f>IFERROR(INDEX(InternalTrades!$G$2:$G$461,MATCH($A404,InternalTrades!$A$2:$A$461,0)),"")</f>
        <v/>
      </c>
      <c r="J404">
        <f>IFERROR(INDEX(ExchangeConfirms!$G$2:$G$460,MATCH($A404,ExchangeConfirms!$A$2:$A$460,0)),"")</f>
        <v/>
      </c>
      <c r="K404">
        <f>IFERROR(INDEX(InternalTrades!$H$2:$H$461,MATCH($A404,InternalTrades!$A$2:$A$461,0)),"")</f>
        <v/>
      </c>
      <c r="L404">
        <f>IFERROR(INDEX(ExchangeConfirms!$H$2:$H$460,MATCH($A404,ExchangeConfirms!$A$2:$A$460,0)),"")</f>
        <v/>
      </c>
      <c r="M404">
        <f>IFERROR(INDEX(InternalTrades!$J$2:$J$461,MATCH($A404,InternalTrades!$A$2:$A$461,0)),"")</f>
        <v/>
      </c>
      <c r="N404">
        <f>IFERROR(INDEX(ExchangeConfirms!$J$2:$J$460,MATCH($A404,ExchangeConfirms!$A$2:$A$460,0)),"")</f>
        <v/>
      </c>
      <c r="O404">
        <f>IFERROR(INDEX(InternalTrades!$I$2:$I$461,MATCH($A404,InternalTrades!$A$2:$A$461,0)),"")</f>
        <v/>
      </c>
      <c r="P404">
        <f>IFERROR(INDEX(ExchangeConfirms!$I$2:$I$460,MATCH($A404,ExchangeConfirms!$A$2:$A$460,0)),"")</f>
        <v/>
      </c>
      <c r="Q404">
        <f>IF(AND($E404=1,$F404=0),"MISSING IN EXCHANGE",IF(AND($E404=0,$F404=1),"MISSING IN INTERNAL",IF($G404&lt;&gt;$H404,"SIDE BREAK",IF($I404&lt;&gt;$J404,"QTY BREAK",IF(ABS($K404-$L404)&gt;0.005,"PRICE BREAK",IF(ABS($M404-$N404)&gt;0.01,"FEE BREAK","MATCHED"))))))</f>
        <v/>
      </c>
      <c r="R404">
        <f>IF($Q404="MATCHED",0,1)</f>
        <v/>
      </c>
      <c r="S404">
        <f>IF($Q404="MATCHED",0,IF($Q404="MISSING IN EXCHANGE",$O404,IF($Q404="MISSING IN INTERNAL",$P404,ABS(N($O404)-N($P404)))))</f>
        <v/>
      </c>
    </row>
    <row r="405">
      <c r="A405" t="inlineStr">
        <is>
          <t>T100404</t>
        </is>
      </c>
      <c r="B405">
        <f>IFERROR(INDEX(InternalTrades!$D$2:$D$461,MATCH($A405,InternalTrades!$A$2:$A$461,0)),INDEX(ExchangeConfirms!$D$2:$D$460,MATCH($A405,ExchangeConfirms!$A$2:$A$460,0)))</f>
        <v/>
      </c>
      <c r="C405">
        <f>IFERROR(INDEX(InternalTrades!$E$2:$E$461,MATCH($A405,InternalTrades!$A$2:$A$461,0)),INDEX(ExchangeConfirms!$E$2:$E$460,MATCH($A405,ExchangeConfirms!$A$2:$A$460,0)))</f>
        <v/>
      </c>
      <c r="D405">
        <f>IFERROR(INDEX(InternalTrades!$K$2:$K$461,MATCH($A405,InternalTrades!$A$2:$A$461,0)),INDEX(ExchangeConfirms!$K$2:$K$460,MATCH($A405,ExchangeConfirms!$A$2:$A$460,0)))</f>
        <v/>
      </c>
      <c r="E405">
        <f>IF(COUNTIF(InternalTrades!$A$2:$A$461,$A405)&gt;0,1,0)</f>
        <v/>
      </c>
      <c r="F405">
        <f>IF(COUNTIF(ExchangeConfirms!$A$2:$A$460,$A405)&gt;0,1,0)</f>
        <v/>
      </c>
      <c r="G405">
        <f>IFERROR(INDEX(InternalTrades!$F$2:$F$461,MATCH($A405,InternalTrades!$A$2:$A$461,0)),"")</f>
        <v/>
      </c>
      <c r="H405">
        <f>IFERROR(INDEX(ExchangeConfirms!$F$2:$F$460,MATCH($A405,ExchangeConfirms!$A$2:$A$460,0)),"")</f>
        <v/>
      </c>
      <c r="I405">
        <f>IFERROR(INDEX(InternalTrades!$G$2:$G$461,MATCH($A405,InternalTrades!$A$2:$A$461,0)),"")</f>
        <v/>
      </c>
      <c r="J405">
        <f>IFERROR(INDEX(ExchangeConfirms!$G$2:$G$460,MATCH($A405,ExchangeConfirms!$A$2:$A$460,0)),"")</f>
        <v/>
      </c>
      <c r="K405">
        <f>IFERROR(INDEX(InternalTrades!$H$2:$H$461,MATCH($A405,InternalTrades!$A$2:$A$461,0)),"")</f>
        <v/>
      </c>
      <c r="L405">
        <f>IFERROR(INDEX(ExchangeConfirms!$H$2:$H$460,MATCH($A405,ExchangeConfirms!$A$2:$A$460,0)),"")</f>
        <v/>
      </c>
      <c r="M405">
        <f>IFERROR(INDEX(InternalTrades!$J$2:$J$461,MATCH($A405,InternalTrades!$A$2:$A$461,0)),"")</f>
        <v/>
      </c>
      <c r="N405">
        <f>IFERROR(INDEX(ExchangeConfirms!$J$2:$J$460,MATCH($A405,ExchangeConfirms!$A$2:$A$460,0)),"")</f>
        <v/>
      </c>
      <c r="O405">
        <f>IFERROR(INDEX(InternalTrades!$I$2:$I$461,MATCH($A405,InternalTrades!$A$2:$A$461,0)),"")</f>
        <v/>
      </c>
      <c r="P405">
        <f>IFERROR(INDEX(ExchangeConfirms!$I$2:$I$460,MATCH($A405,ExchangeConfirms!$A$2:$A$460,0)),"")</f>
        <v/>
      </c>
      <c r="Q405">
        <f>IF(AND($E405=1,$F405=0),"MISSING IN EXCHANGE",IF(AND($E405=0,$F405=1),"MISSING IN INTERNAL",IF($G405&lt;&gt;$H405,"SIDE BREAK",IF($I405&lt;&gt;$J405,"QTY BREAK",IF(ABS($K405-$L405)&gt;0.005,"PRICE BREAK",IF(ABS($M405-$N405)&gt;0.01,"FEE BREAK","MATCHED"))))))</f>
        <v/>
      </c>
      <c r="R405">
        <f>IF($Q405="MATCHED",0,1)</f>
        <v/>
      </c>
      <c r="S405">
        <f>IF($Q405="MATCHED",0,IF($Q405="MISSING IN EXCHANGE",$O405,IF($Q405="MISSING IN INTERNAL",$P405,ABS(N($O405)-N($P405)))))</f>
        <v/>
      </c>
    </row>
    <row r="406">
      <c r="A406" t="inlineStr">
        <is>
          <t>T100405</t>
        </is>
      </c>
      <c r="B406">
        <f>IFERROR(INDEX(InternalTrades!$D$2:$D$461,MATCH($A406,InternalTrades!$A$2:$A$461,0)),INDEX(ExchangeConfirms!$D$2:$D$460,MATCH($A406,ExchangeConfirms!$A$2:$A$460,0)))</f>
        <v/>
      </c>
      <c r="C406">
        <f>IFERROR(INDEX(InternalTrades!$E$2:$E$461,MATCH($A406,InternalTrades!$A$2:$A$461,0)),INDEX(ExchangeConfirms!$E$2:$E$460,MATCH($A406,ExchangeConfirms!$A$2:$A$460,0)))</f>
        <v/>
      </c>
      <c r="D406">
        <f>IFERROR(INDEX(InternalTrades!$K$2:$K$461,MATCH($A406,InternalTrades!$A$2:$A$461,0)),INDEX(ExchangeConfirms!$K$2:$K$460,MATCH($A406,ExchangeConfirms!$A$2:$A$460,0)))</f>
        <v/>
      </c>
      <c r="E406">
        <f>IF(COUNTIF(InternalTrades!$A$2:$A$461,$A406)&gt;0,1,0)</f>
        <v/>
      </c>
      <c r="F406">
        <f>IF(COUNTIF(ExchangeConfirms!$A$2:$A$460,$A406)&gt;0,1,0)</f>
        <v/>
      </c>
      <c r="G406">
        <f>IFERROR(INDEX(InternalTrades!$F$2:$F$461,MATCH($A406,InternalTrades!$A$2:$A$461,0)),"")</f>
        <v/>
      </c>
      <c r="H406">
        <f>IFERROR(INDEX(ExchangeConfirms!$F$2:$F$460,MATCH($A406,ExchangeConfirms!$A$2:$A$460,0)),"")</f>
        <v/>
      </c>
      <c r="I406">
        <f>IFERROR(INDEX(InternalTrades!$G$2:$G$461,MATCH($A406,InternalTrades!$A$2:$A$461,0)),"")</f>
        <v/>
      </c>
      <c r="J406">
        <f>IFERROR(INDEX(ExchangeConfirms!$G$2:$G$460,MATCH($A406,ExchangeConfirms!$A$2:$A$460,0)),"")</f>
        <v/>
      </c>
      <c r="K406">
        <f>IFERROR(INDEX(InternalTrades!$H$2:$H$461,MATCH($A406,InternalTrades!$A$2:$A$461,0)),"")</f>
        <v/>
      </c>
      <c r="L406">
        <f>IFERROR(INDEX(ExchangeConfirms!$H$2:$H$460,MATCH($A406,ExchangeConfirms!$A$2:$A$460,0)),"")</f>
        <v/>
      </c>
      <c r="M406">
        <f>IFERROR(INDEX(InternalTrades!$J$2:$J$461,MATCH($A406,InternalTrades!$A$2:$A$461,0)),"")</f>
        <v/>
      </c>
      <c r="N406">
        <f>IFERROR(INDEX(ExchangeConfirms!$J$2:$J$460,MATCH($A406,ExchangeConfirms!$A$2:$A$460,0)),"")</f>
        <v/>
      </c>
      <c r="O406">
        <f>IFERROR(INDEX(InternalTrades!$I$2:$I$461,MATCH($A406,InternalTrades!$A$2:$A$461,0)),"")</f>
        <v/>
      </c>
      <c r="P406">
        <f>IFERROR(INDEX(ExchangeConfirms!$I$2:$I$460,MATCH($A406,ExchangeConfirms!$A$2:$A$460,0)),"")</f>
        <v/>
      </c>
      <c r="Q406">
        <f>IF(AND($E406=1,$F406=0),"MISSING IN EXCHANGE",IF(AND($E406=0,$F406=1),"MISSING IN INTERNAL",IF($G406&lt;&gt;$H406,"SIDE BREAK",IF($I406&lt;&gt;$J406,"QTY BREAK",IF(ABS($K406-$L406)&gt;0.005,"PRICE BREAK",IF(ABS($M406-$N406)&gt;0.01,"FEE BREAK","MATCHED"))))))</f>
        <v/>
      </c>
      <c r="R406">
        <f>IF($Q406="MATCHED",0,1)</f>
        <v/>
      </c>
      <c r="S406">
        <f>IF($Q406="MATCHED",0,IF($Q406="MISSING IN EXCHANGE",$O406,IF($Q406="MISSING IN INTERNAL",$P406,ABS(N($O406)-N($P406)))))</f>
        <v/>
      </c>
    </row>
    <row r="407">
      <c r="A407" t="inlineStr">
        <is>
          <t>T100406</t>
        </is>
      </c>
      <c r="B407">
        <f>IFERROR(INDEX(InternalTrades!$D$2:$D$461,MATCH($A407,InternalTrades!$A$2:$A$461,0)),INDEX(ExchangeConfirms!$D$2:$D$460,MATCH($A407,ExchangeConfirms!$A$2:$A$460,0)))</f>
        <v/>
      </c>
      <c r="C407">
        <f>IFERROR(INDEX(InternalTrades!$E$2:$E$461,MATCH($A407,InternalTrades!$A$2:$A$461,0)),INDEX(ExchangeConfirms!$E$2:$E$460,MATCH($A407,ExchangeConfirms!$A$2:$A$460,0)))</f>
        <v/>
      </c>
      <c r="D407">
        <f>IFERROR(INDEX(InternalTrades!$K$2:$K$461,MATCH($A407,InternalTrades!$A$2:$A$461,0)),INDEX(ExchangeConfirms!$K$2:$K$460,MATCH($A407,ExchangeConfirms!$A$2:$A$460,0)))</f>
        <v/>
      </c>
      <c r="E407">
        <f>IF(COUNTIF(InternalTrades!$A$2:$A$461,$A407)&gt;0,1,0)</f>
        <v/>
      </c>
      <c r="F407">
        <f>IF(COUNTIF(ExchangeConfirms!$A$2:$A$460,$A407)&gt;0,1,0)</f>
        <v/>
      </c>
      <c r="G407">
        <f>IFERROR(INDEX(InternalTrades!$F$2:$F$461,MATCH($A407,InternalTrades!$A$2:$A$461,0)),"")</f>
        <v/>
      </c>
      <c r="H407">
        <f>IFERROR(INDEX(ExchangeConfirms!$F$2:$F$460,MATCH($A407,ExchangeConfirms!$A$2:$A$460,0)),"")</f>
        <v/>
      </c>
      <c r="I407">
        <f>IFERROR(INDEX(InternalTrades!$G$2:$G$461,MATCH($A407,InternalTrades!$A$2:$A$461,0)),"")</f>
        <v/>
      </c>
      <c r="J407">
        <f>IFERROR(INDEX(ExchangeConfirms!$G$2:$G$460,MATCH($A407,ExchangeConfirms!$A$2:$A$460,0)),"")</f>
        <v/>
      </c>
      <c r="K407">
        <f>IFERROR(INDEX(InternalTrades!$H$2:$H$461,MATCH($A407,InternalTrades!$A$2:$A$461,0)),"")</f>
        <v/>
      </c>
      <c r="L407">
        <f>IFERROR(INDEX(ExchangeConfirms!$H$2:$H$460,MATCH($A407,ExchangeConfirms!$A$2:$A$460,0)),"")</f>
        <v/>
      </c>
      <c r="M407">
        <f>IFERROR(INDEX(InternalTrades!$J$2:$J$461,MATCH($A407,InternalTrades!$A$2:$A$461,0)),"")</f>
        <v/>
      </c>
      <c r="N407">
        <f>IFERROR(INDEX(ExchangeConfirms!$J$2:$J$460,MATCH($A407,ExchangeConfirms!$A$2:$A$460,0)),"")</f>
        <v/>
      </c>
      <c r="O407">
        <f>IFERROR(INDEX(InternalTrades!$I$2:$I$461,MATCH($A407,InternalTrades!$A$2:$A$461,0)),"")</f>
        <v/>
      </c>
      <c r="P407">
        <f>IFERROR(INDEX(ExchangeConfirms!$I$2:$I$460,MATCH($A407,ExchangeConfirms!$A$2:$A$460,0)),"")</f>
        <v/>
      </c>
      <c r="Q407">
        <f>IF(AND($E407=1,$F407=0),"MISSING IN EXCHANGE",IF(AND($E407=0,$F407=1),"MISSING IN INTERNAL",IF($G407&lt;&gt;$H407,"SIDE BREAK",IF($I407&lt;&gt;$J407,"QTY BREAK",IF(ABS($K407-$L407)&gt;0.005,"PRICE BREAK",IF(ABS($M407-$N407)&gt;0.01,"FEE BREAK","MATCHED"))))))</f>
        <v/>
      </c>
      <c r="R407">
        <f>IF($Q407="MATCHED",0,1)</f>
        <v/>
      </c>
      <c r="S407">
        <f>IF($Q407="MATCHED",0,IF($Q407="MISSING IN EXCHANGE",$O407,IF($Q407="MISSING IN INTERNAL",$P407,ABS(N($O407)-N($P407)))))</f>
        <v/>
      </c>
    </row>
    <row r="408">
      <c r="A408" t="inlineStr">
        <is>
          <t>T100407</t>
        </is>
      </c>
      <c r="B408">
        <f>IFERROR(INDEX(InternalTrades!$D$2:$D$461,MATCH($A408,InternalTrades!$A$2:$A$461,0)),INDEX(ExchangeConfirms!$D$2:$D$460,MATCH($A408,ExchangeConfirms!$A$2:$A$460,0)))</f>
        <v/>
      </c>
      <c r="C408">
        <f>IFERROR(INDEX(InternalTrades!$E$2:$E$461,MATCH($A408,InternalTrades!$A$2:$A$461,0)),INDEX(ExchangeConfirms!$E$2:$E$460,MATCH($A408,ExchangeConfirms!$A$2:$A$460,0)))</f>
        <v/>
      </c>
      <c r="D408">
        <f>IFERROR(INDEX(InternalTrades!$K$2:$K$461,MATCH($A408,InternalTrades!$A$2:$A$461,0)),INDEX(ExchangeConfirms!$K$2:$K$460,MATCH($A408,ExchangeConfirms!$A$2:$A$460,0)))</f>
        <v/>
      </c>
      <c r="E408">
        <f>IF(COUNTIF(InternalTrades!$A$2:$A$461,$A408)&gt;0,1,0)</f>
        <v/>
      </c>
      <c r="F408">
        <f>IF(COUNTIF(ExchangeConfirms!$A$2:$A$460,$A408)&gt;0,1,0)</f>
        <v/>
      </c>
      <c r="G408">
        <f>IFERROR(INDEX(InternalTrades!$F$2:$F$461,MATCH($A408,InternalTrades!$A$2:$A$461,0)),"")</f>
        <v/>
      </c>
      <c r="H408">
        <f>IFERROR(INDEX(ExchangeConfirms!$F$2:$F$460,MATCH($A408,ExchangeConfirms!$A$2:$A$460,0)),"")</f>
        <v/>
      </c>
      <c r="I408">
        <f>IFERROR(INDEX(InternalTrades!$G$2:$G$461,MATCH($A408,InternalTrades!$A$2:$A$461,0)),"")</f>
        <v/>
      </c>
      <c r="J408">
        <f>IFERROR(INDEX(ExchangeConfirms!$G$2:$G$460,MATCH($A408,ExchangeConfirms!$A$2:$A$460,0)),"")</f>
        <v/>
      </c>
      <c r="K408">
        <f>IFERROR(INDEX(InternalTrades!$H$2:$H$461,MATCH($A408,InternalTrades!$A$2:$A$461,0)),"")</f>
        <v/>
      </c>
      <c r="L408">
        <f>IFERROR(INDEX(ExchangeConfirms!$H$2:$H$460,MATCH($A408,ExchangeConfirms!$A$2:$A$460,0)),"")</f>
        <v/>
      </c>
      <c r="M408">
        <f>IFERROR(INDEX(InternalTrades!$J$2:$J$461,MATCH($A408,InternalTrades!$A$2:$A$461,0)),"")</f>
        <v/>
      </c>
      <c r="N408">
        <f>IFERROR(INDEX(ExchangeConfirms!$J$2:$J$460,MATCH($A408,ExchangeConfirms!$A$2:$A$460,0)),"")</f>
        <v/>
      </c>
      <c r="O408">
        <f>IFERROR(INDEX(InternalTrades!$I$2:$I$461,MATCH($A408,InternalTrades!$A$2:$A$461,0)),"")</f>
        <v/>
      </c>
      <c r="P408">
        <f>IFERROR(INDEX(ExchangeConfirms!$I$2:$I$460,MATCH($A408,ExchangeConfirms!$A$2:$A$460,0)),"")</f>
        <v/>
      </c>
      <c r="Q408">
        <f>IF(AND($E408=1,$F408=0),"MISSING IN EXCHANGE",IF(AND($E408=0,$F408=1),"MISSING IN INTERNAL",IF($G408&lt;&gt;$H408,"SIDE BREAK",IF($I408&lt;&gt;$J408,"QTY BREAK",IF(ABS($K408-$L408)&gt;0.005,"PRICE BREAK",IF(ABS($M408-$N408)&gt;0.01,"FEE BREAK","MATCHED"))))))</f>
        <v/>
      </c>
      <c r="R408">
        <f>IF($Q408="MATCHED",0,1)</f>
        <v/>
      </c>
      <c r="S408">
        <f>IF($Q408="MATCHED",0,IF($Q408="MISSING IN EXCHANGE",$O408,IF($Q408="MISSING IN INTERNAL",$P408,ABS(N($O408)-N($P408)))))</f>
        <v/>
      </c>
    </row>
    <row r="409">
      <c r="A409" t="inlineStr">
        <is>
          <t>T100408</t>
        </is>
      </c>
      <c r="B409">
        <f>IFERROR(INDEX(InternalTrades!$D$2:$D$461,MATCH($A409,InternalTrades!$A$2:$A$461,0)),INDEX(ExchangeConfirms!$D$2:$D$460,MATCH($A409,ExchangeConfirms!$A$2:$A$460,0)))</f>
        <v/>
      </c>
      <c r="C409">
        <f>IFERROR(INDEX(InternalTrades!$E$2:$E$461,MATCH($A409,InternalTrades!$A$2:$A$461,0)),INDEX(ExchangeConfirms!$E$2:$E$460,MATCH($A409,ExchangeConfirms!$A$2:$A$460,0)))</f>
        <v/>
      </c>
      <c r="D409">
        <f>IFERROR(INDEX(InternalTrades!$K$2:$K$461,MATCH($A409,InternalTrades!$A$2:$A$461,0)),INDEX(ExchangeConfirms!$K$2:$K$460,MATCH($A409,ExchangeConfirms!$A$2:$A$460,0)))</f>
        <v/>
      </c>
      <c r="E409">
        <f>IF(COUNTIF(InternalTrades!$A$2:$A$461,$A409)&gt;0,1,0)</f>
        <v/>
      </c>
      <c r="F409">
        <f>IF(COUNTIF(ExchangeConfirms!$A$2:$A$460,$A409)&gt;0,1,0)</f>
        <v/>
      </c>
      <c r="G409">
        <f>IFERROR(INDEX(InternalTrades!$F$2:$F$461,MATCH($A409,InternalTrades!$A$2:$A$461,0)),"")</f>
        <v/>
      </c>
      <c r="H409">
        <f>IFERROR(INDEX(ExchangeConfirms!$F$2:$F$460,MATCH($A409,ExchangeConfirms!$A$2:$A$460,0)),"")</f>
        <v/>
      </c>
      <c r="I409">
        <f>IFERROR(INDEX(InternalTrades!$G$2:$G$461,MATCH($A409,InternalTrades!$A$2:$A$461,0)),"")</f>
        <v/>
      </c>
      <c r="J409">
        <f>IFERROR(INDEX(ExchangeConfirms!$G$2:$G$460,MATCH($A409,ExchangeConfirms!$A$2:$A$460,0)),"")</f>
        <v/>
      </c>
      <c r="K409">
        <f>IFERROR(INDEX(InternalTrades!$H$2:$H$461,MATCH($A409,InternalTrades!$A$2:$A$461,0)),"")</f>
        <v/>
      </c>
      <c r="L409">
        <f>IFERROR(INDEX(ExchangeConfirms!$H$2:$H$460,MATCH($A409,ExchangeConfirms!$A$2:$A$460,0)),"")</f>
        <v/>
      </c>
      <c r="M409">
        <f>IFERROR(INDEX(InternalTrades!$J$2:$J$461,MATCH($A409,InternalTrades!$A$2:$A$461,0)),"")</f>
        <v/>
      </c>
      <c r="N409">
        <f>IFERROR(INDEX(ExchangeConfirms!$J$2:$J$460,MATCH($A409,ExchangeConfirms!$A$2:$A$460,0)),"")</f>
        <v/>
      </c>
      <c r="O409">
        <f>IFERROR(INDEX(InternalTrades!$I$2:$I$461,MATCH($A409,InternalTrades!$A$2:$A$461,0)),"")</f>
        <v/>
      </c>
      <c r="P409">
        <f>IFERROR(INDEX(ExchangeConfirms!$I$2:$I$460,MATCH($A409,ExchangeConfirms!$A$2:$A$460,0)),"")</f>
        <v/>
      </c>
      <c r="Q409">
        <f>IF(AND($E409=1,$F409=0),"MISSING IN EXCHANGE",IF(AND($E409=0,$F409=1),"MISSING IN INTERNAL",IF($G409&lt;&gt;$H409,"SIDE BREAK",IF($I409&lt;&gt;$J409,"QTY BREAK",IF(ABS($K409-$L409)&gt;0.005,"PRICE BREAK",IF(ABS($M409-$N409)&gt;0.01,"FEE BREAK","MATCHED"))))))</f>
        <v/>
      </c>
      <c r="R409">
        <f>IF($Q409="MATCHED",0,1)</f>
        <v/>
      </c>
      <c r="S409">
        <f>IF($Q409="MATCHED",0,IF($Q409="MISSING IN EXCHANGE",$O409,IF($Q409="MISSING IN INTERNAL",$P409,ABS(N($O409)-N($P409)))))</f>
        <v/>
      </c>
    </row>
    <row r="410">
      <c r="A410" t="inlineStr">
        <is>
          <t>T100409</t>
        </is>
      </c>
      <c r="B410">
        <f>IFERROR(INDEX(InternalTrades!$D$2:$D$461,MATCH($A410,InternalTrades!$A$2:$A$461,0)),INDEX(ExchangeConfirms!$D$2:$D$460,MATCH($A410,ExchangeConfirms!$A$2:$A$460,0)))</f>
        <v/>
      </c>
      <c r="C410">
        <f>IFERROR(INDEX(InternalTrades!$E$2:$E$461,MATCH($A410,InternalTrades!$A$2:$A$461,0)),INDEX(ExchangeConfirms!$E$2:$E$460,MATCH($A410,ExchangeConfirms!$A$2:$A$460,0)))</f>
        <v/>
      </c>
      <c r="D410">
        <f>IFERROR(INDEX(InternalTrades!$K$2:$K$461,MATCH($A410,InternalTrades!$A$2:$A$461,0)),INDEX(ExchangeConfirms!$K$2:$K$460,MATCH($A410,ExchangeConfirms!$A$2:$A$460,0)))</f>
        <v/>
      </c>
      <c r="E410">
        <f>IF(COUNTIF(InternalTrades!$A$2:$A$461,$A410)&gt;0,1,0)</f>
        <v/>
      </c>
      <c r="F410">
        <f>IF(COUNTIF(ExchangeConfirms!$A$2:$A$460,$A410)&gt;0,1,0)</f>
        <v/>
      </c>
      <c r="G410">
        <f>IFERROR(INDEX(InternalTrades!$F$2:$F$461,MATCH($A410,InternalTrades!$A$2:$A$461,0)),"")</f>
        <v/>
      </c>
      <c r="H410">
        <f>IFERROR(INDEX(ExchangeConfirms!$F$2:$F$460,MATCH($A410,ExchangeConfirms!$A$2:$A$460,0)),"")</f>
        <v/>
      </c>
      <c r="I410">
        <f>IFERROR(INDEX(InternalTrades!$G$2:$G$461,MATCH($A410,InternalTrades!$A$2:$A$461,0)),"")</f>
        <v/>
      </c>
      <c r="J410">
        <f>IFERROR(INDEX(ExchangeConfirms!$G$2:$G$460,MATCH($A410,ExchangeConfirms!$A$2:$A$460,0)),"")</f>
        <v/>
      </c>
      <c r="K410">
        <f>IFERROR(INDEX(InternalTrades!$H$2:$H$461,MATCH($A410,InternalTrades!$A$2:$A$461,0)),"")</f>
        <v/>
      </c>
      <c r="L410">
        <f>IFERROR(INDEX(ExchangeConfirms!$H$2:$H$460,MATCH($A410,ExchangeConfirms!$A$2:$A$460,0)),"")</f>
        <v/>
      </c>
      <c r="M410">
        <f>IFERROR(INDEX(InternalTrades!$J$2:$J$461,MATCH($A410,InternalTrades!$A$2:$A$461,0)),"")</f>
        <v/>
      </c>
      <c r="N410">
        <f>IFERROR(INDEX(ExchangeConfirms!$J$2:$J$460,MATCH($A410,ExchangeConfirms!$A$2:$A$460,0)),"")</f>
        <v/>
      </c>
      <c r="O410">
        <f>IFERROR(INDEX(InternalTrades!$I$2:$I$461,MATCH($A410,InternalTrades!$A$2:$A$461,0)),"")</f>
        <v/>
      </c>
      <c r="P410">
        <f>IFERROR(INDEX(ExchangeConfirms!$I$2:$I$460,MATCH($A410,ExchangeConfirms!$A$2:$A$460,0)),"")</f>
        <v/>
      </c>
      <c r="Q410">
        <f>IF(AND($E410=1,$F410=0),"MISSING IN EXCHANGE",IF(AND($E410=0,$F410=1),"MISSING IN INTERNAL",IF($G410&lt;&gt;$H410,"SIDE BREAK",IF($I410&lt;&gt;$J410,"QTY BREAK",IF(ABS($K410-$L410)&gt;0.005,"PRICE BREAK",IF(ABS($M410-$N410)&gt;0.01,"FEE BREAK","MATCHED"))))))</f>
        <v/>
      </c>
      <c r="R410">
        <f>IF($Q410="MATCHED",0,1)</f>
        <v/>
      </c>
      <c r="S410">
        <f>IF($Q410="MATCHED",0,IF($Q410="MISSING IN EXCHANGE",$O410,IF($Q410="MISSING IN INTERNAL",$P410,ABS(N($O410)-N($P410)))))</f>
        <v/>
      </c>
    </row>
    <row r="411">
      <c r="A411" t="inlineStr">
        <is>
          <t>T100410</t>
        </is>
      </c>
      <c r="B411">
        <f>IFERROR(INDEX(InternalTrades!$D$2:$D$461,MATCH($A411,InternalTrades!$A$2:$A$461,0)),INDEX(ExchangeConfirms!$D$2:$D$460,MATCH($A411,ExchangeConfirms!$A$2:$A$460,0)))</f>
        <v/>
      </c>
      <c r="C411">
        <f>IFERROR(INDEX(InternalTrades!$E$2:$E$461,MATCH($A411,InternalTrades!$A$2:$A$461,0)),INDEX(ExchangeConfirms!$E$2:$E$460,MATCH($A411,ExchangeConfirms!$A$2:$A$460,0)))</f>
        <v/>
      </c>
      <c r="D411">
        <f>IFERROR(INDEX(InternalTrades!$K$2:$K$461,MATCH($A411,InternalTrades!$A$2:$A$461,0)),INDEX(ExchangeConfirms!$K$2:$K$460,MATCH($A411,ExchangeConfirms!$A$2:$A$460,0)))</f>
        <v/>
      </c>
      <c r="E411">
        <f>IF(COUNTIF(InternalTrades!$A$2:$A$461,$A411)&gt;0,1,0)</f>
        <v/>
      </c>
      <c r="F411">
        <f>IF(COUNTIF(ExchangeConfirms!$A$2:$A$460,$A411)&gt;0,1,0)</f>
        <v/>
      </c>
      <c r="G411">
        <f>IFERROR(INDEX(InternalTrades!$F$2:$F$461,MATCH($A411,InternalTrades!$A$2:$A$461,0)),"")</f>
        <v/>
      </c>
      <c r="H411">
        <f>IFERROR(INDEX(ExchangeConfirms!$F$2:$F$460,MATCH($A411,ExchangeConfirms!$A$2:$A$460,0)),"")</f>
        <v/>
      </c>
      <c r="I411">
        <f>IFERROR(INDEX(InternalTrades!$G$2:$G$461,MATCH($A411,InternalTrades!$A$2:$A$461,0)),"")</f>
        <v/>
      </c>
      <c r="J411">
        <f>IFERROR(INDEX(ExchangeConfirms!$G$2:$G$460,MATCH($A411,ExchangeConfirms!$A$2:$A$460,0)),"")</f>
        <v/>
      </c>
      <c r="K411">
        <f>IFERROR(INDEX(InternalTrades!$H$2:$H$461,MATCH($A411,InternalTrades!$A$2:$A$461,0)),"")</f>
        <v/>
      </c>
      <c r="L411">
        <f>IFERROR(INDEX(ExchangeConfirms!$H$2:$H$460,MATCH($A411,ExchangeConfirms!$A$2:$A$460,0)),"")</f>
        <v/>
      </c>
      <c r="M411">
        <f>IFERROR(INDEX(InternalTrades!$J$2:$J$461,MATCH($A411,InternalTrades!$A$2:$A$461,0)),"")</f>
        <v/>
      </c>
      <c r="N411">
        <f>IFERROR(INDEX(ExchangeConfirms!$J$2:$J$460,MATCH($A411,ExchangeConfirms!$A$2:$A$460,0)),"")</f>
        <v/>
      </c>
      <c r="O411">
        <f>IFERROR(INDEX(InternalTrades!$I$2:$I$461,MATCH($A411,InternalTrades!$A$2:$A$461,0)),"")</f>
        <v/>
      </c>
      <c r="P411">
        <f>IFERROR(INDEX(ExchangeConfirms!$I$2:$I$460,MATCH($A411,ExchangeConfirms!$A$2:$A$460,0)),"")</f>
        <v/>
      </c>
      <c r="Q411">
        <f>IF(AND($E411=1,$F411=0),"MISSING IN EXCHANGE",IF(AND($E411=0,$F411=1),"MISSING IN INTERNAL",IF($G411&lt;&gt;$H411,"SIDE BREAK",IF($I411&lt;&gt;$J411,"QTY BREAK",IF(ABS($K411-$L411)&gt;0.005,"PRICE BREAK",IF(ABS($M411-$N411)&gt;0.01,"FEE BREAK","MATCHED"))))))</f>
        <v/>
      </c>
      <c r="R411">
        <f>IF($Q411="MATCHED",0,1)</f>
        <v/>
      </c>
      <c r="S411">
        <f>IF($Q411="MATCHED",0,IF($Q411="MISSING IN EXCHANGE",$O411,IF($Q411="MISSING IN INTERNAL",$P411,ABS(N($O411)-N($P411)))))</f>
        <v/>
      </c>
    </row>
    <row r="412">
      <c r="A412" t="inlineStr">
        <is>
          <t>T100411</t>
        </is>
      </c>
      <c r="B412">
        <f>IFERROR(INDEX(InternalTrades!$D$2:$D$461,MATCH($A412,InternalTrades!$A$2:$A$461,0)),INDEX(ExchangeConfirms!$D$2:$D$460,MATCH($A412,ExchangeConfirms!$A$2:$A$460,0)))</f>
        <v/>
      </c>
      <c r="C412">
        <f>IFERROR(INDEX(InternalTrades!$E$2:$E$461,MATCH($A412,InternalTrades!$A$2:$A$461,0)),INDEX(ExchangeConfirms!$E$2:$E$460,MATCH($A412,ExchangeConfirms!$A$2:$A$460,0)))</f>
        <v/>
      </c>
      <c r="D412">
        <f>IFERROR(INDEX(InternalTrades!$K$2:$K$461,MATCH($A412,InternalTrades!$A$2:$A$461,0)),INDEX(ExchangeConfirms!$K$2:$K$460,MATCH($A412,ExchangeConfirms!$A$2:$A$460,0)))</f>
        <v/>
      </c>
      <c r="E412">
        <f>IF(COUNTIF(InternalTrades!$A$2:$A$461,$A412)&gt;0,1,0)</f>
        <v/>
      </c>
      <c r="F412">
        <f>IF(COUNTIF(ExchangeConfirms!$A$2:$A$460,$A412)&gt;0,1,0)</f>
        <v/>
      </c>
      <c r="G412">
        <f>IFERROR(INDEX(InternalTrades!$F$2:$F$461,MATCH($A412,InternalTrades!$A$2:$A$461,0)),"")</f>
        <v/>
      </c>
      <c r="H412">
        <f>IFERROR(INDEX(ExchangeConfirms!$F$2:$F$460,MATCH($A412,ExchangeConfirms!$A$2:$A$460,0)),"")</f>
        <v/>
      </c>
      <c r="I412">
        <f>IFERROR(INDEX(InternalTrades!$G$2:$G$461,MATCH($A412,InternalTrades!$A$2:$A$461,0)),"")</f>
        <v/>
      </c>
      <c r="J412">
        <f>IFERROR(INDEX(ExchangeConfirms!$G$2:$G$460,MATCH($A412,ExchangeConfirms!$A$2:$A$460,0)),"")</f>
        <v/>
      </c>
      <c r="K412">
        <f>IFERROR(INDEX(InternalTrades!$H$2:$H$461,MATCH($A412,InternalTrades!$A$2:$A$461,0)),"")</f>
        <v/>
      </c>
      <c r="L412">
        <f>IFERROR(INDEX(ExchangeConfirms!$H$2:$H$460,MATCH($A412,ExchangeConfirms!$A$2:$A$460,0)),"")</f>
        <v/>
      </c>
      <c r="M412">
        <f>IFERROR(INDEX(InternalTrades!$J$2:$J$461,MATCH($A412,InternalTrades!$A$2:$A$461,0)),"")</f>
        <v/>
      </c>
      <c r="N412">
        <f>IFERROR(INDEX(ExchangeConfirms!$J$2:$J$460,MATCH($A412,ExchangeConfirms!$A$2:$A$460,0)),"")</f>
        <v/>
      </c>
      <c r="O412">
        <f>IFERROR(INDEX(InternalTrades!$I$2:$I$461,MATCH($A412,InternalTrades!$A$2:$A$461,0)),"")</f>
        <v/>
      </c>
      <c r="P412">
        <f>IFERROR(INDEX(ExchangeConfirms!$I$2:$I$460,MATCH($A412,ExchangeConfirms!$A$2:$A$460,0)),"")</f>
        <v/>
      </c>
      <c r="Q412">
        <f>IF(AND($E412=1,$F412=0),"MISSING IN EXCHANGE",IF(AND($E412=0,$F412=1),"MISSING IN INTERNAL",IF($G412&lt;&gt;$H412,"SIDE BREAK",IF($I412&lt;&gt;$J412,"QTY BREAK",IF(ABS($K412-$L412)&gt;0.005,"PRICE BREAK",IF(ABS($M412-$N412)&gt;0.01,"FEE BREAK","MATCHED"))))))</f>
        <v/>
      </c>
      <c r="R412">
        <f>IF($Q412="MATCHED",0,1)</f>
        <v/>
      </c>
      <c r="S412">
        <f>IF($Q412="MATCHED",0,IF($Q412="MISSING IN EXCHANGE",$O412,IF($Q412="MISSING IN INTERNAL",$P412,ABS(N($O412)-N($P412)))))</f>
        <v/>
      </c>
    </row>
    <row r="413">
      <c r="A413" t="inlineStr">
        <is>
          <t>T100412</t>
        </is>
      </c>
      <c r="B413">
        <f>IFERROR(INDEX(InternalTrades!$D$2:$D$461,MATCH($A413,InternalTrades!$A$2:$A$461,0)),INDEX(ExchangeConfirms!$D$2:$D$460,MATCH($A413,ExchangeConfirms!$A$2:$A$460,0)))</f>
        <v/>
      </c>
      <c r="C413">
        <f>IFERROR(INDEX(InternalTrades!$E$2:$E$461,MATCH($A413,InternalTrades!$A$2:$A$461,0)),INDEX(ExchangeConfirms!$E$2:$E$460,MATCH($A413,ExchangeConfirms!$A$2:$A$460,0)))</f>
        <v/>
      </c>
      <c r="D413">
        <f>IFERROR(INDEX(InternalTrades!$K$2:$K$461,MATCH($A413,InternalTrades!$A$2:$A$461,0)),INDEX(ExchangeConfirms!$K$2:$K$460,MATCH($A413,ExchangeConfirms!$A$2:$A$460,0)))</f>
        <v/>
      </c>
      <c r="E413">
        <f>IF(COUNTIF(InternalTrades!$A$2:$A$461,$A413)&gt;0,1,0)</f>
        <v/>
      </c>
      <c r="F413">
        <f>IF(COUNTIF(ExchangeConfirms!$A$2:$A$460,$A413)&gt;0,1,0)</f>
        <v/>
      </c>
      <c r="G413">
        <f>IFERROR(INDEX(InternalTrades!$F$2:$F$461,MATCH($A413,InternalTrades!$A$2:$A$461,0)),"")</f>
        <v/>
      </c>
      <c r="H413">
        <f>IFERROR(INDEX(ExchangeConfirms!$F$2:$F$460,MATCH($A413,ExchangeConfirms!$A$2:$A$460,0)),"")</f>
        <v/>
      </c>
      <c r="I413">
        <f>IFERROR(INDEX(InternalTrades!$G$2:$G$461,MATCH($A413,InternalTrades!$A$2:$A$461,0)),"")</f>
        <v/>
      </c>
      <c r="J413">
        <f>IFERROR(INDEX(ExchangeConfirms!$G$2:$G$460,MATCH($A413,ExchangeConfirms!$A$2:$A$460,0)),"")</f>
        <v/>
      </c>
      <c r="K413">
        <f>IFERROR(INDEX(InternalTrades!$H$2:$H$461,MATCH($A413,InternalTrades!$A$2:$A$461,0)),"")</f>
        <v/>
      </c>
      <c r="L413">
        <f>IFERROR(INDEX(ExchangeConfirms!$H$2:$H$460,MATCH($A413,ExchangeConfirms!$A$2:$A$460,0)),"")</f>
        <v/>
      </c>
      <c r="M413">
        <f>IFERROR(INDEX(InternalTrades!$J$2:$J$461,MATCH($A413,InternalTrades!$A$2:$A$461,0)),"")</f>
        <v/>
      </c>
      <c r="N413">
        <f>IFERROR(INDEX(ExchangeConfirms!$J$2:$J$460,MATCH($A413,ExchangeConfirms!$A$2:$A$460,0)),"")</f>
        <v/>
      </c>
      <c r="O413">
        <f>IFERROR(INDEX(InternalTrades!$I$2:$I$461,MATCH($A413,InternalTrades!$A$2:$A$461,0)),"")</f>
        <v/>
      </c>
      <c r="P413">
        <f>IFERROR(INDEX(ExchangeConfirms!$I$2:$I$460,MATCH($A413,ExchangeConfirms!$A$2:$A$460,0)),"")</f>
        <v/>
      </c>
      <c r="Q413">
        <f>IF(AND($E413=1,$F413=0),"MISSING IN EXCHANGE",IF(AND($E413=0,$F413=1),"MISSING IN INTERNAL",IF($G413&lt;&gt;$H413,"SIDE BREAK",IF($I413&lt;&gt;$J413,"QTY BREAK",IF(ABS($K413-$L413)&gt;0.005,"PRICE BREAK",IF(ABS($M413-$N413)&gt;0.01,"FEE BREAK","MATCHED"))))))</f>
        <v/>
      </c>
      <c r="R413">
        <f>IF($Q413="MATCHED",0,1)</f>
        <v/>
      </c>
      <c r="S413">
        <f>IF($Q413="MATCHED",0,IF($Q413="MISSING IN EXCHANGE",$O413,IF($Q413="MISSING IN INTERNAL",$P413,ABS(N($O413)-N($P413)))))</f>
        <v/>
      </c>
    </row>
    <row r="414">
      <c r="A414" t="inlineStr">
        <is>
          <t>T100413</t>
        </is>
      </c>
      <c r="B414">
        <f>IFERROR(INDEX(InternalTrades!$D$2:$D$461,MATCH($A414,InternalTrades!$A$2:$A$461,0)),INDEX(ExchangeConfirms!$D$2:$D$460,MATCH($A414,ExchangeConfirms!$A$2:$A$460,0)))</f>
        <v/>
      </c>
      <c r="C414">
        <f>IFERROR(INDEX(InternalTrades!$E$2:$E$461,MATCH($A414,InternalTrades!$A$2:$A$461,0)),INDEX(ExchangeConfirms!$E$2:$E$460,MATCH($A414,ExchangeConfirms!$A$2:$A$460,0)))</f>
        <v/>
      </c>
      <c r="D414">
        <f>IFERROR(INDEX(InternalTrades!$K$2:$K$461,MATCH($A414,InternalTrades!$A$2:$A$461,0)),INDEX(ExchangeConfirms!$K$2:$K$460,MATCH($A414,ExchangeConfirms!$A$2:$A$460,0)))</f>
        <v/>
      </c>
      <c r="E414">
        <f>IF(COUNTIF(InternalTrades!$A$2:$A$461,$A414)&gt;0,1,0)</f>
        <v/>
      </c>
      <c r="F414">
        <f>IF(COUNTIF(ExchangeConfirms!$A$2:$A$460,$A414)&gt;0,1,0)</f>
        <v/>
      </c>
      <c r="G414">
        <f>IFERROR(INDEX(InternalTrades!$F$2:$F$461,MATCH($A414,InternalTrades!$A$2:$A$461,0)),"")</f>
        <v/>
      </c>
      <c r="H414">
        <f>IFERROR(INDEX(ExchangeConfirms!$F$2:$F$460,MATCH($A414,ExchangeConfirms!$A$2:$A$460,0)),"")</f>
        <v/>
      </c>
      <c r="I414">
        <f>IFERROR(INDEX(InternalTrades!$G$2:$G$461,MATCH($A414,InternalTrades!$A$2:$A$461,0)),"")</f>
        <v/>
      </c>
      <c r="J414">
        <f>IFERROR(INDEX(ExchangeConfirms!$G$2:$G$460,MATCH($A414,ExchangeConfirms!$A$2:$A$460,0)),"")</f>
        <v/>
      </c>
      <c r="K414">
        <f>IFERROR(INDEX(InternalTrades!$H$2:$H$461,MATCH($A414,InternalTrades!$A$2:$A$461,0)),"")</f>
        <v/>
      </c>
      <c r="L414">
        <f>IFERROR(INDEX(ExchangeConfirms!$H$2:$H$460,MATCH($A414,ExchangeConfirms!$A$2:$A$460,0)),"")</f>
        <v/>
      </c>
      <c r="M414">
        <f>IFERROR(INDEX(InternalTrades!$J$2:$J$461,MATCH($A414,InternalTrades!$A$2:$A$461,0)),"")</f>
        <v/>
      </c>
      <c r="N414">
        <f>IFERROR(INDEX(ExchangeConfirms!$J$2:$J$460,MATCH($A414,ExchangeConfirms!$A$2:$A$460,0)),"")</f>
        <v/>
      </c>
      <c r="O414">
        <f>IFERROR(INDEX(InternalTrades!$I$2:$I$461,MATCH($A414,InternalTrades!$A$2:$A$461,0)),"")</f>
        <v/>
      </c>
      <c r="P414">
        <f>IFERROR(INDEX(ExchangeConfirms!$I$2:$I$460,MATCH($A414,ExchangeConfirms!$A$2:$A$460,0)),"")</f>
        <v/>
      </c>
      <c r="Q414">
        <f>IF(AND($E414=1,$F414=0),"MISSING IN EXCHANGE",IF(AND($E414=0,$F414=1),"MISSING IN INTERNAL",IF($G414&lt;&gt;$H414,"SIDE BREAK",IF($I414&lt;&gt;$J414,"QTY BREAK",IF(ABS($K414-$L414)&gt;0.005,"PRICE BREAK",IF(ABS($M414-$N414)&gt;0.01,"FEE BREAK","MATCHED"))))))</f>
        <v/>
      </c>
      <c r="R414">
        <f>IF($Q414="MATCHED",0,1)</f>
        <v/>
      </c>
      <c r="S414">
        <f>IF($Q414="MATCHED",0,IF($Q414="MISSING IN EXCHANGE",$O414,IF($Q414="MISSING IN INTERNAL",$P414,ABS(N($O414)-N($P414)))))</f>
        <v/>
      </c>
    </row>
    <row r="415">
      <c r="A415" t="inlineStr">
        <is>
          <t>T100414</t>
        </is>
      </c>
      <c r="B415">
        <f>IFERROR(INDEX(InternalTrades!$D$2:$D$461,MATCH($A415,InternalTrades!$A$2:$A$461,0)),INDEX(ExchangeConfirms!$D$2:$D$460,MATCH($A415,ExchangeConfirms!$A$2:$A$460,0)))</f>
        <v/>
      </c>
      <c r="C415">
        <f>IFERROR(INDEX(InternalTrades!$E$2:$E$461,MATCH($A415,InternalTrades!$A$2:$A$461,0)),INDEX(ExchangeConfirms!$E$2:$E$460,MATCH($A415,ExchangeConfirms!$A$2:$A$460,0)))</f>
        <v/>
      </c>
      <c r="D415">
        <f>IFERROR(INDEX(InternalTrades!$K$2:$K$461,MATCH($A415,InternalTrades!$A$2:$A$461,0)),INDEX(ExchangeConfirms!$K$2:$K$460,MATCH($A415,ExchangeConfirms!$A$2:$A$460,0)))</f>
        <v/>
      </c>
      <c r="E415">
        <f>IF(COUNTIF(InternalTrades!$A$2:$A$461,$A415)&gt;0,1,0)</f>
        <v/>
      </c>
      <c r="F415">
        <f>IF(COUNTIF(ExchangeConfirms!$A$2:$A$460,$A415)&gt;0,1,0)</f>
        <v/>
      </c>
      <c r="G415">
        <f>IFERROR(INDEX(InternalTrades!$F$2:$F$461,MATCH($A415,InternalTrades!$A$2:$A$461,0)),"")</f>
        <v/>
      </c>
      <c r="H415">
        <f>IFERROR(INDEX(ExchangeConfirms!$F$2:$F$460,MATCH($A415,ExchangeConfirms!$A$2:$A$460,0)),"")</f>
        <v/>
      </c>
      <c r="I415">
        <f>IFERROR(INDEX(InternalTrades!$G$2:$G$461,MATCH($A415,InternalTrades!$A$2:$A$461,0)),"")</f>
        <v/>
      </c>
      <c r="J415">
        <f>IFERROR(INDEX(ExchangeConfirms!$G$2:$G$460,MATCH($A415,ExchangeConfirms!$A$2:$A$460,0)),"")</f>
        <v/>
      </c>
      <c r="K415">
        <f>IFERROR(INDEX(InternalTrades!$H$2:$H$461,MATCH($A415,InternalTrades!$A$2:$A$461,0)),"")</f>
        <v/>
      </c>
      <c r="L415">
        <f>IFERROR(INDEX(ExchangeConfirms!$H$2:$H$460,MATCH($A415,ExchangeConfirms!$A$2:$A$460,0)),"")</f>
        <v/>
      </c>
      <c r="M415">
        <f>IFERROR(INDEX(InternalTrades!$J$2:$J$461,MATCH($A415,InternalTrades!$A$2:$A$461,0)),"")</f>
        <v/>
      </c>
      <c r="N415">
        <f>IFERROR(INDEX(ExchangeConfirms!$J$2:$J$460,MATCH($A415,ExchangeConfirms!$A$2:$A$460,0)),"")</f>
        <v/>
      </c>
      <c r="O415">
        <f>IFERROR(INDEX(InternalTrades!$I$2:$I$461,MATCH($A415,InternalTrades!$A$2:$A$461,0)),"")</f>
        <v/>
      </c>
      <c r="P415">
        <f>IFERROR(INDEX(ExchangeConfirms!$I$2:$I$460,MATCH($A415,ExchangeConfirms!$A$2:$A$460,0)),"")</f>
        <v/>
      </c>
      <c r="Q415">
        <f>IF(AND($E415=1,$F415=0),"MISSING IN EXCHANGE",IF(AND($E415=0,$F415=1),"MISSING IN INTERNAL",IF($G415&lt;&gt;$H415,"SIDE BREAK",IF($I415&lt;&gt;$J415,"QTY BREAK",IF(ABS($K415-$L415)&gt;0.005,"PRICE BREAK",IF(ABS($M415-$N415)&gt;0.01,"FEE BREAK","MATCHED"))))))</f>
        <v/>
      </c>
      <c r="R415">
        <f>IF($Q415="MATCHED",0,1)</f>
        <v/>
      </c>
      <c r="S415">
        <f>IF($Q415="MATCHED",0,IF($Q415="MISSING IN EXCHANGE",$O415,IF($Q415="MISSING IN INTERNAL",$P415,ABS(N($O415)-N($P415)))))</f>
        <v/>
      </c>
    </row>
    <row r="416">
      <c r="A416" t="inlineStr">
        <is>
          <t>T100415</t>
        </is>
      </c>
      <c r="B416">
        <f>IFERROR(INDEX(InternalTrades!$D$2:$D$461,MATCH($A416,InternalTrades!$A$2:$A$461,0)),INDEX(ExchangeConfirms!$D$2:$D$460,MATCH($A416,ExchangeConfirms!$A$2:$A$460,0)))</f>
        <v/>
      </c>
      <c r="C416">
        <f>IFERROR(INDEX(InternalTrades!$E$2:$E$461,MATCH($A416,InternalTrades!$A$2:$A$461,0)),INDEX(ExchangeConfirms!$E$2:$E$460,MATCH($A416,ExchangeConfirms!$A$2:$A$460,0)))</f>
        <v/>
      </c>
      <c r="D416">
        <f>IFERROR(INDEX(InternalTrades!$K$2:$K$461,MATCH($A416,InternalTrades!$A$2:$A$461,0)),INDEX(ExchangeConfirms!$K$2:$K$460,MATCH($A416,ExchangeConfirms!$A$2:$A$460,0)))</f>
        <v/>
      </c>
      <c r="E416">
        <f>IF(COUNTIF(InternalTrades!$A$2:$A$461,$A416)&gt;0,1,0)</f>
        <v/>
      </c>
      <c r="F416">
        <f>IF(COUNTIF(ExchangeConfirms!$A$2:$A$460,$A416)&gt;0,1,0)</f>
        <v/>
      </c>
      <c r="G416">
        <f>IFERROR(INDEX(InternalTrades!$F$2:$F$461,MATCH($A416,InternalTrades!$A$2:$A$461,0)),"")</f>
        <v/>
      </c>
      <c r="H416">
        <f>IFERROR(INDEX(ExchangeConfirms!$F$2:$F$460,MATCH($A416,ExchangeConfirms!$A$2:$A$460,0)),"")</f>
        <v/>
      </c>
      <c r="I416">
        <f>IFERROR(INDEX(InternalTrades!$G$2:$G$461,MATCH($A416,InternalTrades!$A$2:$A$461,0)),"")</f>
        <v/>
      </c>
      <c r="J416">
        <f>IFERROR(INDEX(ExchangeConfirms!$G$2:$G$460,MATCH($A416,ExchangeConfirms!$A$2:$A$460,0)),"")</f>
        <v/>
      </c>
      <c r="K416">
        <f>IFERROR(INDEX(InternalTrades!$H$2:$H$461,MATCH($A416,InternalTrades!$A$2:$A$461,0)),"")</f>
        <v/>
      </c>
      <c r="L416">
        <f>IFERROR(INDEX(ExchangeConfirms!$H$2:$H$460,MATCH($A416,ExchangeConfirms!$A$2:$A$460,0)),"")</f>
        <v/>
      </c>
      <c r="M416">
        <f>IFERROR(INDEX(InternalTrades!$J$2:$J$461,MATCH($A416,InternalTrades!$A$2:$A$461,0)),"")</f>
        <v/>
      </c>
      <c r="N416">
        <f>IFERROR(INDEX(ExchangeConfirms!$J$2:$J$460,MATCH($A416,ExchangeConfirms!$A$2:$A$460,0)),"")</f>
        <v/>
      </c>
      <c r="O416">
        <f>IFERROR(INDEX(InternalTrades!$I$2:$I$461,MATCH($A416,InternalTrades!$A$2:$A$461,0)),"")</f>
        <v/>
      </c>
      <c r="P416">
        <f>IFERROR(INDEX(ExchangeConfirms!$I$2:$I$460,MATCH($A416,ExchangeConfirms!$A$2:$A$460,0)),"")</f>
        <v/>
      </c>
      <c r="Q416">
        <f>IF(AND($E416=1,$F416=0),"MISSING IN EXCHANGE",IF(AND($E416=0,$F416=1),"MISSING IN INTERNAL",IF($G416&lt;&gt;$H416,"SIDE BREAK",IF($I416&lt;&gt;$J416,"QTY BREAK",IF(ABS($K416-$L416)&gt;0.005,"PRICE BREAK",IF(ABS($M416-$N416)&gt;0.01,"FEE BREAK","MATCHED"))))))</f>
        <v/>
      </c>
      <c r="R416">
        <f>IF($Q416="MATCHED",0,1)</f>
        <v/>
      </c>
      <c r="S416">
        <f>IF($Q416="MATCHED",0,IF($Q416="MISSING IN EXCHANGE",$O416,IF($Q416="MISSING IN INTERNAL",$P416,ABS(N($O416)-N($P416)))))</f>
        <v/>
      </c>
    </row>
    <row r="417">
      <c r="A417" t="inlineStr">
        <is>
          <t>T100416</t>
        </is>
      </c>
      <c r="B417">
        <f>IFERROR(INDEX(InternalTrades!$D$2:$D$461,MATCH($A417,InternalTrades!$A$2:$A$461,0)),INDEX(ExchangeConfirms!$D$2:$D$460,MATCH($A417,ExchangeConfirms!$A$2:$A$460,0)))</f>
        <v/>
      </c>
      <c r="C417">
        <f>IFERROR(INDEX(InternalTrades!$E$2:$E$461,MATCH($A417,InternalTrades!$A$2:$A$461,0)),INDEX(ExchangeConfirms!$E$2:$E$460,MATCH($A417,ExchangeConfirms!$A$2:$A$460,0)))</f>
        <v/>
      </c>
      <c r="D417">
        <f>IFERROR(INDEX(InternalTrades!$K$2:$K$461,MATCH($A417,InternalTrades!$A$2:$A$461,0)),INDEX(ExchangeConfirms!$K$2:$K$460,MATCH($A417,ExchangeConfirms!$A$2:$A$460,0)))</f>
        <v/>
      </c>
      <c r="E417">
        <f>IF(COUNTIF(InternalTrades!$A$2:$A$461,$A417)&gt;0,1,0)</f>
        <v/>
      </c>
      <c r="F417">
        <f>IF(COUNTIF(ExchangeConfirms!$A$2:$A$460,$A417)&gt;0,1,0)</f>
        <v/>
      </c>
      <c r="G417">
        <f>IFERROR(INDEX(InternalTrades!$F$2:$F$461,MATCH($A417,InternalTrades!$A$2:$A$461,0)),"")</f>
        <v/>
      </c>
      <c r="H417">
        <f>IFERROR(INDEX(ExchangeConfirms!$F$2:$F$460,MATCH($A417,ExchangeConfirms!$A$2:$A$460,0)),"")</f>
        <v/>
      </c>
      <c r="I417">
        <f>IFERROR(INDEX(InternalTrades!$G$2:$G$461,MATCH($A417,InternalTrades!$A$2:$A$461,0)),"")</f>
        <v/>
      </c>
      <c r="J417">
        <f>IFERROR(INDEX(ExchangeConfirms!$G$2:$G$460,MATCH($A417,ExchangeConfirms!$A$2:$A$460,0)),"")</f>
        <v/>
      </c>
      <c r="K417">
        <f>IFERROR(INDEX(InternalTrades!$H$2:$H$461,MATCH($A417,InternalTrades!$A$2:$A$461,0)),"")</f>
        <v/>
      </c>
      <c r="L417">
        <f>IFERROR(INDEX(ExchangeConfirms!$H$2:$H$460,MATCH($A417,ExchangeConfirms!$A$2:$A$460,0)),"")</f>
        <v/>
      </c>
      <c r="M417">
        <f>IFERROR(INDEX(InternalTrades!$J$2:$J$461,MATCH($A417,InternalTrades!$A$2:$A$461,0)),"")</f>
        <v/>
      </c>
      <c r="N417">
        <f>IFERROR(INDEX(ExchangeConfirms!$J$2:$J$460,MATCH($A417,ExchangeConfirms!$A$2:$A$460,0)),"")</f>
        <v/>
      </c>
      <c r="O417">
        <f>IFERROR(INDEX(InternalTrades!$I$2:$I$461,MATCH($A417,InternalTrades!$A$2:$A$461,0)),"")</f>
        <v/>
      </c>
      <c r="P417">
        <f>IFERROR(INDEX(ExchangeConfirms!$I$2:$I$460,MATCH($A417,ExchangeConfirms!$A$2:$A$460,0)),"")</f>
        <v/>
      </c>
      <c r="Q417">
        <f>IF(AND($E417=1,$F417=0),"MISSING IN EXCHANGE",IF(AND($E417=0,$F417=1),"MISSING IN INTERNAL",IF($G417&lt;&gt;$H417,"SIDE BREAK",IF($I417&lt;&gt;$J417,"QTY BREAK",IF(ABS($K417-$L417)&gt;0.005,"PRICE BREAK",IF(ABS($M417-$N417)&gt;0.01,"FEE BREAK","MATCHED"))))))</f>
        <v/>
      </c>
      <c r="R417">
        <f>IF($Q417="MATCHED",0,1)</f>
        <v/>
      </c>
      <c r="S417">
        <f>IF($Q417="MATCHED",0,IF($Q417="MISSING IN EXCHANGE",$O417,IF($Q417="MISSING IN INTERNAL",$P417,ABS(N($O417)-N($P417)))))</f>
        <v/>
      </c>
    </row>
    <row r="418">
      <c r="A418" t="inlineStr">
        <is>
          <t>T100417</t>
        </is>
      </c>
      <c r="B418">
        <f>IFERROR(INDEX(InternalTrades!$D$2:$D$461,MATCH($A418,InternalTrades!$A$2:$A$461,0)),INDEX(ExchangeConfirms!$D$2:$D$460,MATCH($A418,ExchangeConfirms!$A$2:$A$460,0)))</f>
        <v/>
      </c>
      <c r="C418">
        <f>IFERROR(INDEX(InternalTrades!$E$2:$E$461,MATCH($A418,InternalTrades!$A$2:$A$461,0)),INDEX(ExchangeConfirms!$E$2:$E$460,MATCH($A418,ExchangeConfirms!$A$2:$A$460,0)))</f>
        <v/>
      </c>
      <c r="D418">
        <f>IFERROR(INDEX(InternalTrades!$K$2:$K$461,MATCH($A418,InternalTrades!$A$2:$A$461,0)),INDEX(ExchangeConfirms!$K$2:$K$460,MATCH($A418,ExchangeConfirms!$A$2:$A$460,0)))</f>
        <v/>
      </c>
      <c r="E418">
        <f>IF(COUNTIF(InternalTrades!$A$2:$A$461,$A418)&gt;0,1,0)</f>
        <v/>
      </c>
      <c r="F418">
        <f>IF(COUNTIF(ExchangeConfirms!$A$2:$A$460,$A418)&gt;0,1,0)</f>
        <v/>
      </c>
      <c r="G418">
        <f>IFERROR(INDEX(InternalTrades!$F$2:$F$461,MATCH($A418,InternalTrades!$A$2:$A$461,0)),"")</f>
        <v/>
      </c>
      <c r="H418">
        <f>IFERROR(INDEX(ExchangeConfirms!$F$2:$F$460,MATCH($A418,ExchangeConfirms!$A$2:$A$460,0)),"")</f>
        <v/>
      </c>
      <c r="I418">
        <f>IFERROR(INDEX(InternalTrades!$G$2:$G$461,MATCH($A418,InternalTrades!$A$2:$A$461,0)),"")</f>
        <v/>
      </c>
      <c r="J418">
        <f>IFERROR(INDEX(ExchangeConfirms!$G$2:$G$460,MATCH($A418,ExchangeConfirms!$A$2:$A$460,0)),"")</f>
        <v/>
      </c>
      <c r="K418">
        <f>IFERROR(INDEX(InternalTrades!$H$2:$H$461,MATCH($A418,InternalTrades!$A$2:$A$461,0)),"")</f>
        <v/>
      </c>
      <c r="L418">
        <f>IFERROR(INDEX(ExchangeConfirms!$H$2:$H$460,MATCH($A418,ExchangeConfirms!$A$2:$A$460,0)),"")</f>
        <v/>
      </c>
      <c r="M418">
        <f>IFERROR(INDEX(InternalTrades!$J$2:$J$461,MATCH($A418,InternalTrades!$A$2:$A$461,0)),"")</f>
        <v/>
      </c>
      <c r="N418">
        <f>IFERROR(INDEX(ExchangeConfirms!$J$2:$J$460,MATCH($A418,ExchangeConfirms!$A$2:$A$460,0)),"")</f>
        <v/>
      </c>
      <c r="O418">
        <f>IFERROR(INDEX(InternalTrades!$I$2:$I$461,MATCH($A418,InternalTrades!$A$2:$A$461,0)),"")</f>
        <v/>
      </c>
      <c r="P418">
        <f>IFERROR(INDEX(ExchangeConfirms!$I$2:$I$460,MATCH($A418,ExchangeConfirms!$A$2:$A$460,0)),"")</f>
        <v/>
      </c>
      <c r="Q418">
        <f>IF(AND($E418=1,$F418=0),"MISSING IN EXCHANGE",IF(AND($E418=0,$F418=1),"MISSING IN INTERNAL",IF($G418&lt;&gt;$H418,"SIDE BREAK",IF($I418&lt;&gt;$J418,"QTY BREAK",IF(ABS($K418-$L418)&gt;0.005,"PRICE BREAK",IF(ABS($M418-$N418)&gt;0.01,"FEE BREAK","MATCHED"))))))</f>
        <v/>
      </c>
      <c r="R418">
        <f>IF($Q418="MATCHED",0,1)</f>
        <v/>
      </c>
      <c r="S418">
        <f>IF($Q418="MATCHED",0,IF($Q418="MISSING IN EXCHANGE",$O418,IF($Q418="MISSING IN INTERNAL",$P418,ABS(N($O418)-N($P418)))))</f>
        <v/>
      </c>
    </row>
    <row r="419">
      <c r="A419" t="inlineStr">
        <is>
          <t>T100418</t>
        </is>
      </c>
      <c r="B419">
        <f>IFERROR(INDEX(InternalTrades!$D$2:$D$461,MATCH($A419,InternalTrades!$A$2:$A$461,0)),INDEX(ExchangeConfirms!$D$2:$D$460,MATCH($A419,ExchangeConfirms!$A$2:$A$460,0)))</f>
        <v/>
      </c>
      <c r="C419">
        <f>IFERROR(INDEX(InternalTrades!$E$2:$E$461,MATCH($A419,InternalTrades!$A$2:$A$461,0)),INDEX(ExchangeConfirms!$E$2:$E$460,MATCH($A419,ExchangeConfirms!$A$2:$A$460,0)))</f>
        <v/>
      </c>
      <c r="D419">
        <f>IFERROR(INDEX(InternalTrades!$K$2:$K$461,MATCH($A419,InternalTrades!$A$2:$A$461,0)),INDEX(ExchangeConfirms!$K$2:$K$460,MATCH($A419,ExchangeConfirms!$A$2:$A$460,0)))</f>
        <v/>
      </c>
      <c r="E419">
        <f>IF(COUNTIF(InternalTrades!$A$2:$A$461,$A419)&gt;0,1,0)</f>
        <v/>
      </c>
      <c r="F419">
        <f>IF(COUNTIF(ExchangeConfirms!$A$2:$A$460,$A419)&gt;0,1,0)</f>
        <v/>
      </c>
      <c r="G419">
        <f>IFERROR(INDEX(InternalTrades!$F$2:$F$461,MATCH($A419,InternalTrades!$A$2:$A$461,0)),"")</f>
        <v/>
      </c>
      <c r="H419">
        <f>IFERROR(INDEX(ExchangeConfirms!$F$2:$F$460,MATCH($A419,ExchangeConfirms!$A$2:$A$460,0)),"")</f>
        <v/>
      </c>
      <c r="I419">
        <f>IFERROR(INDEX(InternalTrades!$G$2:$G$461,MATCH($A419,InternalTrades!$A$2:$A$461,0)),"")</f>
        <v/>
      </c>
      <c r="J419">
        <f>IFERROR(INDEX(ExchangeConfirms!$G$2:$G$460,MATCH($A419,ExchangeConfirms!$A$2:$A$460,0)),"")</f>
        <v/>
      </c>
      <c r="K419">
        <f>IFERROR(INDEX(InternalTrades!$H$2:$H$461,MATCH($A419,InternalTrades!$A$2:$A$461,0)),"")</f>
        <v/>
      </c>
      <c r="L419">
        <f>IFERROR(INDEX(ExchangeConfirms!$H$2:$H$460,MATCH($A419,ExchangeConfirms!$A$2:$A$460,0)),"")</f>
        <v/>
      </c>
      <c r="M419">
        <f>IFERROR(INDEX(InternalTrades!$J$2:$J$461,MATCH($A419,InternalTrades!$A$2:$A$461,0)),"")</f>
        <v/>
      </c>
      <c r="N419">
        <f>IFERROR(INDEX(ExchangeConfirms!$J$2:$J$460,MATCH($A419,ExchangeConfirms!$A$2:$A$460,0)),"")</f>
        <v/>
      </c>
      <c r="O419">
        <f>IFERROR(INDEX(InternalTrades!$I$2:$I$461,MATCH($A419,InternalTrades!$A$2:$A$461,0)),"")</f>
        <v/>
      </c>
      <c r="P419">
        <f>IFERROR(INDEX(ExchangeConfirms!$I$2:$I$460,MATCH($A419,ExchangeConfirms!$A$2:$A$460,0)),"")</f>
        <v/>
      </c>
      <c r="Q419">
        <f>IF(AND($E419=1,$F419=0),"MISSING IN EXCHANGE",IF(AND($E419=0,$F419=1),"MISSING IN INTERNAL",IF($G419&lt;&gt;$H419,"SIDE BREAK",IF($I419&lt;&gt;$J419,"QTY BREAK",IF(ABS($K419-$L419)&gt;0.005,"PRICE BREAK",IF(ABS($M419-$N419)&gt;0.01,"FEE BREAK","MATCHED"))))))</f>
        <v/>
      </c>
      <c r="R419">
        <f>IF($Q419="MATCHED",0,1)</f>
        <v/>
      </c>
      <c r="S419">
        <f>IF($Q419="MATCHED",0,IF($Q419="MISSING IN EXCHANGE",$O419,IF($Q419="MISSING IN INTERNAL",$P419,ABS(N($O419)-N($P419)))))</f>
        <v/>
      </c>
    </row>
    <row r="420">
      <c r="A420" t="inlineStr">
        <is>
          <t>T100419</t>
        </is>
      </c>
      <c r="B420">
        <f>IFERROR(INDEX(InternalTrades!$D$2:$D$461,MATCH($A420,InternalTrades!$A$2:$A$461,0)),INDEX(ExchangeConfirms!$D$2:$D$460,MATCH($A420,ExchangeConfirms!$A$2:$A$460,0)))</f>
        <v/>
      </c>
      <c r="C420">
        <f>IFERROR(INDEX(InternalTrades!$E$2:$E$461,MATCH($A420,InternalTrades!$A$2:$A$461,0)),INDEX(ExchangeConfirms!$E$2:$E$460,MATCH($A420,ExchangeConfirms!$A$2:$A$460,0)))</f>
        <v/>
      </c>
      <c r="D420">
        <f>IFERROR(INDEX(InternalTrades!$K$2:$K$461,MATCH($A420,InternalTrades!$A$2:$A$461,0)),INDEX(ExchangeConfirms!$K$2:$K$460,MATCH($A420,ExchangeConfirms!$A$2:$A$460,0)))</f>
        <v/>
      </c>
      <c r="E420">
        <f>IF(COUNTIF(InternalTrades!$A$2:$A$461,$A420)&gt;0,1,0)</f>
        <v/>
      </c>
      <c r="F420">
        <f>IF(COUNTIF(ExchangeConfirms!$A$2:$A$460,$A420)&gt;0,1,0)</f>
        <v/>
      </c>
      <c r="G420">
        <f>IFERROR(INDEX(InternalTrades!$F$2:$F$461,MATCH($A420,InternalTrades!$A$2:$A$461,0)),"")</f>
        <v/>
      </c>
      <c r="H420">
        <f>IFERROR(INDEX(ExchangeConfirms!$F$2:$F$460,MATCH($A420,ExchangeConfirms!$A$2:$A$460,0)),"")</f>
        <v/>
      </c>
      <c r="I420">
        <f>IFERROR(INDEX(InternalTrades!$G$2:$G$461,MATCH($A420,InternalTrades!$A$2:$A$461,0)),"")</f>
        <v/>
      </c>
      <c r="J420">
        <f>IFERROR(INDEX(ExchangeConfirms!$G$2:$G$460,MATCH($A420,ExchangeConfirms!$A$2:$A$460,0)),"")</f>
        <v/>
      </c>
      <c r="K420">
        <f>IFERROR(INDEX(InternalTrades!$H$2:$H$461,MATCH($A420,InternalTrades!$A$2:$A$461,0)),"")</f>
        <v/>
      </c>
      <c r="L420">
        <f>IFERROR(INDEX(ExchangeConfirms!$H$2:$H$460,MATCH($A420,ExchangeConfirms!$A$2:$A$460,0)),"")</f>
        <v/>
      </c>
      <c r="M420">
        <f>IFERROR(INDEX(InternalTrades!$J$2:$J$461,MATCH($A420,InternalTrades!$A$2:$A$461,0)),"")</f>
        <v/>
      </c>
      <c r="N420">
        <f>IFERROR(INDEX(ExchangeConfirms!$J$2:$J$460,MATCH($A420,ExchangeConfirms!$A$2:$A$460,0)),"")</f>
        <v/>
      </c>
      <c r="O420">
        <f>IFERROR(INDEX(InternalTrades!$I$2:$I$461,MATCH($A420,InternalTrades!$A$2:$A$461,0)),"")</f>
        <v/>
      </c>
      <c r="P420">
        <f>IFERROR(INDEX(ExchangeConfirms!$I$2:$I$460,MATCH($A420,ExchangeConfirms!$A$2:$A$460,0)),"")</f>
        <v/>
      </c>
      <c r="Q420">
        <f>IF(AND($E420=1,$F420=0),"MISSING IN EXCHANGE",IF(AND($E420=0,$F420=1),"MISSING IN INTERNAL",IF($G420&lt;&gt;$H420,"SIDE BREAK",IF($I420&lt;&gt;$J420,"QTY BREAK",IF(ABS($K420-$L420)&gt;0.005,"PRICE BREAK",IF(ABS($M420-$N420)&gt;0.01,"FEE BREAK","MATCHED"))))))</f>
        <v/>
      </c>
      <c r="R420">
        <f>IF($Q420="MATCHED",0,1)</f>
        <v/>
      </c>
      <c r="S420">
        <f>IF($Q420="MATCHED",0,IF($Q420="MISSING IN EXCHANGE",$O420,IF($Q420="MISSING IN INTERNAL",$P420,ABS(N($O420)-N($P420)))))</f>
        <v/>
      </c>
    </row>
    <row r="421">
      <c r="A421" t="inlineStr">
        <is>
          <t>T100420</t>
        </is>
      </c>
      <c r="B421">
        <f>IFERROR(INDEX(InternalTrades!$D$2:$D$461,MATCH($A421,InternalTrades!$A$2:$A$461,0)),INDEX(ExchangeConfirms!$D$2:$D$460,MATCH($A421,ExchangeConfirms!$A$2:$A$460,0)))</f>
        <v/>
      </c>
      <c r="C421">
        <f>IFERROR(INDEX(InternalTrades!$E$2:$E$461,MATCH($A421,InternalTrades!$A$2:$A$461,0)),INDEX(ExchangeConfirms!$E$2:$E$460,MATCH($A421,ExchangeConfirms!$A$2:$A$460,0)))</f>
        <v/>
      </c>
      <c r="D421">
        <f>IFERROR(INDEX(InternalTrades!$K$2:$K$461,MATCH($A421,InternalTrades!$A$2:$A$461,0)),INDEX(ExchangeConfirms!$K$2:$K$460,MATCH($A421,ExchangeConfirms!$A$2:$A$460,0)))</f>
        <v/>
      </c>
      <c r="E421">
        <f>IF(COUNTIF(InternalTrades!$A$2:$A$461,$A421)&gt;0,1,0)</f>
        <v/>
      </c>
      <c r="F421">
        <f>IF(COUNTIF(ExchangeConfirms!$A$2:$A$460,$A421)&gt;0,1,0)</f>
        <v/>
      </c>
      <c r="G421">
        <f>IFERROR(INDEX(InternalTrades!$F$2:$F$461,MATCH($A421,InternalTrades!$A$2:$A$461,0)),"")</f>
        <v/>
      </c>
      <c r="H421">
        <f>IFERROR(INDEX(ExchangeConfirms!$F$2:$F$460,MATCH($A421,ExchangeConfirms!$A$2:$A$460,0)),"")</f>
        <v/>
      </c>
      <c r="I421">
        <f>IFERROR(INDEX(InternalTrades!$G$2:$G$461,MATCH($A421,InternalTrades!$A$2:$A$461,0)),"")</f>
        <v/>
      </c>
      <c r="J421">
        <f>IFERROR(INDEX(ExchangeConfirms!$G$2:$G$460,MATCH($A421,ExchangeConfirms!$A$2:$A$460,0)),"")</f>
        <v/>
      </c>
      <c r="K421">
        <f>IFERROR(INDEX(InternalTrades!$H$2:$H$461,MATCH($A421,InternalTrades!$A$2:$A$461,0)),"")</f>
        <v/>
      </c>
      <c r="L421">
        <f>IFERROR(INDEX(ExchangeConfirms!$H$2:$H$460,MATCH($A421,ExchangeConfirms!$A$2:$A$460,0)),"")</f>
        <v/>
      </c>
      <c r="M421">
        <f>IFERROR(INDEX(InternalTrades!$J$2:$J$461,MATCH($A421,InternalTrades!$A$2:$A$461,0)),"")</f>
        <v/>
      </c>
      <c r="N421">
        <f>IFERROR(INDEX(ExchangeConfirms!$J$2:$J$460,MATCH($A421,ExchangeConfirms!$A$2:$A$460,0)),"")</f>
        <v/>
      </c>
      <c r="O421">
        <f>IFERROR(INDEX(InternalTrades!$I$2:$I$461,MATCH($A421,InternalTrades!$A$2:$A$461,0)),"")</f>
        <v/>
      </c>
      <c r="P421">
        <f>IFERROR(INDEX(ExchangeConfirms!$I$2:$I$460,MATCH($A421,ExchangeConfirms!$A$2:$A$460,0)),"")</f>
        <v/>
      </c>
      <c r="Q421">
        <f>IF(AND($E421=1,$F421=0),"MISSING IN EXCHANGE",IF(AND($E421=0,$F421=1),"MISSING IN INTERNAL",IF($G421&lt;&gt;$H421,"SIDE BREAK",IF($I421&lt;&gt;$J421,"QTY BREAK",IF(ABS($K421-$L421)&gt;0.005,"PRICE BREAK",IF(ABS($M421-$N421)&gt;0.01,"FEE BREAK","MATCHED"))))))</f>
        <v/>
      </c>
      <c r="R421">
        <f>IF($Q421="MATCHED",0,1)</f>
        <v/>
      </c>
      <c r="S421">
        <f>IF($Q421="MATCHED",0,IF($Q421="MISSING IN EXCHANGE",$O421,IF($Q421="MISSING IN INTERNAL",$P421,ABS(N($O421)-N($P421)))))</f>
        <v/>
      </c>
    </row>
    <row r="422">
      <c r="A422" t="inlineStr">
        <is>
          <t>T100421</t>
        </is>
      </c>
      <c r="B422">
        <f>IFERROR(INDEX(InternalTrades!$D$2:$D$461,MATCH($A422,InternalTrades!$A$2:$A$461,0)),INDEX(ExchangeConfirms!$D$2:$D$460,MATCH($A422,ExchangeConfirms!$A$2:$A$460,0)))</f>
        <v/>
      </c>
      <c r="C422">
        <f>IFERROR(INDEX(InternalTrades!$E$2:$E$461,MATCH($A422,InternalTrades!$A$2:$A$461,0)),INDEX(ExchangeConfirms!$E$2:$E$460,MATCH($A422,ExchangeConfirms!$A$2:$A$460,0)))</f>
        <v/>
      </c>
      <c r="D422">
        <f>IFERROR(INDEX(InternalTrades!$K$2:$K$461,MATCH($A422,InternalTrades!$A$2:$A$461,0)),INDEX(ExchangeConfirms!$K$2:$K$460,MATCH($A422,ExchangeConfirms!$A$2:$A$460,0)))</f>
        <v/>
      </c>
      <c r="E422">
        <f>IF(COUNTIF(InternalTrades!$A$2:$A$461,$A422)&gt;0,1,0)</f>
        <v/>
      </c>
      <c r="F422">
        <f>IF(COUNTIF(ExchangeConfirms!$A$2:$A$460,$A422)&gt;0,1,0)</f>
        <v/>
      </c>
      <c r="G422">
        <f>IFERROR(INDEX(InternalTrades!$F$2:$F$461,MATCH($A422,InternalTrades!$A$2:$A$461,0)),"")</f>
        <v/>
      </c>
      <c r="H422">
        <f>IFERROR(INDEX(ExchangeConfirms!$F$2:$F$460,MATCH($A422,ExchangeConfirms!$A$2:$A$460,0)),"")</f>
        <v/>
      </c>
      <c r="I422">
        <f>IFERROR(INDEX(InternalTrades!$G$2:$G$461,MATCH($A422,InternalTrades!$A$2:$A$461,0)),"")</f>
        <v/>
      </c>
      <c r="J422">
        <f>IFERROR(INDEX(ExchangeConfirms!$G$2:$G$460,MATCH($A422,ExchangeConfirms!$A$2:$A$460,0)),"")</f>
        <v/>
      </c>
      <c r="K422">
        <f>IFERROR(INDEX(InternalTrades!$H$2:$H$461,MATCH($A422,InternalTrades!$A$2:$A$461,0)),"")</f>
        <v/>
      </c>
      <c r="L422">
        <f>IFERROR(INDEX(ExchangeConfirms!$H$2:$H$460,MATCH($A422,ExchangeConfirms!$A$2:$A$460,0)),"")</f>
        <v/>
      </c>
      <c r="M422">
        <f>IFERROR(INDEX(InternalTrades!$J$2:$J$461,MATCH($A422,InternalTrades!$A$2:$A$461,0)),"")</f>
        <v/>
      </c>
      <c r="N422">
        <f>IFERROR(INDEX(ExchangeConfirms!$J$2:$J$460,MATCH($A422,ExchangeConfirms!$A$2:$A$460,0)),"")</f>
        <v/>
      </c>
      <c r="O422">
        <f>IFERROR(INDEX(InternalTrades!$I$2:$I$461,MATCH($A422,InternalTrades!$A$2:$A$461,0)),"")</f>
        <v/>
      </c>
      <c r="P422">
        <f>IFERROR(INDEX(ExchangeConfirms!$I$2:$I$460,MATCH($A422,ExchangeConfirms!$A$2:$A$460,0)),"")</f>
        <v/>
      </c>
      <c r="Q422">
        <f>IF(AND($E422=1,$F422=0),"MISSING IN EXCHANGE",IF(AND($E422=0,$F422=1),"MISSING IN INTERNAL",IF($G422&lt;&gt;$H422,"SIDE BREAK",IF($I422&lt;&gt;$J422,"QTY BREAK",IF(ABS($K422-$L422)&gt;0.005,"PRICE BREAK",IF(ABS($M422-$N422)&gt;0.01,"FEE BREAK","MATCHED"))))))</f>
        <v/>
      </c>
      <c r="R422">
        <f>IF($Q422="MATCHED",0,1)</f>
        <v/>
      </c>
      <c r="S422">
        <f>IF($Q422="MATCHED",0,IF($Q422="MISSING IN EXCHANGE",$O422,IF($Q422="MISSING IN INTERNAL",$P422,ABS(N($O422)-N($P422)))))</f>
        <v/>
      </c>
    </row>
    <row r="423">
      <c r="A423" t="inlineStr">
        <is>
          <t>T100422</t>
        </is>
      </c>
      <c r="B423">
        <f>IFERROR(INDEX(InternalTrades!$D$2:$D$461,MATCH($A423,InternalTrades!$A$2:$A$461,0)),INDEX(ExchangeConfirms!$D$2:$D$460,MATCH($A423,ExchangeConfirms!$A$2:$A$460,0)))</f>
        <v/>
      </c>
      <c r="C423">
        <f>IFERROR(INDEX(InternalTrades!$E$2:$E$461,MATCH($A423,InternalTrades!$A$2:$A$461,0)),INDEX(ExchangeConfirms!$E$2:$E$460,MATCH($A423,ExchangeConfirms!$A$2:$A$460,0)))</f>
        <v/>
      </c>
      <c r="D423">
        <f>IFERROR(INDEX(InternalTrades!$K$2:$K$461,MATCH($A423,InternalTrades!$A$2:$A$461,0)),INDEX(ExchangeConfirms!$K$2:$K$460,MATCH($A423,ExchangeConfirms!$A$2:$A$460,0)))</f>
        <v/>
      </c>
      <c r="E423">
        <f>IF(COUNTIF(InternalTrades!$A$2:$A$461,$A423)&gt;0,1,0)</f>
        <v/>
      </c>
      <c r="F423">
        <f>IF(COUNTIF(ExchangeConfirms!$A$2:$A$460,$A423)&gt;0,1,0)</f>
        <v/>
      </c>
      <c r="G423">
        <f>IFERROR(INDEX(InternalTrades!$F$2:$F$461,MATCH($A423,InternalTrades!$A$2:$A$461,0)),"")</f>
        <v/>
      </c>
      <c r="H423">
        <f>IFERROR(INDEX(ExchangeConfirms!$F$2:$F$460,MATCH($A423,ExchangeConfirms!$A$2:$A$460,0)),"")</f>
        <v/>
      </c>
      <c r="I423">
        <f>IFERROR(INDEX(InternalTrades!$G$2:$G$461,MATCH($A423,InternalTrades!$A$2:$A$461,0)),"")</f>
        <v/>
      </c>
      <c r="J423">
        <f>IFERROR(INDEX(ExchangeConfirms!$G$2:$G$460,MATCH($A423,ExchangeConfirms!$A$2:$A$460,0)),"")</f>
        <v/>
      </c>
      <c r="K423">
        <f>IFERROR(INDEX(InternalTrades!$H$2:$H$461,MATCH($A423,InternalTrades!$A$2:$A$461,0)),"")</f>
        <v/>
      </c>
      <c r="L423">
        <f>IFERROR(INDEX(ExchangeConfirms!$H$2:$H$460,MATCH($A423,ExchangeConfirms!$A$2:$A$460,0)),"")</f>
        <v/>
      </c>
      <c r="M423">
        <f>IFERROR(INDEX(InternalTrades!$J$2:$J$461,MATCH($A423,InternalTrades!$A$2:$A$461,0)),"")</f>
        <v/>
      </c>
      <c r="N423">
        <f>IFERROR(INDEX(ExchangeConfirms!$J$2:$J$460,MATCH($A423,ExchangeConfirms!$A$2:$A$460,0)),"")</f>
        <v/>
      </c>
      <c r="O423">
        <f>IFERROR(INDEX(InternalTrades!$I$2:$I$461,MATCH($A423,InternalTrades!$A$2:$A$461,0)),"")</f>
        <v/>
      </c>
      <c r="P423">
        <f>IFERROR(INDEX(ExchangeConfirms!$I$2:$I$460,MATCH($A423,ExchangeConfirms!$A$2:$A$460,0)),"")</f>
        <v/>
      </c>
      <c r="Q423">
        <f>IF(AND($E423=1,$F423=0),"MISSING IN EXCHANGE",IF(AND($E423=0,$F423=1),"MISSING IN INTERNAL",IF($G423&lt;&gt;$H423,"SIDE BREAK",IF($I423&lt;&gt;$J423,"QTY BREAK",IF(ABS($K423-$L423)&gt;0.005,"PRICE BREAK",IF(ABS($M423-$N423)&gt;0.01,"FEE BREAK","MATCHED"))))))</f>
        <v/>
      </c>
      <c r="R423">
        <f>IF($Q423="MATCHED",0,1)</f>
        <v/>
      </c>
      <c r="S423">
        <f>IF($Q423="MATCHED",0,IF($Q423="MISSING IN EXCHANGE",$O423,IF($Q423="MISSING IN INTERNAL",$P423,ABS(N($O423)-N($P423)))))</f>
        <v/>
      </c>
    </row>
    <row r="424">
      <c r="A424" t="inlineStr">
        <is>
          <t>T100423</t>
        </is>
      </c>
      <c r="B424">
        <f>IFERROR(INDEX(InternalTrades!$D$2:$D$461,MATCH($A424,InternalTrades!$A$2:$A$461,0)),INDEX(ExchangeConfirms!$D$2:$D$460,MATCH($A424,ExchangeConfirms!$A$2:$A$460,0)))</f>
        <v/>
      </c>
      <c r="C424">
        <f>IFERROR(INDEX(InternalTrades!$E$2:$E$461,MATCH($A424,InternalTrades!$A$2:$A$461,0)),INDEX(ExchangeConfirms!$E$2:$E$460,MATCH($A424,ExchangeConfirms!$A$2:$A$460,0)))</f>
        <v/>
      </c>
      <c r="D424">
        <f>IFERROR(INDEX(InternalTrades!$K$2:$K$461,MATCH($A424,InternalTrades!$A$2:$A$461,0)),INDEX(ExchangeConfirms!$K$2:$K$460,MATCH($A424,ExchangeConfirms!$A$2:$A$460,0)))</f>
        <v/>
      </c>
      <c r="E424">
        <f>IF(COUNTIF(InternalTrades!$A$2:$A$461,$A424)&gt;0,1,0)</f>
        <v/>
      </c>
      <c r="F424">
        <f>IF(COUNTIF(ExchangeConfirms!$A$2:$A$460,$A424)&gt;0,1,0)</f>
        <v/>
      </c>
      <c r="G424">
        <f>IFERROR(INDEX(InternalTrades!$F$2:$F$461,MATCH($A424,InternalTrades!$A$2:$A$461,0)),"")</f>
        <v/>
      </c>
      <c r="H424">
        <f>IFERROR(INDEX(ExchangeConfirms!$F$2:$F$460,MATCH($A424,ExchangeConfirms!$A$2:$A$460,0)),"")</f>
        <v/>
      </c>
      <c r="I424">
        <f>IFERROR(INDEX(InternalTrades!$G$2:$G$461,MATCH($A424,InternalTrades!$A$2:$A$461,0)),"")</f>
        <v/>
      </c>
      <c r="J424">
        <f>IFERROR(INDEX(ExchangeConfirms!$G$2:$G$460,MATCH($A424,ExchangeConfirms!$A$2:$A$460,0)),"")</f>
        <v/>
      </c>
      <c r="K424">
        <f>IFERROR(INDEX(InternalTrades!$H$2:$H$461,MATCH($A424,InternalTrades!$A$2:$A$461,0)),"")</f>
        <v/>
      </c>
      <c r="L424">
        <f>IFERROR(INDEX(ExchangeConfirms!$H$2:$H$460,MATCH($A424,ExchangeConfirms!$A$2:$A$460,0)),"")</f>
        <v/>
      </c>
      <c r="M424">
        <f>IFERROR(INDEX(InternalTrades!$J$2:$J$461,MATCH($A424,InternalTrades!$A$2:$A$461,0)),"")</f>
        <v/>
      </c>
      <c r="N424">
        <f>IFERROR(INDEX(ExchangeConfirms!$J$2:$J$460,MATCH($A424,ExchangeConfirms!$A$2:$A$460,0)),"")</f>
        <v/>
      </c>
      <c r="O424">
        <f>IFERROR(INDEX(InternalTrades!$I$2:$I$461,MATCH($A424,InternalTrades!$A$2:$A$461,0)),"")</f>
        <v/>
      </c>
      <c r="P424">
        <f>IFERROR(INDEX(ExchangeConfirms!$I$2:$I$460,MATCH($A424,ExchangeConfirms!$A$2:$A$460,0)),"")</f>
        <v/>
      </c>
      <c r="Q424">
        <f>IF(AND($E424=1,$F424=0),"MISSING IN EXCHANGE",IF(AND($E424=0,$F424=1),"MISSING IN INTERNAL",IF($G424&lt;&gt;$H424,"SIDE BREAK",IF($I424&lt;&gt;$J424,"QTY BREAK",IF(ABS($K424-$L424)&gt;0.005,"PRICE BREAK",IF(ABS($M424-$N424)&gt;0.01,"FEE BREAK","MATCHED"))))))</f>
        <v/>
      </c>
      <c r="R424">
        <f>IF($Q424="MATCHED",0,1)</f>
        <v/>
      </c>
      <c r="S424">
        <f>IF($Q424="MATCHED",0,IF($Q424="MISSING IN EXCHANGE",$O424,IF($Q424="MISSING IN INTERNAL",$P424,ABS(N($O424)-N($P424)))))</f>
        <v/>
      </c>
    </row>
    <row r="425">
      <c r="A425" t="inlineStr">
        <is>
          <t>T100424</t>
        </is>
      </c>
      <c r="B425">
        <f>IFERROR(INDEX(InternalTrades!$D$2:$D$461,MATCH($A425,InternalTrades!$A$2:$A$461,0)),INDEX(ExchangeConfirms!$D$2:$D$460,MATCH($A425,ExchangeConfirms!$A$2:$A$460,0)))</f>
        <v/>
      </c>
      <c r="C425">
        <f>IFERROR(INDEX(InternalTrades!$E$2:$E$461,MATCH($A425,InternalTrades!$A$2:$A$461,0)),INDEX(ExchangeConfirms!$E$2:$E$460,MATCH($A425,ExchangeConfirms!$A$2:$A$460,0)))</f>
        <v/>
      </c>
      <c r="D425">
        <f>IFERROR(INDEX(InternalTrades!$K$2:$K$461,MATCH($A425,InternalTrades!$A$2:$A$461,0)),INDEX(ExchangeConfirms!$K$2:$K$460,MATCH($A425,ExchangeConfirms!$A$2:$A$460,0)))</f>
        <v/>
      </c>
      <c r="E425">
        <f>IF(COUNTIF(InternalTrades!$A$2:$A$461,$A425)&gt;0,1,0)</f>
        <v/>
      </c>
      <c r="F425">
        <f>IF(COUNTIF(ExchangeConfirms!$A$2:$A$460,$A425)&gt;0,1,0)</f>
        <v/>
      </c>
      <c r="G425">
        <f>IFERROR(INDEX(InternalTrades!$F$2:$F$461,MATCH($A425,InternalTrades!$A$2:$A$461,0)),"")</f>
        <v/>
      </c>
      <c r="H425">
        <f>IFERROR(INDEX(ExchangeConfirms!$F$2:$F$460,MATCH($A425,ExchangeConfirms!$A$2:$A$460,0)),"")</f>
        <v/>
      </c>
      <c r="I425">
        <f>IFERROR(INDEX(InternalTrades!$G$2:$G$461,MATCH($A425,InternalTrades!$A$2:$A$461,0)),"")</f>
        <v/>
      </c>
      <c r="J425">
        <f>IFERROR(INDEX(ExchangeConfirms!$G$2:$G$460,MATCH($A425,ExchangeConfirms!$A$2:$A$460,0)),"")</f>
        <v/>
      </c>
      <c r="K425">
        <f>IFERROR(INDEX(InternalTrades!$H$2:$H$461,MATCH($A425,InternalTrades!$A$2:$A$461,0)),"")</f>
        <v/>
      </c>
      <c r="L425">
        <f>IFERROR(INDEX(ExchangeConfirms!$H$2:$H$460,MATCH($A425,ExchangeConfirms!$A$2:$A$460,0)),"")</f>
        <v/>
      </c>
      <c r="M425">
        <f>IFERROR(INDEX(InternalTrades!$J$2:$J$461,MATCH($A425,InternalTrades!$A$2:$A$461,0)),"")</f>
        <v/>
      </c>
      <c r="N425">
        <f>IFERROR(INDEX(ExchangeConfirms!$J$2:$J$460,MATCH($A425,ExchangeConfirms!$A$2:$A$460,0)),"")</f>
        <v/>
      </c>
      <c r="O425">
        <f>IFERROR(INDEX(InternalTrades!$I$2:$I$461,MATCH($A425,InternalTrades!$A$2:$A$461,0)),"")</f>
        <v/>
      </c>
      <c r="P425">
        <f>IFERROR(INDEX(ExchangeConfirms!$I$2:$I$460,MATCH($A425,ExchangeConfirms!$A$2:$A$460,0)),"")</f>
        <v/>
      </c>
      <c r="Q425">
        <f>IF(AND($E425=1,$F425=0),"MISSING IN EXCHANGE",IF(AND($E425=0,$F425=1),"MISSING IN INTERNAL",IF($G425&lt;&gt;$H425,"SIDE BREAK",IF($I425&lt;&gt;$J425,"QTY BREAK",IF(ABS($K425-$L425)&gt;0.005,"PRICE BREAK",IF(ABS($M425-$N425)&gt;0.01,"FEE BREAK","MATCHED"))))))</f>
        <v/>
      </c>
      <c r="R425">
        <f>IF($Q425="MATCHED",0,1)</f>
        <v/>
      </c>
      <c r="S425">
        <f>IF($Q425="MATCHED",0,IF($Q425="MISSING IN EXCHANGE",$O425,IF($Q425="MISSING IN INTERNAL",$P425,ABS(N($O425)-N($P425)))))</f>
        <v/>
      </c>
    </row>
    <row r="426">
      <c r="A426" t="inlineStr">
        <is>
          <t>T100425</t>
        </is>
      </c>
      <c r="B426">
        <f>IFERROR(INDEX(InternalTrades!$D$2:$D$461,MATCH($A426,InternalTrades!$A$2:$A$461,0)),INDEX(ExchangeConfirms!$D$2:$D$460,MATCH($A426,ExchangeConfirms!$A$2:$A$460,0)))</f>
        <v/>
      </c>
      <c r="C426">
        <f>IFERROR(INDEX(InternalTrades!$E$2:$E$461,MATCH($A426,InternalTrades!$A$2:$A$461,0)),INDEX(ExchangeConfirms!$E$2:$E$460,MATCH($A426,ExchangeConfirms!$A$2:$A$460,0)))</f>
        <v/>
      </c>
      <c r="D426">
        <f>IFERROR(INDEX(InternalTrades!$K$2:$K$461,MATCH($A426,InternalTrades!$A$2:$A$461,0)),INDEX(ExchangeConfirms!$K$2:$K$460,MATCH($A426,ExchangeConfirms!$A$2:$A$460,0)))</f>
        <v/>
      </c>
      <c r="E426">
        <f>IF(COUNTIF(InternalTrades!$A$2:$A$461,$A426)&gt;0,1,0)</f>
        <v/>
      </c>
      <c r="F426">
        <f>IF(COUNTIF(ExchangeConfirms!$A$2:$A$460,$A426)&gt;0,1,0)</f>
        <v/>
      </c>
      <c r="G426">
        <f>IFERROR(INDEX(InternalTrades!$F$2:$F$461,MATCH($A426,InternalTrades!$A$2:$A$461,0)),"")</f>
        <v/>
      </c>
      <c r="H426">
        <f>IFERROR(INDEX(ExchangeConfirms!$F$2:$F$460,MATCH($A426,ExchangeConfirms!$A$2:$A$460,0)),"")</f>
        <v/>
      </c>
      <c r="I426">
        <f>IFERROR(INDEX(InternalTrades!$G$2:$G$461,MATCH($A426,InternalTrades!$A$2:$A$461,0)),"")</f>
        <v/>
      </c>
      <c r="J426">
        <f>IFERROR(INDEX(ExchangeConfirms!$G$2:$G$460,MATCH($A426,ExchangeConfirms!$A$2:$A$460,0)),"")</f>
        <v/>
      </c>
      <c r="K426">
        <f>IFERROR(INDEX(InternalTrades!$H$2:$H$461,MATCH($A426,InternalTrades!$A$2:$A$461,0)),"")</f>
        <v/>
      </c>
      <c r="L426">
        <f>IFERROR(INDEX(ExchangeConfirms!$H$2:$H$460,MATCH($A426,ExchangeConfirms!$A$2:$A$460,0)),"")</f>
        <v/>
      </c>
      <c r="M426">
        <f>IFERROR(INDEX(InternalTrades!$J$2:$J$461,MATCH($A426,InternalTrades!$A$2:$A$461,0)),"")</f>
        <v/>
      </c>
      <c r="N426">
        <f>IFERROR(INDEX(ExchangeConfirms!$J$2:$J$460,MATCH($A426,ExchangeConfirms!$A$2:$A$460,0)),"")</f>
        <v/>
      </c>
      <c r="O426">
        <f>IFERROR(INDEX(InternalTrades!$I$2:$I$461,MATCH($A426,InternalTrades!$A$2:$A$461,0)),"")</f>
        <v/>
      </c>
      <c r="P426">
        <f>IFERROR(INDEX(ExchangeConfirms!$I$2:$I$460,MATCH($A426,ExchangeConfirms!$A$2:$A$460,0)),"")</f>
        <v/>
      </c>
      <c r="Q426">
        <f>IF(AND($E426=1,$F426=0),"MISSING IN EXCHANGE",IF(AND($E426=0,$F426=1),"MISSING IN INTERNAL",IF($G426&lt;&gt;$H426,"SIDE BREAK",IF($I426&lt;&gt;$J426,"QTY BREAK",IF(ABS($K426-$L426)&gt;0.005,"PRICE BREAK",IF(ABS($M426-$N426)&gt;0.01,"FEE BREAK","MATCHED"))))))</f>
        <v/>
      </c>
      <c r="R426">
        <f>IF($Q426="MATCHED",0,1)</f>
        <v/>
      </c>
      <c r="S426">
        <f>IF($Q426="MATCHED",0,IF($Q426="MISSING IN EXCHANGE",$O426,IF($Q426="MISSING IN INTERNAL",$P426,ABS(N($O426)-N($P426)))))</f>
        <v/>
      </c>
    </row>
    <row r="427">
      <c r="A427" t="inlineStr">
        <is>
          <t>T100426</t>
        </is>
      </c>
      <c r="B427">
        <f>IFERROR(INDEX(InternalTrades!$D$2:$D$461,MATCH($A427,InternalTrades!$A$2:$A$461,0)),INDEX(ExchangeConfirms!$D$2:$D$460,MATCH($A427,ExchangeConfirms!$A$2:$A$460,0)))</f>
        <v/>
      </c>
      <c r="C427">
        <f>IFERROR(INDEX(InternalTrades!$E$2:$E$461,MATCH($A427,InternalTrades!$A$2:$A$461,0)),INDEX(ExchangeConfirms!$E$2:$E$460,MATCH($A427,ExchangeConfirms!$A$2:$A$460,0)))</f>
        <v/>
      </c>
      <c r="D427">
        <f>IFERROR(INDEX(InternalTrades!$K$2:$K$461,MATCH($A427,InternalTrades!$A$2:$A$461,0)),INDEX(ExchangeConfirms!$K$2:$K$460,MATCH($A427,ExchangeConfirms!$A$2:$A$460,0)))</f>
        <v/>
      </c>
      <c r="E427">
        <f>IF(COUNTIF(InternalTrades!$A$2:$A$461,$A427)&gt;0,1,0)</f>
        <v/>
      </c>
      <c r="F427">
        <f>IF(COUNTIF(ExchangeConfirms!$A$2:$A$460,$A427)&gt;0,1,0)</f>
        <v/>
      </c>
      <c r="G427">
        <f>IFERROR(INDEX(InternalTrades!$F$2:$F$461,MATCH($A427,InternalTrades!$A$2:$A$461,0)),"")</f>
        <v/>
      </c>
      <c r="H427">
        <f>IFERROR(INDEX(ExchangeConfirms!$F$2:$F$460,MATCH($A427,ExchangeConfirms!$A$2:$A$460,0)),"")</f>
        <v/>
      </c>
      <c r="I427">
        <f>IFERROR(INDEX(InternalTrades!$G$2:$G$461,MATCH($A427,InternalTrades!$A$2:$A$461,0)),"")</f>
        <v/>
      </c>
      <c r="J427">
        <f>IFERROR(INDEX(ExchangeConfirms!$G$2:$G$460,MATCH($A427,ExchangeConfirms!$A$2:$A$460,0)),"")</f>
        <v/>
      </c>
      <c r="K427">
        <f>IFERROR(INDEX(InternalTrades!$H$2:$H$461,MATCH($A427,InternalTrades!$A$2:$A$461,0)),"")</f>
        <v/>
      </c>
      <c r="L427">
        <f>IFERROR(INDEX(ExchangeConfirms!$H$2:$H$460,MATCH($A427,ExchangeConfirms!$A$2:$A$460,0)),"")</f>
        <v/>
      </c>
      <c r="M427">
        <f>IFERROR(INDEX(InternalTrades!$J$2:$J$461,MATCH($A427,InternalTrades!$A$2:$A$461,0)),"")</f>
        <v/>
      </c>
      <c r="N427">
        <f>IFERROR(INDEX(ExchangeConfirms!$J$2:$J$460,MATCH($A427,ExchangeConfirms!$A$2:$A$460,0)),"")</f>
        <v/>
      </c>
      <c r="O427">
        <f>IFERROR(INDEX(InternalTrades!$I$2:$I$461,MATCH($A427,InternalTrades!$A$2:$A$461,0)),"")</f>
        <v/>
      </c>
      <c r="P427">
        <f>IFERROR(INDEX(ExchangeConfirms!$I$2:$I$460,MATCH($A427,ExchangeConfirms!$A$2:$A$460,0)),"")</f>
        <v/>
      </c>
      <c r="Q427">
        <f>IF(AND($E427=1,$F427=0),"MISSING IN EXCHANGE",IF(AND($E427=0,$F427=1),"MISSING IN INTERNAL",IF($G427&lt;&gt;$H427,"SIDE BREAK",IF($I427&lt;&gt;$J427,"QTY BREAK",IF(ABS($K427-$L427)&gt;0.005,"PRICE BREAK",IF(ABS($M427-$N427)&gt;0.01,"FEE BREAK","MATCHED"))))))</f>
        <v/>
      </c>
      <c r="R427">
        <f>IF($Q427="MATCHED",0,1)</f>
        <v/>
      </c>
      <c r="S427">
        <f>IF($Q427="MATCHED",0,IF($Q427="MISSING IN EXCHANGE",$O427,IF($Q427="MISSING IN INTERNAL",$P427,ABS(N($O427)-N($P427)))))</f>
        <v/>
      </c>
    </row>
    <row r="428">
      <c r="A428" t="inlineStr">
        <is>
          <t>T100427</t>
        </is>
      </c>
      <c r="B428">
        <f>IFERROR(INDEX(InternalTrades!$D$2:$D$461,MATCH($A428,InternalTrades!$A$2:$A$461,0)),INDEX(ExchangeConfirms!$D$2:$D$460,MATCH($A428,ExchangeConfirms!$A$2:$A$460,0)))</f>
        <v/>
      </c>
      <c r="C428">
        <f>IFERROR(INDEX(InternalTrades!$E$2:$E$461,MATCH($A428,InternalTrades!$A$2:$A$461,0)),INDEX(ExchangeConfirms!$E$2:$E$460,MATCH($A428,ExchangeConfirms!$A$2:$A$460,0)))</f>
        <v/>
      </c>
      <c r="D428">
        <f>IFERROR(INDEX(InternalTrades!$K$2:$K$461,MATCH($A428,InternalTrades!$A$2:$A$461,0)),INDEX(ExchangeConfirms!$K$2:$K$460,MATCH($A428,ExchangeConfirms!$A$2:$A$460,0)))</f>
        <v/>
      </c>
      <c r="E428">
        <f>IF(COUNTIF(InternalTrades!$A$2:$A$461,$A428)&gt;0,1,0)</f>
        <v/>
      </c>
      <c r="F428">
        <f>IF(COUNTIF(ExchangeConfirms!$A$2:$A$460,$A428)&gt;0,1,0)</f>
        <v/>
      </c>
      <c r="G428">
        <f>IFERROR(INDEX(InternalTrades!$F$2:$F$461,MATCH($A428,InternalTrades!$A$2:$A$461,0)),"")</f>
        <v/>
      </c>
      <c r="H428">
        <f>IFERROR(INDEX(ExchangeConfirms!$F$2:$F$460,MATCH($A428,ExchangeConfirms!$A$2:$A$460,0)),"")</f>
        <v/>
      </c>
      <c r="I428">
        <f>IFERROR(INDEX(InternalTrades!$G$2:$G$461,MATCH($A428,InternalTrades!$A$2:$A$461,0)),"")</f>
        <v/>
      </c>
      <c r="J428">
        <f>IFERROR(INDEX(ExchangeConfirms!$G$2:$G$460,MATCH($A428,ExchangeConfirms!$A$2:$A$460,0)),"")</f>
        <v/>
      </c>
      <c r="K428">
        <f>IFERROR(INDEX(InternalTrades!$H$2:$H$461,MATCH($A428,InternalTrades!$A$2:$A$461,0)),"")</f>
        <v/>
      </c>
      <c r="L428">
        <f>IFERROR(INDEX(ExchangeConfirms!$H$2:$H$460,MATCH($A428,ExchangeConfirms!$A$2:$A$460,0)),"")</f>
        <v/>
      </c>
      <c r="M428">
        <f>IFERROR(INDEX(InternalTrades!$J$2:$J$461,MATCH($A428,InternalTrades!$A$2:$A$461,0)),"")</f>
        <v/>
      </c>
      <c r="N428">
        <f>IFERROR(INDEX(ExchangeConfirms!$J$2:$J$460,MATCH($A428,ExchangeConfirms!$A$2:$A$460,0)),"")</f>
        <v/>
      </c>
      <c r="O428">
        <f>IFERROR(INDEX(InternalTrades!$I$2:$I$461,MATCH($A428,InternalTrades!$A$2:$A$461,0)),"")</f>
        <v/>
      </c>
      <c r="P428">
        <f>IFERROR(INDEX(ExchangeConfirms!$I$2:$I$460,MATCH($A428,ExchangeConfirms!$A$2:$A$460,0)),"")</f>
        <v/>
      </c>
      <c r="Q428">
        <f>IF(AND($E428=1,$F428=0),"MISSING IN EXCHANGE",IF(AND($E428=0,$F428=1),"MISSING IN INTERNAL",IF($G428&lt;&gt;$H428,"SIDE BREAK",IF($I428&lt;&gt;$J428,"QTY BREAK",IF(ABS($K428-$L428)&gt;0.005,"PRICE BREAK",IF(ABS($M428-$N428)&gt;0.01,"FEE BREAK","MATCHED"))))))</f>
        <v/>
      </c>
      <c r="R428">
        <f>IF($Q428="MATCHED",0,1)</f>
        <v/>
      </c>
      <c r="S428">
        <f>IF($Q428="MATCHED",0,IF($Q428="MISSING IN EXCHANGE",$O428,IF($Q428="MISSING IN INTERNAL",$P428,ABS(N($O428)-N($P428)))))</f>
        <v/>
      </c>
    </row>
    <row r="429">
      <c r="A429" t="inlineStr">
        <is>
          <t>T100428</t>
        </is>
      </c>
      <c r="B429">
        <f>IFERROR(INDEX(InternalTrades!$D$2:$D$461,MATCH($A429,InternalTrades!$A$2:$A$461,0)),INDEX(ExchangeConfirms!$D$2:$D$460,MATCH($A429,ExchangeConfirms!$A$2:$A$460,0)))</f>
        <v/>
      </c>
      <c r="C429">
        <f>IFERROR(INDEX(InternalTrades!$E$2:$E$461,MATCH($A429,InternalTrades!$A$2:$A$461,0)),INDEX(ExchangeConfirms!$E$2:$E$460,MATCH($A429,ExchangeConfirms!$A$2:$A$460,0)))</f>
        <v/>
      </c>
      <c r="D429">
        <f>IFERROR(INDEX(InternalTrades!$K$2:$K$461,MATCH($A429,InternalTrades!$A$2:$A$461,0)),INDEX(ExchangeConfirms!$K$2:$K$460,MATCH($A429,ExchangeConfirms!$A$2:$A$460,0)))</f>
        <v/>
      </c>
      <c r="E429">
        <f>IF(COUNTIF(InternalTrades!$A$2:$A$461,$A429)&gt;0,1,0)</f>
        <v/>
      </c>
      <c r="F429">
        <f>IF(COUNTIF(ExchangeConfirms!$A$2:$A$460,$A429)&gt;0,1,0)</f>
        <v/>
      </c>
      <c r="G429">
        <f>IFERROR(INDEX(InternalTrades!$F$2:$F$461,MATCH($A429,InternalTrades!$A$2:$A$461,0)),"")</f>
        <v/>
      </c>
      <c r="H429">
        <f>IFERROR(INDEX(ExchangeConfirms!$F$2:$F$460,MATCH($A429,ExchangeConfirms!$A$2:$A$460,0)),"")</f>
        <v/>
      </c>
      <c r="I429">
        <f>IFERROR(INDEX(InternalTrades!$G$2:$G$461,MATCH($A429,InternalTrades!$A$2:$A$461,0)),"")</f>
        <v/>
      </c>
      <c r="J429">
        <f>IFERROR(INDEX(ExchangeConfirms!$G$2:$G$460,MATCH($A429,ExchangeConfirms!$A$2:$A$460,0)),"")</f>
        <v/>
      </c>
      <c r="K429">
        <f>IFERROR(INDEX(InternalTrades!$H$2:$H$461,MATCH($A429,InternalTrades!$A$2:$A$461,0)),"")</f>
        <v/>
      </c>
      <c r="L429">
        <f>IFERROR(INDEX(ExchangeConfirms!$H$2:$H$460,MATCH($A429,ExchangeConfirms!$A$2:$A$460,0)),"")</f>
        <v/>
      </c>
      <c r="M429">
        <f>IFERROR(INDEX(InternalTrades!$J$2:$J$461,MATCH($A429,InternalTrades!$A$2:$A$461,0)),"")</f>
        <v/>
      </c>
      <c r="N429">
        <f>IFERROR(INDEX(ExchangeConfirms!$J$2:$J$460,MATCH($A429,ExchangeConfirms!$A$2:$A$460,0)),"")</f>
        <v/>
      </c>
      <c r="O429">
        <f>IFERROR(INDEX(InternalTrades!$I$2:$I$461,MATCH($A429,InternalTrades!$A$2:$A$461,0)),"")</f>
        <v/>
      </c>
      <c r="P429">
        <f>IFERROR(INDEX(ExchangeConfirms!$I$2:$I$460,MATCH($A429,ExchangeConfirms!$A$2:$A$460,0)),"")</f>
        <v/>
      </c>
      <c r="Q429">
        <f>IF(AND($E429=1,$F429=0),"MISSING IN EXCHANGE",IF(AND($E429=0,$F429=1),"MISSING IN INTERNAL",IF($G429&lt;&gt;$H429,"SIDE BREAK",IF($I429&lt;&gt;$J429,"QTY BREAK",IF(ABS($K429-$L429)&gt;0.005,"PRICE BREAK",IF(ABS($M429-$N429)&gt;0.01,"FEE BREAK","MATCHED"))))))</f>
        <v/>
      </c>
      <c r="R429">
        <f>IF($Q429="MATCHED",0,1)</f>
        <v/>
      </c>
      <c r="S429">
        <f>IF($Q429="MATCHED",0,IF($Q429="MISSING IN EXCHANGE",$O429,IF($Q429="MISSING IN INTERNAL",$P429,ABS(N($O429)-N($P429)))))</f>
        <v/>
      </c>
    </row>
    <row r="430">
      <c r="A430" t="inlineStr">
        <is>
          <t>T100429</t>
        </is>
      </c>
      <c r="B430">
        <f>IFERROR(INDEX(InternalTrades!$D$2:$D$461,MATCH($A430,InternalTrades!$A$2:$A$461,0)),INDEX(ExchangeConfirms!$D$2:$D$460,MATCH($A430,ExchangeConfirms!$A$2:$A$460,0)))</f>
        <v/>
      </c>
      <c r="C430">
        <f>IFERROR(INDEX(InternalTrades!$E$2:$E$461,MATCH($A430,InternalTrades!$A$2:$A$461,0)),INDEX(ExchangeConfirms!$E$2:$E$460,MATCH($A430,ExchangeConfirms!$A$2:$A$460,0)))</f>
        <v/>
      </c>
      <c r="D430">
        <f>IFERROR(INDEX(InternalTrades!$K$2:$K$461,MATCH($A430,InternalTrades!$A$2:$A$461,0)),INDEX(ExchangeConfirms!$K$2:$K$460,MATCH($A430,ExchangeConfirms!$A$2:$A$460,0)))</f>
        <v/>
      </c>
      <c r="E430">
        <f>IF(COUNTIF(InternalTrades!$A$2:$A$461,$A430)&gt;0,1,0)</f>
        <v/>
      </c>
      <c r="F430">
        <f>IF(COUNTIF(ExchangeConfirms!$A$2:$A$460,$A430)&gt;0,1,0)</f>
        <v/>
      </c>
      <c r="G430">
        <f>IFERROR(INDEX(InternalTrades!$F$2:$F$461,MATCH($A430,InternalTrades!$A$2:$A$461,0)),"")</f>
        <v/>
      </c>
      <c r="H430">
        <f>IFERROR(INDEX(ExchangeConfirms!$F$2:$F$460,MATCH($A430,ExchangeConfirms!$A$2:$A$460,0)),"")</f>
        <v/>
      </c>
      <c r="I430">
        <f>IFERROR(INDEX(InternalTrades!$G$2:$G$461,MATCH($A430,InternalTrades!$A$2:$A$461,0)),"")</f>
        <v/>
      </c>
      <c r="J430">
        <f>IFERROR(INDEX(ExchangeConfirms!$G$2:$G$460,MATCH($A430,ExchangeConfirms!$A$2:$A$460,0)),"")</f>
        <v/>
      </c>
      <c r="K430">
        <f>IFERROR(INDEX(InternalTrades!$H$2:$H$461,MATCH($A430,InternalTrades!$A$2:$A$461,0)),"")</f>
        <v/>
      </c>
      <c r="L430">
        <f>IFERROR(INDEX(ExchangeConfirms!$H$2:$H$460,MATCH($A430,ExchangeConfirms!$A$2:$A$460,0)),"")</f>
        <v/>
      </c>
      <c r="M430">
        <f>IFERROR(INDEX(InternalTrades!$J$2:$J$461,MATCH($A430,InternalTrades!$A$2:$A$461,0)),"")</f>
        <v/>
      </c>
      <c r="N430">
        <f>IFERROR(INDEX(ExchangeConfirms!$J$2:$J$460,MATCH($A430,ExchangeConfirms!$A$2:$A$460,0)),"")</f>
        <v/>
      </c>
      <c r="O430">
        <f>IFERROR(INDEX(InternalTrades!$I$2:$I$461,MATCH($A430,InternalTrades!$A$2:$A$461,0)),"")</f>
        <v/>
      </c>
      <c r="P430">
        <f>IFERROR(INDEX(ExchangeConfirms!$I$2:$I$460,MATCH($A430,ExchangeConfirms!$A$2:$A$460,0)),"")</f>
        <v/>
      </c>
      <c r="Q430">
        <f>IF(AND($E430=1,$F430=0),"MISSING IN EXCHANGE",IF(AND($E430=0,$F430=1),"MISSING IN INTERNAL",IF($G430&lt;&gt;$H430,"SIDE BREAK",IF($I430&lt;&gt;$J430,"QTY BREAK",IF(ABS($K430-$L430)&gt;0.005,"PRICE BREAK",IF(ABS($M430-$N430)&gt;0.01,"FEE BREAK","MATCHED"))))))</f>
        <v/>
      </c>
      <c r="R430">
        <f>IF($Q430="MATCHED",0,1)</f>
        <v/>
      </c>
      <c r="S430">
        <f>IF($Q430="MATCHED",0,IF($Q430="MISSING IN EXCHANGE",$O430,IF($Q430="MISSING IN INTERNAL",$P430,ABS(N($O430)-N($P430)))))</f>
        <v/>
      </c>
    </row>
    <row r="431">
      <c r="A431" t="inlineStr">
        <is>
          <t>T100430</t>
        </is>
      </c>
      <c r="B431">
        <f>IFERROR(INDEX(InternalTrades!$D$2:$D$461,MATCH($A431,InternalTrades!$A$2:$A$461,0)),INDEX(ExchangeConfirms!$D$2:$D$460,MATCH($A431,ExchangeConfirms!$A$2:$A$460,0)))</f>
        <v/>
      </c>
      <c r="C431">
        <f>IFERROR(INDEX(InternalTrades!$E$2:$E$461,MATCH($A431,InternalTrades!$A$2:$A$461,0)),INDEX(ExchangeConfirms!$E$2:$E$460,MATCH($A431,ExchangeConfirms!$A$2:$A$460,0)))</f>
        <v/>
      </c>
      <c r="D431">
        <f>IFERROR(INDEX(InternalTrades!$K$2:$K$461,MATCH($A431,InternalTrades!$A$2:$A$461,0)),INDEX(ExchangeConfirms!$K$2:$K$460,MATCH($A431,ExchangeConfirms!$A$2:$A$460,0)))</f>
        <v/>
      </c>
      <c r="E431">
        <f>IF(COUNTIF(InternalTrades!$A$2:$A$461,$A431)&gt;0,1,0)</f>
        <v/>
      </c>
      <c r="F431">
        <f>IF(COUNTIF(ExchangeConfirms!$A$2:$A$460,$A431)&gt;0,1,0)</f>
        <v/>
      </c>
      <c r="G431">
        <f>IFERROR(INDEX(InternalTrades!$F$2:$F$461,MATCH($A431,InternalTrades!$A$2:$A$461,0)),"")</f>
        <v/>
      </c>
      <c r="H431">
        <f>IFERROR(INDEX(ExchangeConfirms!$F$2:$F$460,MATCH($A431,ExchangeConfirms!$A$2:$A$460,0)),"")</f>
        <v/>
      </c>
      <c r="I431">
        <f>IFERROR(INDEX(InternalTrades!$G$2:$G$461,MATCH($A431,InternalTrades!$A$2:$A$461,0)),"")</f>
        <v/>
      </c>
      <c r="J431">
        <f>IFERROR(INDEX(ExchangeConfirms!$G$2:$G$460,MATCH($A431,ExchangeConfirms!$A$2:$A$460,0)),"")</f>
        <v/>
      </c>
      <c r="K431">
        <f>IFERROR(INDEX(InternalTrades!$H$2:$H$461,MATCH($A431,InternalTrades!$A$2:$A$461,0)),"")</f>
        <v/>
      </c>
      <c r="L431">
        <f>IFERROR(INDEX(ExchangeConfirms!$H$2:$H$460,MATCH($A431,ExchangeConfirms!$A$2:$A$460,0)),"")</f>
        <v/>
      </c>
      <c r="M431">
        <f>IFERROR(INDEX(InternalTrades!$J$2:$J$461,MATCH($A431,InternalTrades!$A$2:$A$461,0)),"")</f>
        <v/>
      </c>
      <c r="N431">
        <f>IFERROR(INDEX(ExchangeConfirms!$J$2:$J$460,MATCH($A431,ExchangeConfirms!$A$2:$A$460,0)),"")</f>
        <v/>
      </c>
      <c r="O431">
        <f>IFERROR(INDEX(InternalTrades!$I$2:$I$461,MATCH($A431,InternalTrades!$A$2:$A$461,0)),"")</f>
        <v/>
      </c>
      <c r="P431">
        <f>IFERROR(INDEX(ExchangeConfirms!$I$2:$I$460,MATCH($A431,ExchangeConfirms!$A$2:$A$460,0)),"")</f>
        <v/>
      </c>
      <c r="Q431">
        <f>IF(AND($E431=1,$F431=0),"MISSING IN EXCHANGE",IF(AND($E431=0,$F431=1),"MISSING IN INTERNAL",IF($G431&lt;&gt;$H431,"SIDE BREAK",IF($I431&lt;&gt;$J431,"QTY BREAK",IF(ABS($K431-$L431)&gt;0.005,"PRICE BREAK",IF(ABS($M431-$N431)&gt;0.01,"FEE BREAK","MATCHED"))))))</f>
        <v/>
      </c>
      <c r="R431">
        <f>IF($Q431="MATCHED",0,1)</f>
        <v/>
      </c>
      <c r="S431">
        <f>IF($Q431="MATCHED",0,IF($Q431="MISSING IN EXCHANGE",$O431,IF($Q431="MISSING IN INTERNAL",$P431,ABS(N($O431)-N($P431)))))</f>
        <v/>
      </c>
    </row>
    <row r="432">
      <c r="A432" t="inlineStr">
        <is>
          <t>T100431</t>
        </is>
      </c>
      <c r="B432">
        <f>IFERROR(INDEX(InternalTrades!$D$2:$D$461,MATCH($A432,InternalTrades!$A$2:$A$461,0)),INDEX(ExchangeConfirms!$D$2:$D$460,MATCH($A432,ExchangeConfirms!$A$2:$A$460,0)))</f>
        <v/>
      </c>
      <c r="C432">
        <f>IFERROR(INDEX(InternalTrades!$E$2:$E$461,MATCH($A432,InternalTrades!$A$2:$A$461,0)),INDEX(ExchangeConfirms!$E$2:$E$460,MATCH($A432,ExchangeConfirms!$A$2:$A$460,0)))</f>
        <v/>
      </c>
      <c r="D432">
        <f>IFERROR(INDEX(InternalTrades!$K$2:$K$461,MATCH($A432,InternalTrades!$A$2:$A$461,0)),INDEX(ExchangeConfirms!$K$2:$K$460,MATCH($A432,ExchangeConfirms!$A$2:$A$460,0)))</f>
        <v/>
      </c>
      <c r="E432">
        <f>IF(COUNTIF(InternalTrades!$A$2:$A$461,$A432)&gt;0,1,0)</f>
        <v/>
      </c>
      <c r="F432">
        <f>IF(COUNTIF(ExchangeConfirms!$A$2:$A$460,$A432)&gt;0,1,0)</f>
        <v/>
      </c>
      <c r="G432">
        <f>IFERROR(INDEX(InternalTrades!$F$2:$F$461,MATCH($A432,InternalTrades!$A$2:$A$461,0)),"")</f>
        <v/>
      </c>
      <c r="H432">
        <f>IFERROR(INDEX(ExchangeConfirms!$F$2:$F$460,MATCH($A432,ExchangeConfirms!$A$2:$A$460,0)),"")</f>
        <v/>
      </c>
      <c r="I432">
        <f>IFERROR(INDEX(InternalTrades!$G$2:$G$461,MATCH($A432,InternalTrades!$A$2:$A$461,0)),"")</f>
        <v/>
      </c>
      <c r="J432">
        <f>IFERROR(INDEX(ExchangeConfirms!$G$2:$G$460,MATCH($A432,ExchangeConfirms!$A$2:$A$460,0)),"")</f>
        <v/>
      </c>
      <c r="K432">
        <f>IFERROR(INDEX(InternalTrades!$H$2:$H$461,MATCH($A432,InternalTrades!$A$2:$A$461,0)),"")</f>
        <v/>
      </c>
      <c r="L432">
        <f>IFERROR(INDEX(ExchangeConfirms!$H$2:$H$460,MATCH($A432,ExchangeConfirms!$A$2:$A$460,0)),"")</f>
        <v/>
      </c>
      <c r="M432">
        <f>IFERROR(INDEX(InternalTrades!$J$2:$J$461,MATCH($A432,InternalTrades!$A$2:$A$461,0)),"")</f>
        <v/>
      </c>
      <c r="N432">
        <f>IFERROR(INDEX(ExchangeConfirms!$J$2:$J$460,MATCH($A432,ExchangeConfirms!$A$2:$A$460,0)),"")</f>
        <v/>
      </c>
      <c r="O432">
        <f>IFERROR(INDEX(InternalTrades!$I$2:$I$461,MATCH($A432,InternalTrades!$A$2:$A$461,0)),"")</f>
        <v/>
      </c>
      <c r="P432">
        <f>IFERROR(INDEX(ExchangeConfirms!$I$2:$I$460,MATCH($A432,ExchangeConfirms!$A$2:$A$460,0)),"")</f>
        <v/>
      </c>
      <c r="Q432">
        <f>IF(AND($E432=1,$F432=0),"MISSING IN EXCHANGE",IF(AND($E432=0,$F432=1),"MISSING IN INTERNAL",IF($G432&lt;&gt;$H432,"SIDE BREAK",IF($I432&lt;&gt;$J432,"QTY BREAK",IF(ABS($K432-$L432)&gt;0.005,"PRICE BREAK",IF(ABS($M432-$N432)&gt;0.01,"FEE BREAK","MATCHED"))))))</f>
        <v/>
      </c>
      <c r="R432">
        <f>IF($Q432="MATCHED",0,1)</f>
        <v/>
      </c>
      <c r="S432">
        <f>IF($Q432="MATCHED",0,IF($Q432="MISSING IN EXCHANGE",$O432,IF($Q432="MISSING IN INTERNAL",$P432,ABS(N($O432)-N($P432)))))</f>
        <v/>
      </c>
    </row>
    <row r="433">
      <c r="A433" t="inlineStr">
        <is>
          <t>T100432</t>
        </is>
      </c>
      <c r="B433">
        <f>IFERROR(INDEX(InternalTrades!$D$2:$D$461,MATCH($A433,InternalTrades!$A$2:$A$461,0)),INDEX(ExchangeConfirms!$D$2:$D$460,MATCH($A433,ExchangeConfirms!$A$2:$A$460,0)))</f>
        <v/>
      </c>
      <c r="C433">
        <f>IFERROR(INDEX(InternalTrades!$E$2:$E$461,MATCH($A433,InternalTrades!$A$2:$A$461,0)),INDEX(ExchangeConfirms!$E$2:$E$460,MATCH($A433,ExchangeConfirms!$A$2:$A$460,0)))</f>
        <v/>
      </c>
      <c r="D433">
        <f>IFERROR(INDEX(InternalTrades!$K$2:$K$461,MATCH($A433,InternalTrades!$A$2:$A$461,0)),INDEX(ExchangeConfirms!$K$2:$K$460,MATCH($A433,ExchangeConfirms!$A$2:$A$460,0)))</f>
        <v/>
      </c>
      <c r="E433">
        <f>IF(COUNTIF(InternalTrades!$A$2:$A$461,$A433)&gt;0,1,0)</f>
        <v/>
      </c>
      <c r="F433">
        <f>IF(COUNTIF(ExchangeConfirms!$A$2:$A$460,$A433)&gt;0,1,0)</f>
        <v/>
      </c>
      <c r="G433">
        <f>IFERROR(INDEX(InternalTrades!$F$2:$F$461,MATCH($A433,InternalTrades!$A$2:$A$461,0)),"")</f>
        <v/>
      </c>
      <c r="H433">
        <f>IFERROR(INDEX(ExchangeConfirms!$F$2:$F$460,MATCH($A433,ExchangeConfirms!$A$2:$A$460,0)),"")</f>
        <v/>
      </c>
      <c r="I433">
        <f>IFERROR(INDEX(InternalTrades!$G$2:$G$461,MATCH($A433,InternalTrades!$A$2:$A$461,0)),"")</f>
        <v/>
      </c>
      <c r="J433">
        <f>IFERROR(INDEX(ExchangeConfirms!$G$2:$G$460,MATCH($A433,ExchangeConfirms!$A$2:$A$460,0)),"")</f>
        <v/>
      </c>
      <c r="K433">
        <f>IFERROR(INDEX(InternalTrades!$H$2:$H$461,MATCH($A433,InternalTrades!$A$2:$A$461,0)),"")</f>
        <v/>
      </c>
      <c r="L433">
        <f>IFERROR(INDEX(ExchangeConfirms!$H$2:$H$460,MATCH($A433,ExchangeConfirms!$A$2:$A$460,0)),"")</f>
        <v/>
      </c>
      <c r="M433">
        <f>IFERROR(INDEX(InternalTrades!$J$2:$J$461,MATCH($A433,InternalTrades!$A$2:$A$461,0)),"")</f>
        <v/>
      </c>
      <c r="N433">
        <f>IFERROR(INDEX(ExchangeConfirms!$J$2:$J$460,MATCH($A433,ExchangeConfirms!$A$2:$A$460,0)),"")</f>
        <v/>
      </c>
      <c r="O433">
        <f>IFERROR(INDEX(InternalTrades!$I$2:$I$461,MATCH($A433,InternalTrades!$A$2:$A$461,0)),"")</f>
        <v/>
      </c>
      <c r="P433">
        <f>IFERROR(INDEX(ExchangeConfirms!$I$2:$I$460,MATCH($A433,ExchangeConfirms!$A$2:$A$460,0)),"")</f>
        <v/>
      </c>
      <c r="Q433">
        <f>IF(AND($E433=1,$F433=0),"MISSING IN EXCHANGE",IF(AND($E433=0,$F433=1),"MISSING IN INTERNAL",IF($G433&lt;&gt;$H433,"SIDE BREAK",IF($I433&lt;&gt;$J433,"QTY BREAK",IF(ABS($K433-$L433)&gt;0.005,"PRICE BREAK",IF(ABS($M433-$N433)&gt;0.01,"FEE BREAK","MATCHED"))))))</f>
        <v/>
      </c>
      <c r="R433">
        <f>IF($Q433="MATCHED",0,1)</f>
        <v/>
      </c>
      <c r="S433">
        <f>IF($Q433="MATCHED",0,IF($Q433="MISSING IN EXCHANGE",$O433,IF($Q433="MISSING IN INTERNAL",$P433,ABS(N($O433)-N($P433)))))</f>
        <v/>
      </c>
    </row>
    <row r="434">
      <c r="A434" t="inlineStr">
        <is>
          <t>T100433</t>
        </is>
      </c>
      <c r="B434">
        <f>IFERROR(INDEX(InternalTrades!$D$2:$D$461,MATCH($A434,InternalTrades!$A$2:$A$461,0)),INDEX(ExchangeConfirms!$D$2:$D$460,MATCH($A434,ExchangeConfirms!$A$2:$A$460,0)))</f>
        <v/>
      </c>
      <c r="C434">
        <f>IFERROR(INDEX(InternalTrades!$E$2:$E$461,MATCH($A434,InternalTrades!$A$2:$A$461,0)),INDEX(ExchangeConfirms!$E$2:$E$460,MATCH($A434,ExchangeConfirms!$A$2:$A$460,0)))</f>
        <v/>
      </c>
      <c r="D434">
        <f>IFERROR(INDEX(InternalTrades!$K$2:$K$461,MATCH($A434,InternalTrades!$A$2:$A$461,0)),INDEX(ExchangeConfirms!$K$2:$K$460,MATCH($A434,ExchangeConfirms!$A$2:$A$460,0)))</f>
        <v/>
      </c>
      <c r="E434">
        <f>IF(COUNTIF(InternalTrades!$A$2:$A$461,$A434)&gt;0,1,0)</f>
        <v/>
      </c>
      <c r="F434">
        <f>IF(COUNTIF(ExchangeConfirms!$A$2:$A$460,$A434)&gt;0,1,0)</f>
        <v/>
      </c>
      <c r="G434">
        <f>IFERROR(INDEX(InternalTrades!$F$2:$F$461,MATCH($A434,InternalTrades!$A$2:$A$461,0)),"")</f>
        <v/>
      </c>
      <c r="H434">
        <f>IFERROR(INDEX(ExchangeConfirms!$F$2:$F$460,MATCH($A434,ExchangeConfirms!$A$2:$A$460,0)),"")</f>
        <v/>
      </c>
      <c r="I434">
        <f>IFERROR(INDEX(InternalTrades!$G$2:$G$461,MATCH($A434,InternalTrades!$A$2:$A$461,0)),"")</f>
        <v/>
      </c>
      <c r="J434">
        <f>IFERROR(INDEX(ExchangeConfirms!$G$2:$G$460,MATCH($A434,ExchangeConfirms!$A$2:$A$460,0)),"")</f>
        <v/>
      </c>
      <c r="K434">
        <f>IFERROR(INDEX(InternalTrades!$H$2:$H$461,MATCH($A434,InternalTrades!$A$2:$A$461,0)),"")</f>
        <v/>
      </c>
      <c r="L434">
        <f>IFERROR(INDEX(ExchangeConfirms!$H$2:$H$460,MATCH($A434,ExchangeConfirms!$A$2:$A$460,0)),"")</f>
        <v/>
      </c>
      <c r="M434">
        <f>IFERROR(INDEX(InternalTrades!$J$2:$J$461,MATCH($A434,InternalTrades!$A$2:$A$461,0)),"")</f>
        <v/>
      </c>
      <c r="N434">
        <f>IFERROR(INDEX(ExchangeConfirms!$J$2:$J$460,MATCH($A434,ExchangeConfirms!$A$2:$A$460,0)),"")</f>
        <v/>
      </c>
      <c r="O434">
        <f>IFERROR(INDEX(InternalTrades!$I$2:$I$461,MATCH($A434,InternalTrades!$A$2:$A$461,0)),"")</f>
        <v/>
      </c>
      <c r="P434">
        <f>IFERROR(INDEX(ExchangeConfirms!$I$2:$I$460,MATCH($A434,ExchangeConfirms!$A$2:$A$460,0)),"")</f>
        <v/>
      </c>
      <c r="Q434">
        <f>IF(AND($E434=1,$F434=0),"MISSING IN EXCHANGE",IF(AND($E434=0,$F434=1),"MISSING IN INTERNAL",IF($G434&lt;&gt;$H434,"SIDE BREAK",IF($I434&lt;&gt;$J434,"QTY BREAK",IF(ABS($K434-$L434)&gt;0.005,"PRICE BREAK",IF(ABS($M434-$N434)&gt;0.01,"FEE BREAK","MATCHED"))))))</f>
        <v/>
      </c>
      <c r="R434">
        <f>IF($Q434="MATCHED",0,1)</f>
        <v/>
      </c>
      <c r="S434">
        <f>IF($Q434="MATCHED",0,IF($Q434="MISSING IN EXCHANGE",$O434,IF($Q434="MISSING IN INTERNAL",$P434,ABS(N($O434)-N($P434)))))</f>
        <v/>
      </c>
    </row>
    <row r="435">
      <c r="A435" t="inlineStr">
        <is>
          <t>T100434</t>
        </is>
      </c>
      <c r="B435">
        <f>IFERROR(INDEX(InternalTrades!$D$2:$D$461,MATCH($A435,InternalTrades!$A$2:$A$461,0)),INDEX(ExchangeConfirms!$D$2:$D$460,MATCH($A435,ExchangeConfirms!$A$2:$A$460,0)))</f>
        <v/>
      </c>
      <c r="C435">
        <f>IFERROR(INDEX(InternalTrades!$E$2:$E$461,MATCH($A435,InternalTrades!$A$2:$A$461,0)),INDEX(ExchangeConfirms!$E$2:$E$460,MATCH($A435,ExchangeConfirms!$A$2:$A$460,0)))</f>
        <v/>
      </c>
      <c r="D435">
        <f>IFERROR(INDEX(InternalTrades!$K$2:$K$461,MATCH($A435,InternalTrades!$A$2:$A$461,0)),INDEX(ExchangeConfirms!$K$2:$K$460,MATCH($A435,ExchangeConfirms!$A$2:$A$460,0)))</f>
        <v/>
      </c>
      <c r="E435">
        <f>IF(COUNTIF(InternalTrades!$A$2:$A$461,$A435)&gt;0,1,0)</f>
        <v/>
      </c>
      <c r="F435">
        <f>IF(COUNTIF(ExchangeConfirms!$A$2:$A$460,$A435)&gt;0,1,0)</f>
        <v/>
      </c>
      <c r="G435">
        <f>IFERROR(INDEX(InternalTrades!$F$2:$F$461,MATCH($A435,InternalTrades!$A$2:$A$461,0)),"")</f>
        <v/>
      </c>
      <c r="H435">
        <f>IFERROR(INDEX(ExchangeConfirms!$F$2:$F$460,MATCH($A435,ExchangeConfirms!$A$2:$A$460,0)),"")</f>
        <v/>
      </c>
      <c r="I435">
        <f>IFERROR(INDEX(InternalTrades!$G$2:$G$461,MATCH($A435,InternalTrades!$A$2:$A$461,0)),"")</f>
        <v/>
      </c>
      <c r="J435">
        <f>IFERROR(INDEX(ExchangeConfirms!$G$2:$G$460,MATCH($A435,ExchangeConfirms!$A$2:$A$460,0)),"")</f>
        <v/>
      </c>
      <c r="K435">
        <f>IFERROR(INDEX(InternalTrades!$H$2:$H$461,MATCH($A435,InternalTrades!$A$2:$A$461,0)),"")</f>
        <v/>
      </c>
      <c r="L435">
        <f>IFERROR(INDEX(ExchangeConfirms!$H$2:$H$460,MATCH($A435,ExchangeConfirms!$A$2:$A$460,0)),"")</f>
        <v/>
      </c>
      <c r="M435">
        <f>IFERROR(INDEX(InternalTrades!$J$2:$J$461,MATCH($A435,InternalTrades!$A$2:$A$461,0)),"")</f>
        <v/>
      </c>
      <c r="N435">
        <f>IFERROR(INDEX(ExchangeConfirms!$J$2:$J$460,MATCH($A435,ExchangeConfirms!$A$2:$A$460,0)),"")</f>
        <v/>
      </c>
      <c r="O435">
        <f>IFERROR(INDEX(InternalTrades!$I$2:$I$461,MATCH($A435,InternalTrades!$A$2:$A$461,0)),"")</f>
        <v/>
      </c>
      <c r="P435">
        <f>IFERROR(INDEX(ExchangeConfirms!$I$2:$I$460,MATCH($A435,ExchangeConfirms!$A$2:$A$460,0)),"")</f>
        <v/>
      </c>
      <c r="Q435">
        <f>IF(AND($E435=1,$F435=0),"MISSING IN EXCHANGE",IF(AND($E435=0,$F435=1),"MISSING IN INTERNAL",IF($G435&lt;&gt;$H435,"SIDE BREAK",IF($I435&lt;&gt;$J435,"QTY BREAK",IF(ABS($K435-$L435)&gt;0.005,"PRICE BREAK",IF(ABS($M435-$N435)&gt;0.01,"FEE BREAK","MATCHED"))))))</f>
        <v/>
      </c>
      <c r="R435">
        <f>IF($Q435="MATCHED",0,1)</f>
        <v/>
      </c>
      <c r="S435">
        <f>IF($Q435="MATCHED",0,IF($Q435="MISSING IN EXCHANGE",$O435,IF($Q435="MISSING IN INTERNAL",$P435,ABS(N($O435)-N($P435)))))</f>
        <v/>
      </c>
    </row>
    <row r="436">
      <c r="A436" t="inlineStr">
        <is>
          <t>T100435</t>
        </is>
      </c>
      <c r="B436">
        <f>IFERROR(INDEX(InternalTrades!$D$2:$D$461,MATCH($A436,InternalTrades!$A$2:$A$461,0)),INDEX(ExchangeConfirms!$D$2:$D$460,MATCH($A436,ExchangeConfirms!$A$2:$A$460,0)))</f>
        <v/>
      </c>
      <c r="C436">
        <f>IFERROR(INDEX(InternalTrades!$E$2:$E$461,MATCH($A436,InternalTrades!$A$2:$A$461,0)),INDEX(ExchangeConfirms!$E$2:$E$460,MATCH($A436,ExchangeConfirms!$A$2:$A$460,0)))</f>
        <v/>
      </c>
      <c r="D436">
        <f>IFERROR(INDEX(InternalTrades!$K$2:$K$461,MATCH($A436,InternalTrades!$A$2:$A$461,0)),INDEX(ExchangeConfirms!$K$2:$K$460,MATCH($A436,ExchangeConfirms!$A$2:$A$460,0)))</f>
        <v/>
      </c>
      <c r="E436">
        <f>IF(COUNTIF(InternalTrades!$A$2:$A$461,$A436)&gt;0,1,0)</f>
        <v/>
      </c>
      <c r="F436">
        <f>IF(COUNTIF(ExchangeConfirms!$A$2:$A$460,$A436)&gt;0,1,0)</f>
        <v/>
      </c>
      <c r="G436">
        <f>IFERROR(INDEX(InternalTrades!$F$2:$F$461,MATCH($A436,InternalTrades!$A$2:$A$461,0)),"")</f>
        <v/>
      </c>
      <c r="H436">
        <f>IFERROR(INDEX(ExchangeConfirms!$F$2:$F$460,MATCH($A436,ExchangeConfirms!$A$2:$A$460,0)),"")</f>
        <v/>
      </c>
      <c r="I436">
        <f>IFERROR(INDEX(InternalTrades!$G$2:$G$461,MATCH($A436,InternalTrades!$A$2:$A$461,0)),"")</f>
        <v/>
      </c>
      <c r="J436">
        <f>IFERROR(INDEX(ExchangeConfirms!$G$2:$G$460,MATCH($A436,ExchangeConfirms!$A$2:$A$460,0)),"")</f>
        <v/>
      </c>
      <c r="K436">
        <f>IFERROR(INDEX(InternalTrades!$H$2:$H$461,MATCH($A436,InternalTrades!$A$2:$A$461,0)),"")</f>
        <v/>
      </c>
      <c r="L436">
        <f>IFERROR(INDEX(ExchangeConfirms!$H$2:$H$460,MATCH($A436,ExchangeConfirms!$A$2:$A$460,0)),"")</f>
        <v/>
      </c>
      <c r="M436">
        <f>IFERROR(INDEX(InternalTrades!$J$2:$J$461,MATCH($A436,InternalTrades!$A$2:$A$461,0)),"")</f>
        <v/>
      </c>
      <c r="N436">
        <f>IFERROR(INDEX(ExchangeConfirms!$J$2:$J$460,MATCH($A436,ExchangeConfirms!$A$2:$A$460,0)),"")</f>
        <v/>
      </c>
      <c r="O436">
        <f>IFERROR(INDEX(InternalTrades!$I$2:$I$461,MATCH($A436,InternalTrades!$A$2:$A$461,0)),"")</f>
        <v/>
      </c>
      <c r="P436">
        <f>IFERROR(INDEX(ExchangeConfirms!$I$2:$I$460,MATCH($A436,ExchangeConfirms!$A$2:$A$460,0)),"")</f>
        <v/>
      </c>
      <c r="Q436">
        <f>IF(AND($E436=1,$F436=0),"MISSING IN EXCHANGE",IF(AND($E436=0,$F436=1),"MISSING IN INTERNAL",IF($G436&lt;&gt;$H436,"SIDE BREAK",IF($I436&lt;&gt;$J436,"QTY BREAK",IF(ABS($K436-$L436)&gt;0.005,"PRICE BREAK",IF(ABS($M436-$N436)&gt;0.01,"FEE BREAK","MATCHED"))))))</f>
        <v/>
      </c>
      <c r="R436">
        <f>IF($Q436="MATCHED",0,1)</f>
        <v/>
      </c>
      <c r="S436">
        <f>IF($Q436="MATCHED",0,IF($Q436="MISSING IN EXCHANGE",$O436,IF($Q436="MISSING IN INTERNAL",$P436,ABS(N($O436)-N($P436)))))</f>
        <v/>
      </c>
    </row>
    <row r="437">
      <c r="A437" t="inlineStr">
        <is>
          <t>T100436</t>
        </is>
      </c>
      <c r="B437">
        <f>IFERROR(INDEX(InternalTrades!$D$2:$D$461,MATCH($A437,InternalTrades!$A$2:$A$461,0)),INDEX(ExchangeConfirms!$D$2:$D$460,MATCH($A437,ExchangeConfirms!$A$2:$A$460,0)))</f>
        <v/>
      </c>
      <c r="C437">
        <f>IFERROR(INDEX(InternalTrades!$E$2:$E$461,MATCH($A437,InternalTrades!$A$2:$A$461,0)),INDEX(ExchangeConfirms!$E$2:$E$460,MATCH($A437,ExchangeConfirms!$A$2:$A$460,0)))</f>
        <v/>
      </c>
      <c r="D437">
        <f>IFERROR(INDEX(InternalTrades!$K$2:$K$461,MATCH($A437,InternalTrades!$A$2:$A$461,0)),INDEX(ExchangeConfirms!$K$2:$K$460,MATCH($A437,ExchangeConfirms!$A$2:$A$460,0)))</f>
        <v/>
      </c>
      <c r="E437">
        <f>IF(COUNTIF(InternalTrades!$A$2:$A$461,$A437)&gt;0,1,0)</f>
        <v/>
      </c>
      <c r="F437">
        <f>IF(COUNTIF(ExchangeConfirms!$A$2:$A$460,$A437)&gt;0,1,0)</f>
        <v/>
      </c>
      <c r="G437">
        <f>IFERROR(INDEX(InternalTrades!$F$2:$F$461,MATCH($A437,InternalTrades!$A$2:$A$461,0)),"")</f>
        <v/>
      </c>
      <c r="H437">
        <f>IFERROR(INDEX(ExchangeConfirms!$F$2:$F$460,MATCH($A437,ExchangeConfirms!$A$2:$A$460,0)),"")</f>
        <v/>
      </c>
      <c r="I437">
        <f>IFERROR(INDEX(InternalTrades!$G$2:$G$461,MATCH($A437,InternalTrades!$A$2:$A$461,0)),"")</f>
        <v/>
      </c>
      <c r="J437">
        <f>IFERROR(INDEX(ExchangeConfirms!$G$2:$G$460,MATCH($A437,ExchangeConfirms!$A$2:$A$460,0)),"")</f>
        <v/>
      </c>
      <c r="K437">
        <f>IFERROR(INDEX(InternalTrades!$H$2:$H$461,MATCH($A437,InternalTrades!$A$2:$A$461,0)),"")</f>
        <v/>
      </c>
      <c r="L437">
        <f>IFERROR(INDEX(ExchangeConfirms!$H$2:$H$460,MATCH($A437,ExchangeConfirms!$A$2:$A$460,0)),"")</f>
        <v/>
      </c>
      <c r="M437">
        <f>IFERROR(INDEX(InternalTrades!$J$2:$J$461,MATCH($A437,InternalTrades!$A$2:$A$461,0)),"")</f>
        <v/>
      </c>
      <c r="N437">
        <f>IFERROR(INDEX(ExchangeConfirms!$J$2:$J$460,MATCH($A437,ExchangeConfirms!$A$2:$A$460,0)),"")</f>
        <v/>
      </c>
      <c r="O437">
        <f>IFERROR(INDEX(InternalTrades!$I$2:$I$461,MATCH($A437,InternalTrades!$A$2:$A$461,0)),"")</f>
        <v/>
      </c>
      <c r="P437">
        <f>IFERROR(INDEX(ExchangeConfirms!$I$2:$I$460,MATCH($A437,ExchangeConfirms!$A$2:$A$460,0)),"")</f>
        <v/>
      </c>
      <c r="Q437">
        <f>IF(AND($E437=1,$F437=0),"MISSING IN EXCHANGE",IF(AND($E437=0,$F437=1),"MISSING IN INTERNAL",IF($G437&lt;&gt;$H437,"SIDE BREAK",IF($I437&lt;&gt;$J437,"QTY BREAK",IF(ABS($K437-$L437)&gt;0.005,"PRICE BREAK",IF(ABS($M437-$N437)&gt;0.01,"FEE BREAK","MATCHED"))))))</f>
        <v/>
      </c>
      <c r="R437">
        <f>IF($Q437="MATCHED",0,1)</f>
        <v/>
      </c>
      <c r="S437">
        <f>IF($Q437="MATCHED",0,IF($Q437="MISSING IN EXCHANGE",$O437,IF($Q437="MISSING IN INTERNAL",$P437,ABS(N($O437)-N($P437)))))</f>
        <v/>
      </c>
    </row>
    <row r="438">
      <c r="A438" t="inlineStr">
        <is>
          <t>T100437</t>
        </is>
      </c>
      <c r="B438">
        <f>IFERROR(INDEX(InternalTrades!$D$2:$D$461,MATCH($A438,InternalTrades!$A$2:$A$461,0)),INDEX(ExchangeConfirms!$D$2:$D$460,MATCH($A438,ExchangeConfirms!$A$2:$A$460,0)))</f>
        <v/>
      </c>
      <c r="C438">
        <f>IFERROR(INDEX(InternalTrades!$E$2:$E$461,MATCH($A438,InternalTrades!$A$2:$A$461,0)),INDEX(ExchangeConfirms!$E$2:$E$460,MATCH($A438,ExchangeConfirms!$A$2:$A$460,0)))</f>
        <v/>
      </c>
      <c r="D438">
        <f>IFERROR(INDEX(InternalTrades!$K$2:$K$461,MATCH($A438,InternalTrades!$A$2:$A$461,0)),INDEX(ExchangeConfirms!$K$2:$K$460,MATCH($A438,ExchangeConfirms!$A$2:$A$460,0)))</f>
        <v/>
      </c>
      <c r="E438">
        <f>IF(COUNTIF(InternalTrades!$A$2:$A$461,$A438)&gt;0,1,0)</f>
        <v/>
      </c>
      <c r="F438">
        <f>IF(COUNTIF(ExchangeConfirms!$A$2:$A$460,$A438)&gt;0,1,0)</f>
        <v/>
      </c>
      <c r="G438">
        <f>IFERROR(INDEX(InternalTrades!$F$2:$F$461,MATCH($A438,InternalTrades!$A$2:$A$461,0)),"")</f>
        <v/>
      </c>
      <c r="H438">
        <f>IFERROR(INDEX(ExchangeConfirms!$F$2:$F$460,MATCH($A438,ExchangeConfirms!$A$2:$A$460,0)),"")</f>
        <v/>
      </c>
      <c r="I438">
        <f>IFERROR(INDEX(InternalTrades!$G$2:$G$461,MATCH($A438,InternalTrades!$A$2:$A$461,0)),"")</f>
        <v/>
      </c>
      <c r="J438">
        <f>IFERROR(INDEX(ExchangeConfirms!$G$2:$G$460,MATCH($A438,ExchangeConfirms!$A$2:$A$460,0)),"")</f>
        <v/>
      </c>
      <c r="K438">
        <f>IFERROR(INDEX(InternalTrades!$H$2:$H$461,MATCH($A438,InternalTrades!$A$2:$A$461,0)),"")</f>
        <v/>
      </c>
      <c r="L438">
        <f>IFERROR(INDEX(ExchangeConfirms!$H$2:$H$460,MATCH($A438,ExchangeConfirms!$A$2:$A$460,0)),"")</f>
        <v/>
      </c>
      <c r="M438">
        <f>IFERROR(INDEX(InternalTrades!$J$2:$J$461,MATCH($A438,InternalTrades!$A$2:$A$461,0)),"")</f>
        <v/>
      </c>
      <c r="N438">
        <f>IFERROR(INDEX(ExchangeConfirms!$J$2:$J$460,MATCH($A438,ExchangeConfirms!$A$2:$A$460,0)),"")</f>
        <v/>
      </c>
      <c r="O438">
        <f>IFERROR(INDEX(InternalTrades!$I$2:$I$461,MATCH($A438,InternalTrades!$A$2:$A$461,0)),"")</f>
        <v/>
      </c>
      <c r="P438">
        <f>IFERROR(INDEX(ExchangeConfirms!$I$2:$I$460,MATCH($A438,ExchangeConfirms!$A$2:$A$460,0)),"")</f>
        <v/>
      </c>
      <c r="Q438">
        <f>IF(AND($E438=1,$F438=0),"MISSING IN EXCHANGE",IF(AND($E438=0,$F438=1),"MISSING IN INTERNAL",IF($G438&lt;&gt;$H438,"SIDE BREAK",IF($I438&lt;&gt;$J438,"QTY BREAK",IF(ABS($K438-$L438)&gt;0.005,"PRICE BREAK",IF(ABS($M438-$N438)&gt;0.01,"FEE BREAK","MATCHED"))))))</f>
        <v/>
      </c>
      <c r="R438">
        <f>IF($Q438="MATCHED",0,1)</f>
        <v/>
      </c>
      <c r="S438">
        <f>IF($Q438="MATCHED",0,IF($Q438="MISSING IN EXCHANGE",$O438,IF($Q438="MISSING IN INTERNAL",$P438,ABS(N($O438)-N($P438)))))</f>
        <v/>
      </c>
    </row>
    <row r="439">
      <c r="A439" t="inlineStr">
        <is>
          <t>T100438</t>
        </is>
      </c>
      <c r="B439">
        <f>IFERROR(INDEX(InternalTrades!$D$2:$D$461,MATCH($A439,InternalTrades!$A$2:$A$461,0)),INDEX(ExchangeConfirms!$D$2:$D$460,MATCH($A439,ExchangeConfirms!$A$2:$A$460,0)))</f>
        <v/>
      </c>
      <c r="C439">
        <f>IFERROR(INDEX(InternalTrades!$E$2:$E$461,MATCH($A439,InternalTrades!$A$2:$A$461,0)),INDEX(ExchangeConfirms!$E$2:$E$460,MATCH($A439,ExchangeConfirms!$A$2:$A$460,0)))</f>
        <v/>
      </c>
      <c r="D439">
        <f>IFERROR(INDEX(InternalTrades!$K$2:$K$461,MATCH($A439,InternalTrades!$A$2:$A$461,0)),INDEX(ExchangeConfirms!$K$2:$K$460,MATCH($A439,ExchangeConfirms!$A$2:$A$460,0)))</f>
        <v/>
      </c>
      <c r="E439">
        <f>IF(COUNTIF(InternalTrades!$A$2:$A$461,$A439)&gt;0,1,0)</f>
        <v/>
      </c>
      <c r="F439">
        <f>IF(COUNTIF(ExchangeConfirms!$A$2:$A$460,$A439)&gt;0,1,0)</f>
        <v/>
      </c>
      <c r="G439">
        <f>IFERROR(INDEX(InternalTrades!$F$2:$F$461,MATCH($A439,InternalTrades!$A$2:$A$461,0)),"")</f>
        <v/>
      </c>
      <c r="H439">
        <f>IFERROR(INDEX(ExchangeConfirms!$F$2:$F$460,MATCH($A439,ExchangeConfirms!$A$2:$A$460,0)),"")</f>
        <v/>
      </c>
      <c r="I439">
        <f>IFERROR(INDEX(InternalTrades!$G$2:$G$461,MATCH($A439,InternalTrades!$A$2:$A$461,0)),"")</f>
        <v/>
      </c>
      <c r="J439">
        <f>IFERROR(INDEX(ExchangeConfirms!$G$2:$G$460,MATCH($A439,ExchangeConfirms!$A$2:$A$460,0)),"")</f>
        <v/>
      </c>
      <c r="K439">
        <f>IFERROR(INDEX(InternalTrades!$H$2:$H$461,MATCH($A439,InternalTrades!$A$2:$A$461,0)),"")</f>
        <v/>
      </c>
      <c r="L439">
        <f>IFERROR(INDEX(ExchangeConfirms!$H$2:$H$460,MATCH($A439,ExchangeConfirms!$A$2:$A$460,0)),"")</f>
        <v/>
      </c>
      <c r="M439">
        <f>IFERROR(INDEX(InternalTrades!$J$2:$J$461,MATCH($A439,InternalTrades!$A$2:$A$461,0)),"")</f>
        <v/>
      </c>
      <c r="N439">
        <f>IFERROR(INDEX(ExchangeConfirms!$J$2:$J$460,MATCH($A439,ExchangeConfirms!$A$2:$A$460,0)),"")</f>
        <v/>
      </c>
      <c r="O439">
        <f>IFERROR(INDEX(InternalTrades!$I$2:$I$461,MATCH($A439,InternalTrades!$A$2:$A$461,0)),"")</f>
        <v/>
      </c>
      <c r="P439">
        <f>IFERROR(INDEX(ExchangeConfirms!$I$2:$I$460,MATCH($A439,ExchangeConfirms!$A$2:$A$460,0)),"")</f>
        <v/>
      </c>
      <c r="Q439">
        <f>IF(AND($E439=1,$F439=0),"MISSING IN EXCHANGE",IF(AND($E439=0,$F439=1),"MISSING IN INTERNAL",IF($G439&lt;&gt;$H439,"SIDE BREAK",IF($I439&lt;&gt;$J439,"QTY BREAK",IF(ABS($K439-$L439)&gt;0.005,"PRICE BREAK",IF(ABS($M439-$N439)&gt;0.01,"FEE BREAK","MATCHED"))))))</f>
        <v/>
      </c>
      <c r="R439">
        <f>IF($Q439="MATCHED",0,1)</f>
        <v/>
      </c>
      <c r="S439">
        <f>IF($Q439="MATCHED",0,IF($Q439="MISSING IN EXCHANGE",$O439,IF($Q439="MISSING IN INTERNAL",$P439,ABS(N($O439)-N($P439)))))</f>
        <v/>
      </c>
    </row>
    <row r="440">
      <c r="A440" t="inlineStr">
        <is>
          <t>T100439</t>
        </is>
      </c>
      <c r="B440">
        <f>IFERROR(INDEX(InternalTrades!$D$2:$D$461,MATCH($A440,InternalTrades!$A$2:$A$461,0)),INDEX(ExchangeConfirms!$D$2:$D$460,MATCH($A440,ExchangeConfirms!$A$2:$A$460,0)))</f>
        <v/>
      </c>
      <c r="C440">
        <f>IFERROR(INDEX(InternalTrades!$E$2:$E$461,MATCH($A440,InternalTrades!$A$2:$A$461,0)),INDEX(ExchangeConfirms!$E$2:$E$460,MATCH($A440,ExchangeConfirms!$A$2:$A$460,0)))</f>
        <v/>
      </c>
      <c r="D440">
        <f>IFERROR(INDEX(InternalTrades!$K$2:$K$461,MATCH($A440,InternalTrades!$A$2:$A$461,0)),INDEX(ExchangeConfirms!$K$2:$K$460,MATCH($A440,ExchangeConfirms!$A$2:$A$460,0)))</f>
        <v/>
      </c>
      <c r="E440">
        <f>IF(COUNTIF(InternalTrades!$A$2:$A$461,$A440)&gt;0,1,0)</f>
        <v/>
      </c>
      <c r="F440">
        <f>IF(COUNTIF(ExchangeConfirms!$A$2:$A$460,$A440)&gt;0,1,0)</f>
        <v/>
      </c>
      <c r="G440">
        <f>IFERROR(INDEX(InternalTrades!$F$2:$F$461,MATCH($A440,InternalTrades!$A$2:$A$461,0)),"")</f>
        <v/>
      </c>
      <c r="H440">
        <f>IFERROR(INDEX(ExchangeConfirms!$F$2:$F$460,MATCH($A440,ExchangeConfirms!$A$2:$A$460,0)),"")</f>
        <v/>
      </c>
      <c r="I440">
        <f>IFERROR(INDEX(InternalTrades!$G$2:$G$461,MATCH($A440,InternalTrades!$A$2:$A$461,0)),"")</f>
        <v/>
      </c>
      <c r="J440">
        <f>IFERROR(INDEX(ExchangeConfirms!$G$2:$G$460,MATCH($A440,ExchangeConfirms!$A$2:$A$460,0)),"")</f>
        <v/>
      </c>
      <c r="K440">
        <f>IFERROR(INDEX(InternalTrades!$H$2:$H$461,MATCH($A440,InternalTrades!$A$2:$A$461,0)),"")</f>
        <v/>
      </c>
      <c r="L440">
        <f>IFERROR(INDEX(ExchangeConfirms!$H$2:$H$460,MATCH($A440,ExchangeConfirms!$A$2:$A$460,0)),"")</f>
        <v/>
      </c>
      <c r="M440">
        <f>IFERROR(INDEX(InternalTrades!$J$2:$J$461,MATCH($A440,InternalTrades!$A$2:$A$461,0)),"")</f>
        <v/>
      </c>
      <c r="N440">
        <f>IFERROR(INDEX(ExchangeConfirms!$J$2:$J$460,MATCH($A440,ExchangeConfirms!$A$2:$A$460,0)),"")</f>
        <v/>
      </c>
      <c r="O440">
        <f>IFERROR(INDEX(InternalTrades!$I$2:$I$461,MATCH($A440,InternalTrades!$A$2:$A$461,0)),"")</f>
        <v/>
      </c>
      <c r="P440">
        <f>IFERROR(INDEX(ExchangeConfirms!$I$2:$I$460,MATCH($A440,ExchangeConfirms!$A$2:$A$460,0)),"")</f>
        <v/>
      </c>
      <c r="Q440">
        <f>IF(AND($E440=1,$F440=0),"MISSING IN EXCHANGE",IF(AND($E440=0,$F440=1),"MISSING IN INTERNAL",IF($G440&lt;&gt;$H440,"SIDE BREAK",IF($I440&lt;&gt;$J440,"QTY BREAK",IF(ABS($K440-$L440)&gt;0.005,"PRICE BREAK",IF(ABS($M440-$N440)&gt;0.01,"FEE BREAK","MATCHED"))))))</f>
        <v/>
      </c>
      <c r="R440">
        <f>IF($Q440="MATCHED",0,1)</f>
        <v/>
      </c>
      <c r="S440">
        <f>IF($Q440="MATCHED",0,IF($Q440="MISSING IN EXCHANGE",$O440,IF($Q440="MISSING IN INTERNAL",$P440,ABS(N($O440)-N($P440)))))</f>
        <v/>
      </c>
    </row>
    <row r="441">
      <c r="A441" t="inlineStr">
        <is>
          <t>T100440</t>
        </is>
      </c>
      <c r="B441">
        <f>IFERROR(INDEX(InternalTrades!$D$2:$D$461,MATCH($A441,InternalTrades!$A$2:$A$461,0)),INDEX(ExchangeConfirms!$D$2:$D$460,MATCH($A441,ExchangeConfirms!$A$2:$A$460,0)))</f>
        <v/>
      </c>
      <c r="C441">
        <f>IFERROR(INDEX(InternalTrades!$E$2:$E$461,MATCH($A441,InternalTrades!$A$2:$A$461,0)),INDEX(ExchangeConfirms!$E$2:$E$460,MATCH($A441,ExchangeConfirms!$A$2:$A$460,0)))</f>
        <v/>
      </c>
      <c r="D441">
        <f>IFERROR(INDEX(InternalTrades!$K$2:$K$461,MATCH($A441,InternalTrades!$A$2:$A$461,0)),INDEX(ExchangeConfirms!$K$2:$K$460,MATCH($A441,ExchangeConfirms!$A$2:$A$460,0)))</f>
        <v/>
      </c>
      <c r="E441">
        <f>IF(COUNTIF(InternalTrades!$A$2:$A$461,$A441)&gt;0,1,0)</f>
        <v/>
      </c>
      <c r="F441">
        <f>IF(COUNTIF(ExchangeConfirms!$A$2:$A$460,$A441)&gt;0,1,0)</f>
        <v/>
      </c>
      <c r="G441">
        <f>IFERROR(INDEX(InternalTrades!$F$2:$F$461,MATCH($A441,InternalTrades!$A$2:$A$461,0)),"")</f>
        <v/>
      </c>
      <c r="H441">
        <f>IFERROR(INDEX(ExchangeConfirms!$F$2:$F$460,MATCH($A441,ExchangeConfirms!$A$2:$A$460,0)),"")</f>
        <v/>
      </c>
      <c r="I441">
        <f>IFERROR(INDEX(InternalTrades!$G$2:$G$461,MATCH($A441,InternalTrades!$A$2:$A$461,0)),"")</f>
        <v/>
      </c>
      <c r="J441">
        <f>IFERROR(INDEX(ExchangeConfirms!$G$2:$G$460,MATCH($A441,ExchangeConfirms!$A$2:$A$460,0)),"")</f>
        <v/>
      </c>
      <c r="K441">
        <f>IFERROR(INDEX(InternalTrades!$H$2:$H$461,MATCH($A441,InternalTrades!$A$2:$A$461,0)),"")</f>
        <v/>
      </c>
      <c r="L441">
        <f>IFERROR(INDEX(ExchangeConfirms!$H$2:$H$460,MATCH($A441,ExchangeConfirms!$A$2:$A$460,0)),"")</f>
        <v/>
      </c>
      <c r="M441">
        <f>IFERROR(INDEX(InternalTrades!$J$2:$J$461,MATCH($A441,InternalTrades!$A$2:$A$461,0)),"")</f>
        <v/>
      </c>
      <c r="N441">
        <f>IFERROR(INDEX(ExchangeConfirms!$J$2:$J$460,MATCH($A441,ExchangeConfirms!$A$2:$A$460,0)),"")</f>
        <v/>
      </c>
      <c r="O441">
        <f>IFERROR(INDEX(InternalTrades!$I$2:$I$461,MATCH($A441,InternalTrades!$A$2:$A$461,0)),"")</f>
        <v/>
      </c>
      <c r="P441">
        <f>IFERROR(INDEX(ExchangeConfirms!$I$2:$I$460,MATCH($A441,ExchangeConfirms!$A$2:$A$460,0)),"")</f>
        <v/>
      </c>
      <c r="Q441">
        <f>IF(AND($E441=1,$F441=0),"MISSING IN EXCHANGE",IF(AND($E441=0,$F441=1),"MISSING IN INTERNAL",IF($G441&lt;&gt;$H441,"SIDE BREAK",IF($I441&lt;&gt;$J441,"QTY BREAK",IF(ABS($K441-$L441)&gt;0.005,"PRICE BREAK",IF(ABS($M441-$N441)&gt;0.01,"FEE BREAK","MATCHED"))))))</f>
        <v/>
      </c>
      <c r="R441">
        <f>IF($Q441="MATCHED",0,1)</f>
        <v/>
      </c>
      <c r="S441">
        <f>IF($Q441="MATCHED",0,IF($Q441="MISSING IN EXCHANGE",$O441,IF($Q441="MISSING IN INTERNAL",$P441,ABS(N($O441)-N($P441)))))</f>
        <v/>
      </c>
    </row>
    <row r="442">
      <c r="A442" t="inlineStr">
        <is>
          <t>T100441</t>
        </is>
      </c>
      <c r="B442">
        <f>IFERROR(INDEX(InternalTrades!$D$2:$D$461,MATCH($A442,InternalTrades!$A$2:$A$461,0)),INDEX(ExchangeConfirms!$D$2:$D$460,MATCH($A442,ExchangeConfirms!$A$2:$A$460,0)))</f>
        <v/>
      </c>
      <c r="C442">
        <f>IFERROR(INDEX(InternalTrades!$E$2:$E$461,MATCH($A442,InternalTrades!$A$2:$A$461,0)),INDEX(ExchangeConfirms!$E$2:$E$460,MATCH($A442,ExchangeConfirms!$A$2:$A$460,0)))</f>
        <v/>
      </c>
      <c r="D442">
        <f>IFERROR(INDEX(InternalTrades!$K$2:$K$461,MATCH($A442,InternalTrades!$A$2:$A$461,0)),INDEX(ExchangeConfirms!$K$2:$K$460,MATCH($A442,ExchangeConfirms!$A$2:$A$460,0)))</f>
        <v/>
      </c>
      <c r="E442">
        <f>IF(COUNTIF(InternalTrades!$A$2:$A$461,$A442)&gt;0,1,0)</f>
        <v/>
      </c>
      <c r="F442">
        <f>IF(COUNTIF(ExchangeConfirms!$A$2:$A$460,$A442)&gt;0,1,0)</f>
        <v/>
      </c>
      <c r="G442">
        <f>IFERROR(INDEX(InternalTrades!$F$2:$F$461,MATCH($A442,InternalTrades!$A$2:$A$461,0)),"")</f>
        <v/>
      </c>
      <c r="H442">
        <f>IFERROR(INDEX(ExchangeConfirms!$F$2:$F$460,MATCH($A442,ExchangeConfirms!$A$2:$A$460,0)),"")</f>
        <v/>
      </c>
      <c r="I442">
        <f>IFERROR(INDEX(InternalTrades!$G$2:$G$461,MATCH($A442,InternalTrades!$A$2:$A$461,0)),"")</f>
        <v/>
      </c>
      <c r="J442">
        <f>IFERROR(INDEX(ExchangeConfirms!$G$2:$G$460,MATCH($A442,ExchangeConfirms!$A$2:$A$460,0)),"")</f>
        <v/>
      </c>
      <c r="K442">
        <f>IFERROR(INDEX(InternalTrades!$H$2:$H$461,MATCH($A442,InternalTrades!$A$2:$A$461,0)),"")</f>
        <v/>
      </c>
      <c r="L442">
        <f>IFERROR(INDEX(ExchangeConfirms!$H$2:$H$460,MATCH($A442,ExchangeConfirms!$A$2:$A$460,0)),"")</f>
        <v/>
      </c>
      <c r="M442">
        <f>IFERROR(INDEX(InternalTrades!$J$2:$J$461,MATCH($A442,InternalTrades!$A$2:$A$461,0)),"")</f>
        <v/>
      </c>
      <c r="N442">
        <f>IFERROR(INDEX(ExchangeConfirms!$J$2:$J$460,MATCH($A442,ExchangeConfirms!$A$2:$A$460,0)),"")</f>
        <v/>
      </c>
      <c r="O442">
        <f>IFERROR(INDEX(InternalTrades!$I$2:$I$461,MATCH($A442,InternalTrades!$A$2:$A$461,0)),"")</f>
        <v/>
      </c>
      <c r="P442">
        <f>IFERROR(INDEX(ExchangeConfirms!$I$2:$I$460,MATCH($A442,ExchangeConfirms!$A$2:$A$460,0)),"")</f>
        <v/>
      </c>
      <c r="Q442">
        <f>IF(AND($E442=1,$F442=0),"MISSING IN EXCHANGE",IF(AND($E442=0,$F442=1),"MISSING IN INTERNAL",IF($G442&lt;&gt;$H442,"SIDE BREAK",IF($I442&lt;&gt;$J442,"QTY BREAK",IF(ABS($K442-$L442)&gt;0.005,"PRICE BREAK",IF(ABS($M442-$N442)&gt;0.01,"FEE BREAK","MATCHED"))))))</f>
        <v/>
      </c>
      <c r="R442">
        <f>IF($Q442="MATCHED",0,1)</f>
        <v/>
      </c>
      <c r="S442">
        <f>IF($Q442="MATCHED",0,IF($Q442="MISSING IN EXCHANGE",$O442,IF($Q442="MISSING IN INTERNAL",$P442,ABS(N($O442)-N($P442)))))</f>
        <v/>
      </c>
    </row>
    <row r="443">
      <c r="A443" t="inlineStr">
        <is>
          <t>T100442</t>
        </is>
      </c>
      <c r="B443">
        <f>IFERROR(INDEX(InternalTrades!$D$2:$D$461,MATCH($A443,InternalTrades!$A$2:$A$461,0)),INDEX(ExchangeConfirms!$D$2:$D$460,MATCH($A443,ExchangeConfirms!$A$2:$A$460,0)))</f>
        <v/>
      </c>
      <c r="C443">
        <f>IFERROR(INDEX(InternalTrades!$E$2:$E$461,MATCH($A443,InternalTrades!$A$2:$A$461,0)),INDEX(ExchangeConfirms!$E$2:$E$460,MATCH($A443,ExchangeConfirms!$A$2:$A$460,0)))</f>
        <v/>
      </c>
      <c r="D443">
        <f>IFERROR(INDEX(InternalTrades!$K$2:$K$461,MATCH($A443,InternalTrades!$A$2:$A$461,0)),INDEX(ExchangeConfirms!$K$2:$K$460,MATCH($A443,ExchangeConfirms!$A$2:$A$460,0)))</f>
        <v/>
      </c>
      <c r="E443">
        <f>IF(COUNTIF(InternalTrades!$A$2:$A$461,$A443)&gt;0,1,0)</f>
        <v/>
      </c>
      <c r="F443">
        <f>IF(COUNTIF(ExchangeConfirms!$A$2:$A$460,$A443)&gt;0,1,0)</f>
        <v/>
      </c>
      <c r="G443">
        <f>IFERROR(INDEX(InternalTrades!$F$2:$F$461,MATCH($A443,InternalTrades!$A$2:$A$461,0)),"")</f>
        <v/>
      </c>
      <c r="H443">
        <f>IFERROR(INDEX(ExchangeConfirms!$F$2:$F$460,MATCH($A443,ExchangeConfirms!$A$2:$A$460,0)),"")</f>
        <v/>
      </c>
      <c r="I443">
        <f>IFERROR(INDEX(InternalTrades!$G$2:$G$461,MATCH($A443,InternalTrades!$A$2:$A$461,0)),"")</f>
        <v/>
      </c>
      <c r="J443">
        <f>IFERROR(INDEX(ExchangeConfirms!$G$2:$G$460,MATCH($A443,ExchangeConfirms!$A$2:$A$460,0)),"")</f>
        <v/>
      </c>
      <c r="K443">
        <f>IFERROR(INDEX(InternalTrades!$H$2:$H$461,MATCH($A443,InternalTrades!$A$2:$A$461,0)),"")</f>
        <v/>
      </c>
      <c r="L443">
        <f>IFERROR(INDEX(ExchangeConfirms!$H$2:$H$460,MATCH($A443,ExchangeConfirms!$A$2:$A$460,0)),"")</f>
        <v/>
      </c>
      <c r="M443">
        <f>IFERROR(INDEX(InternalTrades!$J$2:$J$461,MATCH($A443,InternalTrades!$A$2:$A$461,0)),"")</f>
        <v/>
      </c>
      <c r="N443">
        <f>IFERROR(INDEX(ExchangeConfirms!$J$2:$J$460,MATCH($A443,ExchangeConfirms!$A$2:$A$460,0)),"")</f>
        <v/>
      </c>
      <c r="O443">
        <f>IFERROR(INDEX(InternalTrades!$I$2:$I$461,MATCH($A443,InternalTrades!$A$2:$A$461,0)),"")</f>
        <v/>
      </c>
      <c r="P443">
        <f>IFERROR(INDEX(ExchangeConfirms!$I$2:$I$460,MATCH($A443,ExchangeConfirms!$A$2:$A$460,0)),"")</f>
        <v/>
      </c>
      <c r="Q443">
        <f>IF(AND($E443=1,$F443=0),"MISSING IN EXCHANGE",IF(AND($E443=0,$F443=1),"MISSING IN INTERNAL",IF($G443&lt;&gt;$H443,"SIDE BREAK",IF($I443&lt;&gt;$J443,"QTY BREAK",IF(ABS($K443-$L443)&gt;0.005,"PRICE BREAK",IF(ABS($M443-$N443)&gt;0.01,"FEE BREAK","MATCHED"))))))</f>
        <v/>
      </c>
      <c r="R443">
        <f>IF($Q443="MATCHED",0,1)</f>
        <v/>
      </c>
      <c r="S443">
        <f>IF($Q443="MATCHED",0,IF($Q443="MISSING IN EXCHANGE",$O443,IF($Q443="MISSING IN INTERNAL",$P443,ABS(N($O443)-N($P443)))))</f>
        <v/>
      </c>
    </row>
    <row r="444">
      <c r="A444" t="inlineStr">
        <is>
          <t>T100443</t>
        </is>
      </c>
      <c r="B444">
        <f>IFERROR(INDEX(InternalTrades!$D$2:$D$461,MATCH($A444,InternalTrades!$A$2:$A$461,0)),INDEX(ExchangeConfirms!$D$2:$D$460,MATCH($A444,ExchangeConfirms!$A$2:$A$460,0)))</f>
        <v/>
      </c>
      <c r="C444">
        <f>IFERROR(INDEX(InternalTrades!$E$2:$E$461,MATCH($A444,InternalTrades!$A$2:$A$461,0)),INDEX(ExchangeConfirms!$E$2:$E$460,MATCH($A444,ExchangeConfirms!$A$2:$A$460,0)))</f>
        <v/>
      </c>
      <c r="D444">
        <f>IFERROR(INDEX(InternalTrades!$K$2:$K$461,MATCH($A444,InternalTrades!$A$2:$A$461,0)),INDEX(ExchangeConfirms!$K$2:$K$460,MATCH($A444,ExchangeConfirms!$A$2:$A$460,0)))</f>
        <v/>
      </c>
      <c r="E444">
        <f>IF(COUNTIF(InternalTrades!$A$2:$A$461,$A444)&gt;0,1,0)</f>
        <v/>
      </c>
      <c r="F444">
        <f>IF(COUNTIF(ExchangeConfirms!$A$2:$A$460,$A444)&gt;0,1,0)</f>
        <v/>
      </c>
      <c r="G444">
        <f>IFERROR(INDEX(InternalTrades!$F$2:$F$461,MATCH($A444,InternalTrades!$A$2:$A$461,0)),"")</f>
        <v/>
      </c>
      <c r="H444">
        <f>IFERROR(INDEX(ExchangeConfirms!$F$2:$F$460,MATCH($A444,ExchangeConfirms!$A$2:$A$460,0)),"")</f>
        <v/>
      </c>
      <c r="I444">
        <f>IFERROR(INDEX(InternalTrades!$G$2:$G$461,MATCH($A444,InternalTrades!$A$2:$A$461,0)),"")</f>
        <v/>
      </c>
      <c r="J444">
        <f>IFERROR(INDEX(ExchangeConfirms!$G$2:$G$460,MATCH($A444,ExchangeConfirms!$A$2:$A$460,0)),"")</f>
        <v/>
      </c>
      <c r="K444">
        <f>IFERROR(INDEX(InternalTrades!$H$2:$H$461,MATCH($A444,InternalTrades!$A$2:$A$461,0)),"")</f>
        <v/>
      </c>
      <c r="L444">
        <f>IFERROR(INDEX(ExchangeConfirms!$H$2:$H$460,MATCH($A444,ExchangeConfirms!$A$2:$A$460,0)),"")</f>
        <v/>
      </c>
      <c r="M444">
        <f>IFERROR(INDEX(InternalTrades!$J$2:$J$461,MATCH($A444,InternalTrades!$A$2:$A$461,0)),"")</f>
        <v/>
      </c>
      <c r="N444">
        <f>IFERROR(INDEX(ExchangeConfirms!$J$2:$J$460,MATCH($A444,ExchangeConfirms!$A$2:$A$460,0)),"")</f>
        <v/>
      </c>
      <c r="O444">
        <f>IFERROR(INDEX(InternalTrades!$I$2:$I$461,MATCH($A444,InternalTrades!$A$2:$A$461,0)),"")</f>
        <v/>
      </c>
      <c r="P444">
        <f>IFERROR(INDEX(ExchangeConfirms!$I$2:$I$460,MATCH($A444,ExchangeConfirms!$A$2:$A$460,0)),"")</f>
        <v/>
      </c>
      <c r="Q444">
        <f>IF(AND($E444=1,$F444=0),"MISSING IN EXCHANGE",IF(AND($E444=0,$F444=1),"MISSING IN INTERNAL",IF($G444&lt;&gt;$H444,"SIDE BREAK",IF($I444&lt;&gt;$J444,"QTY BREAK",IF(ABS($K444-$L444)&gt;0.005,"PRICE BREAK",IF(ABS($M444-$N444)&gt;0.01,"FEE BREAK","MATCHED"))))))</f>
        <v/>
      </c>
      <c r="R444">
        <f>IF($Q444="MATCHED",0,1)</f>
        <v/>
      </c>
      <c r="S444">
        <f>IF($Q444="MATCHED",0,IF($Q444="MISSING IN EXCHANGE",$O444,IF($Q444="MISSING IN INTERNAL",$P444,ABS(N($O444)-N($P444)))))</f>
        <v/>
      </c>
    </row>
    <row r="445">
      <c r="A445" t="inlineStr">
        <is>
          <t>T100444</t>
        </is>
      </c>
      <c r="B445">
        <f>IFERROR(INDEX(InternalTrades!$D$2:$D$461,MATCH($A445,InternalTrades!$A$2:$A$461,0)),INDEX(ExchangeConfirms!$D$2:$D$460,MATCH($A445,ExchangeConfirms!$A$2:$A$460,0)))</f>
        <v/>
      </c>
      <c r="C445">
        <f>IFERROR(INDEX(InternalTrades!$E$2:$E$461,MATCH($A445,InternalTrades!$A$2:$A$461,0)),INDEX(ExchangeConfirms!$E$2:$E$460,MATCH($A445,ExchangeConfirms!$A$2:$A$460,0)))</f>
        <v/>
      </c>
      <c r="D445">
        <f>IFERROR(INDEX(InternalTrades!$K$2:$K$461,MATCH($A445,InternalTrades!$A$2:$A$461,0)),INDEX(ExchangeConfirms!$K$2:$K$460,MATCH($A445,ExchangeConfirms!$A$2:$A$460,0)))</f>
        <v/>
      </c>
      <c r="E445">
        <f>IF(COUNTIF(InternalTrades!$A$2:$A$461,$A445)&gt;0,1,0)</f>
        <v/>
      </c>
      <c r="F445">
        <f>IF(COUNTIF(ExchangeConfirms!$A$2:$A$460,$A445)&gt;0,1,0)</f>
        <v/>
      </c>
      <c r="G445">
        <f>IFERROR(INDEX(InternalTrades!$F$2:$F$461,MATCH($A445,InternalTrades!$A$2:$A$461,0)),"")</f>
        <v/>
      </c>
      <c r="H445">
        <f>IFERROR(INDEX(ExchangeConfirms!$F$2:$F$460,MATCH($A445,ExchangeConfirms!$A$2:$A$460,0)),"")</f>
        <v/>
      </c>
      <c r="I445">
        <f>IFERROR(INDEX(InternalTrades!$G$2:$G$461,MATCH($A445,InternalTrades!$A$2:$A$461,0)),"")</f>
        <v/>
      </c>
      <c r="J445">
        <f>IFERROR(INDEX(ExchangeConfirms!$G$2:$G$460,MATCH($A445,ExchangeConfirms!$A$2:$A$460,0)),"")</f>
        <v/>
      </c>
      <c r="K445">
        <f>IFERROR(INDEX(InternalTrades!$H$2:$H$461,MATCH($A445,InternalTrades!$A$2:$A$461,0)),"")</f>
        <v/>
      </c>
      <c r="L445">
        <f>IFERROR(INDEX(ExchangeConfirms!$H$2:$H$460,MATCH($A445,ExchangeConfirms!$A$2:$A$460,0)),"")</f>
        <v/>
      </c>
      <c r="M445">
        <f>IFERROR(INDEX(InternalTrades!$J$2:$J$461,MATCH($A445,InternalTrades!$A$2:$A$461,0)),"")</f>
        <v/>
      </c>
      <c r="N445">
        <f>IFERROR(INDEX(ExchangeConfirms!$J$2:$J$460,MATCH($A445,ExchangeConfirms!$A$2:$A$460,0)),"")</f>
        <v/>
      </c>
      <c r="O445">
        <f>IFERROR(INDEX(InternalTrades!$I$2:$I$461,MATCH($A445,InternalTrades!$A$2:$A$461,0)),"")</f>
        <v/>
      </c>
      <c r="P445">
        <f>IFERROR(INDEX(ExchangeConfirms!$I$2:$I$460,MATCH($A445,ExchangeConfirms!$A$2:$A$460,0)),"")</f>
        <v/>
      </c>
      <c r="Q445">
        <f>IF(AND($E445=1,$F445=0),"MISSING IN EXCHANGE",IF(AND($E445=0,$F445=1),"MISSING IN INTERNAL",IF($G445&lt;&gt;$H445,"SIDE BREAK",IF($I445&lt;&gt;$J445,"QTY BREAK",IF(ABS($K445-$L445)&gt;0.005,"PRICE BREAK",IF(ABS($M445-$N445)&gt;0.01,"FEE BREAK","MATCHED"))))))</f>
        <v/>
      </c>
      <c r="R445">
        <f>IF($Q445="MATCHED",0,1)</f>
        <v/>
      </c>
      <c r="S445">
        <f>IF($Q445="MATCHED",0,IF($Q445="MISSING IN EXCHANGE",$O445,IF($Q445="MISSING IN INTERNAL",$P445,ABS(N($O445)-N($P445)))))</f>
        <v/>
      </c>
    </row>
    <row r="446">
      <c r="A446" t="inlineStr">
        <is>
          <t>T100445</t>
        </is>
      </c>
      <c r="B446">
        <f>IFERROR(INDEX(InternalTrades!$D$2:$D$461,MATCH($A446,InternalTrades!$A$2:$A$461,0)),INDEX(ExchangeConfirms!$D$2:$D$460,MATCH($A446,ExchangeConfirms!$A$2:$A$460,0)))</f>
        <v/>
      </c>
      <c r="C446">
        <f>IFERROR(INDEX(InternalTrades!$E$2:$E$461,MATCH($A446,InternalTrades!$A$2:$A$461,0)),INDEX(ExchangeConfirms!$E$2:$E$460,MATCH($A446,ExchangeConfirms!$A$2:$A$460,0)))</f>
        <v/>
      </c>
      <c r="D446">
        <f>IFERROR(INDEX(InternalTrades!$K$2:$K$461,MATCH($A446,InternalTrades!$A$2:$A$461,0)),INDEX(ExchangeConfirms!$K$2:$K$460,MATCH($A446,ExchangeConfirms!$A$2:$A$460,0)))</f>
        <v/>
      </c>
      <c r="E446">
        <f>IF(COUNTIF(InternalTrades!$A$2:$A$461,$A446)&gt;0,1,0)</f>
        <v/>
      </c>
      <c r="F446">
        <f>IF(COUNTIF(ExchangeConfirms!$A$2:$A$460,$A446)&gt;0,1,0)</f>
        <v/>
      </c>
      <c r="G446">
        <f>IFERROR(INDEX(InternalTrades!$F$2:$F$461,MATCH($A446,InternalTrades!$A$2:$A$461,0)),"")</f>
        <v/>
      </c>
      <c r="H446">
        <f>IFERROR(INDEX(ExchangeConfirms!$F$2:$F$460,MATCH($A446,ExchangeConfirms!$A$2:$A$460,0)),"")</f>
        <v/>
      </c>
      <c r="I446">
        <f>IFERROR(INDEX(InternalTrades!$G$2:$G$461,MATCH($A446,InternalTrades!$A$2:$A$461,0)),"")</f>
        <v/>
      </c>
      <c r="J446">
        <f>IFERROR(INDEX(ExchangeConfirms!$G$2:$G$460,MATCH($A446,ExchangeConfirms!$A$2:$A$460,0)),"")</f>
        <v/>
      </c>
      <c r="K446">
        <f>IFERROR(INDEX(InternalTrades!$H$2:$H$461,MATCH($A446,InternalTrades!$A$2:$A$461,0)),"")</f>
        <v/>
      </c>
      <c r="L446">
        <f>IFERROR(INDEX(ExchangeConfirms!$H$2:$H$460,MATCH($A446,ExchangeConfirms!$A$2:$A$460,0)),"")</f>
        <v/>
      </c>
      <c r="M446">
        <f>IFERROR(INDEX(InternalTrades!$J$2:$J$461,MATCH($A446,InternalTrades!$A$2:$A$461,0)),"")</f>
        <v/>
      </c>
      <c r="N446">
        <f>IFERROR(INDEX(ExchangeConfirms!$J$2:$J$460,MATCH($A446,ExchangeConfirms!$A$2:$A$460,0)),"")</f>
        <v/>
      </c>
      <c r="O446">
        <f>IFERROR(INDEX(InternalTrades!$I$2:$I$461,MATCH($A446,InternalTrades!$A$2:$A$461,0)),"")</f>
        <v/>
      </c>
      <c r="P446">
        <f>IFERROR(INDEX(ExchangeConfirms!$I$2:$I$460,MATCH($A446,ExchangeConfirms!$A$2:$A$460,0)),"")</f>
        <v/>
      </c>
      <c r="Q446">
        <f>IF(AND($E446=1,$F446=0),"MISSING IN EXCHANGE",IF(AND($E446=0,$F446=1),"MISSING IN INTERNAL",IF($G446&lt;&gt;$H446,"SIDE BREAK",IF($I446&lt;&gt;$J446,"QTY BREAK",IF(ABS($K446-$L446)&gt;0.005,"PRICE BREAK",IF(ABS($M446-$N446)&gt;0.01,"FEE BREAK","MATCHED"))))))</f>
        <v/>
      </c>
      <c r="R446">
        <f>IF($Q446="MATCHED",0,1)</f>
        <v/>
      </c>
      <c r="S446">
        <f>IF($Q446="MATCHED",0,IF($Q446="MISSING IN EXCHANGE",$O446,IF($Q446="MISSING IN INTERNAL",$P446,ABS(N($O446)-N($P446)))))</f>
        <v/>
      </c>
    </row>
    <row r="447">
      <c r="A447" t="inlineStr">
        <is>
          <t>T100446</t>
        </is>
      </c>
      <c r="B447">
        <f>IFERROR(INDEX(InternalTrades!$D$2:$D$461,MATCH($A447,InternalTrades!$A$2:$A$461,0)),INDEX(ExchangeConfirms!$D$2:$D$460,MATCH($A447,ExchangeConfirms!$A$2:$A$460,0)))</f>
        <v/>
      </c>
      <c r="C447">
        <f>IFERROR(INDEX(InternalTrades!$E$2:$E$461,MATCH($A447,InternalTrades!$A$2:$A$461,0)),INDEX(ExchangeConfirms!$E$2:$E$460,MATCH($A447,ExchangeConfirms!$A$2:$A$460,0)))</f>
        <v/>
      </c>
      <c r="D447">
        <f>IFERROR(INDEX(InternalTrades!$K$2:$K$461,MATCH($A447,InternalTrades!$A$2:$A$461,0)),INDEX(ExchangeConfirms!$K$2:$K$460,MATCH($A447,ExchangeConfirms!$A$2:$A$460,0)))</f>
        <v/>
      </c>
      <c r="E447">
        <f>IF(COUNTIF(InternalTrades!$A$2:$A$461,$A447)&gt;0,1,0)</f>
        <v/>
      </c>
      <c r="F447">
        <f>IF(COUNTIF(ExchangeConfirms!$A$2:$A$460,$A447)&gt;0,1,0)</f>
        <v/>
      </c>
      <c r="G447">
        <f>IFERROR(INDEX(InternalTrades!$F$2:$F$461,MATCH($A447,InternalTrades!$A$2:$A$461,0)),"")</f>
        <v/>
      </c>
      <c r="H447">
        <f>IFERROR(INDEX(ExchangeConfirms!$F$2:$F$460,MATCH($A447,ExchangeConfirms!$A$2:$A$460,0)),"")</f>
        <v/>
      </c>
      <c r="I447">
        <f>IFERROR(INDEX(InternalTrades!$G$2:$G$461,MATCH($A447,InternalTrades!$A$2:$A$461,0)),"")</f>
        <v/>
      </c>
      <c r="J447">
        <f>IFERROR(INDEX(ExchangeConfirms!$G$2:$G$460,MATCH($A447,ExchangeConfirms!$A$2:$A$460,0)),"")</f>
        <v/>
      </c>
      <c r="K447">
        <f>IFERROR(INDEX(InternalTrades!$H$2:$H$461,MATCH($A447,InternalTrades!$A$2:$A$461,0)),"")</f>
        <v/>
      </c>
      <c r="L447">
        <f>IFERROR(INDEX(ExchangeConfirms!$H$2:$H$460,MATCH($A447,ExchangeConfirms!$A$2:$A$460,0)),"")</f>
        <v/>
      </c>
      <c r="M447">
        <f>IFERROR(INDEX(InternalTrades!$J$2:$J$461,MATCH($A447,InternalTrades!$A$2:$A$461,0)),"")</f>
        <v/>
      </c>
      <c r="N447">
        <f>IFERROR(INDEX(ExchangeConfirms!$J$2:$J$460,MATCH($A447,ExchangeConfirms!$A$2:$A$460,0)),"")</f>
        <v/>
      </c>
      <c r="O447">
        <f>IFERROR(INDEX(InternalTrades!$I$2:$I$461,MATCH($A447,InternalTrades!$A$2:$A$461,0)),"")</f>
        <v/>
      </c>
      <c r="P447">
        <f>IFERROR(INDEX(ExchangeConfirms!$I$2:$I$460,MATCH($A447,ExchangeConfirms!$A$2:$A$460,0)),"")</f>
        <v/>
      </c>
      <c r="Q447">
        <f>IF(AND($E447=1,$F447=0),"MISSING IN EXCHANGE",IF(AND($E447=0,$F447=1),"MISSING IN INTERNAL",IF($G447&lt;&gt;$H447,"SIDE BREAK",IF($I447&lt;&gt;$J447,"QTY BREAK",IF(ABS($K447-$L447)&gt;0.005,"PRICE BREAK",IF(ABS($M447-$N447)&gt;0.01,"FEE BREAK","MATCHED"))))))</f>
        <v/>
      </c>
      <c r="R447">
        <f>IF($Q447="MATCHED",0,1)</f>
        <v/>
      </c>
      <c r="S447">
        <f>IF($Q447="MATCHED",0,IF($Q447="MISSING IN EXCHANGE",$O447,IF($Q447="MISSING IN INTERNAL",$P447,ABS(N($O447)-N($P447)))))</f>
        <v/>
      </c>
    </row>
    <row r="448">
      <c r="A448" t="inlineStr">
        <is>
          <t>T100447</t>
        </is>
      </c>
      <c r="B448">
        <f>IFERROR(INDEX(InternalTrades!$D$2:$D$461,MATCH($A448,InternalTrades!$A$2:$A$461,0)),INDEX(ExchangeConfirms!$D$2:$D$460,MATCH($A448,ExchangeConfirms!$A$2:$A$460,0)))</f>
        <v/>
      </c>
      <c r="C448">
        <f>IFERROR(INDEX(InternalTrades!$E$2:$E$461,MATCH($A448,InternalTrades!$A$2:$A$461,0)),INDEX(ExchangeConfirms!$E$2:$E$460,MATCH($A448,ExchangeConfirms!$A$2:$A$460,0)))</f>
        <v/>
      </c>
      <c r="D448">
        <f>IFERROR(INDEX(InternalTrades!$K$2:$K$461,MATCH($A448,InternalTrades!$A$2:$A$461,0)),INDEX(ExchangeConfirms!$K$2:$K$460,MATCH($A448,ExchangeConfirms!$A$2:$A$460,0)))</f>
        <v/>
      </c>
      <c r="E448">
        <f>IF(COUNTIF(InternalTrades!$A$2:$A$461,$A448)&gt;0,1,0)</f>
        <v/>
      </c>
      <c r="F448">
        <f>IF(COUNTIF(ExchangeConfirms!$A$2:$A$460,$A448)&gt;0,1,0)</f>
        <v/>
      </c>
      <c r="G448">
        <f>IFERROR(INDEX(InternalTrades!$F$2:$F$461,MATCH($A448,InternalTrades!$A$2:$A$461,0)),"")</f>
        <v/>
      </c>
      <c r="H448">
        <f>IFERROR(INDEX(ExchangeConfirms!$F$2:$F$460,MATCH($A448,ExchangeConfirms!$A$2:$A$460,0)),"")</f>
        <v/>
      </c>
      <c r="I448">
        <f>IFERROR(INDEX(InternalTrades!$G$2:$G$461,MATCH($A448,InternalTrades!$A$2:$A$461,0)),"")</f>
        <v/>
      </c>
      <c r="J448">
        <f>IFERROR(INDEX(ExchangeConfirms!$G$2:$G$460,MATCH($A448,ExchangeConfirms!$A$2:$A$460,0)),"")</f>
        <v/>
      </c>
      <c r="K448">
        <f>IFERROR(INDEX(InternalTrades!$H$2:$H$461,MATCH($A448,InternalTrades!$A$2:$A$461,0)),"")</f>
        <v/>
      </c>
      <c r="L448">
        <f>IFERROR(INDEX(ExchangeConfirms!$H$2:$H$460,MATCH($A448,ExchangeConfirms!$A$2:$A$460,0)),"")</f>
        <v/>
      </c>
      <c r="M448">
        <f>IFERROR(INDEX(InternalTrades!$J$2:$J$461,MATCH($A448,InternalTrades!$A$2:$A$461,0)),"")</f>
        <v/>
      </c>
      <c r="N448">
        <f>IFERROR(INDEX(ExchangeConfirms!$J$2:$J$460,MATCH($A448,ExchangeConfirms!$A$2:$A$460,0)),"")</f>
        <v/>
      </c>
      <c r="O448">
        <f>IFERROR(INDEX(InternalTrades!$I$2:$I$461,MATCH($A448,InternalTrades!$A$2:$A$461,0)),"")</f>
        <v/>
      </c>
      <c r="P448">
        <f>IFERROR(INDEX(ExchangeConfirms!$I$2:$I$460,MATCH($A448,ExchangeConfirms!$A$2:$A$460,0)),"")</f>
        <v/>
      </c>
      <c r="Q448">
        <f>IF(AND($E448=1,$F448=0),"MISSING IN EXCHANGE",IF(AND($E448=0,$F448=1),"MISSING IN INTERNAL",IF($G448&lt;&gt;$H448,"SIDE BREAK",IF($I448&lt;&gt;$J448,"QTY BREAK",IF(ABS($K448-$L448)&gt;0.005,"PRICE BREAK",IF(ABS($M448-$N448)&gt;0.01,"FEE BREAK","MATCHED"))))))</f>
        <v/>
      </c>
      <c r="R448">
        <f>IF($Q448="MATCHED",0,1)</f>
        <v/>
      </c>
      <c r="S448">
        <f>IF($Q448="MATCHED",0,IF($Q448="MISSING IN EXCHANGE",$O448,IF($Q448="MISSING IN INTERNAL",$P448,ABS(N($O448)-N($P448)))))</f>
        <v/>
      </c>
    </row>
    <row r="449">
      <c r="A449" t="inlineStr">
        <is>
          <t>T100448</t>
        </is>
      </c>
      <c r="B449">
        <f>IFERROR(INDEX(InternalTrades!$D$2:$D$461,MATCH($A449,InternalTrades!$A$2:$A$461,0)),INDEX(ExchangeConfirms!$D$2:$D$460,MATCH($A449,ExchangeConfirms!$A$2:$A$460,0)))</f>
        <v/>
      </c>
      <c r="C449">
        <f>IFERROR(INDEX(InternalTrades!$E$2:$E$461,MATCH($A449,InternalTrades!$A$2:$A$461,0)),INDEX(ExchangeConfirms!$E$2:$E$460,MATCH($A449,ExchangeConfirms!$A$2:$A$460,0)))</f>
        <v/>
      </c>
      <c r="D449">
        <f>IFERROR(INDEX(InternalTrades!$K$2:$K$461,MATCH($A449,InternalTrades!$A$2:$A$461,0)),INDEX(ExchangeConfirms!$K$2:$K$460,MATCH($A449,ExchangeConfirms!$A$2:$A$460,0)))</f>
        <v/>
      </c>
      <c r="E449">
        <f>IF(COUNTIF(InternalTrades!$A$2:$A$461,$A449)&gt;0,1,0)</f>
        <v/>
      </c>
      <c r="F449">
        <f>IF(COUNTIF(ExchangeConfirms!$A$2:$A$460,$A449)&gt;0,1,0)</f>
        <v/>
      </c>
      <c r="G449">
        <f>IFERROR(INDEX(InternalTrades!$F$2:$F$461,MATCH($A449,InternalTrades!$A$2:$A$461,0)),"")</f>
        <v/>
      </c>
      <c r="H449">
        <f>IFERROR(INDEX(ExchangeConfirms!$F$2:$F$460,MATCH($A449,ExchangeConfirms!$A$2:$A$460,0)),"")</f>
        <v/>
      </c>
      <c r="I449">
        <f>IFERROR(INDEX(InternalTrades!$G$2:$G$461,MATCH($A449,InternalTrades!$A$2:$A$461,0)),"")</f>
        <v/>
      </c>
      <c r="J449">
        <f>IFERROR(INDEX(ExchangeConfirms!$G$2:$G$460,MATCH($A449,ExchangeConfirms!$A$2:$A$460,0)),"")</f>
        <v/>
      </c>
      <c r="K449">
        <f>IFERROR(INDEX(InternalTrades!$H$2:$H$461,MATCH($A449,InternalTrades!$A$2:$A$461,0)),"")</f>
        <v/>
      </c>
      <c r="L449">
        <f>IFERROR(INDEX(ExchangeConfirms!$H$2:$H$460,MATCH($A449,ExchangeConfirms!$A$2:$A$460,0)),"")</f>
        <v/>
      </c>
      <c r="M449">
        <f>IFERROR(INDEX(InternalTrades!$J$2:$J$461,MATCH($A449,InternalTrades!$A$2:$A$461,0)),"")</f>
        <v/>
      </c>
      <c r="N449">
        <f>IFERROR(INDEX(ExchangeConfirms!$J$2:$J$460,MATCH($A449,ExchangeConfirms!$A$2:$A$460,0)),"")</f>
        <v/>
      </c>
      <c r="O449">
        <f>IFERROR(INDEX(InternalTrades!$I$2:$I$461,MATCH($A449,InternalTrades!$A$2:$A$461,0)),"")</f>
        <v/>
      </c>
      <c r="P449">
        <f>IFERROR(INDEX(ExchangeConfirms!$I$2:$I$460,MATCH($A449,ExchangeConfirms!$A$2:$A$460,0)),"")</f>
        <v/>
      </c>
      <c r="Q449">
        <f>IF(AND($E449=1,$F449=0),"MISSING IN EXCHANGE",IF(AND($E449=0,$F449=1),"MISSING IN INTERNAL",IF($G449&lt;&gt;$H449,"SIDE BREAK",IF($I449&lt;&gt;$J449,"QTY BREAK",IF(ABS($K449-$L449)&gt;0.005,"PRICE BREAK",IF(ABS($M449-$N449)&gt;0.01,"FEE BREAK","MATCHED"))))))</f>
        <v/>
      </c>
      <c r="R449">
        <f>IF($Q449="MATCHED",0,1)</f>
        <v/>
      </c>
      <c r="S449">
        <f>IF($Q449="MATCHED",0,IF($Q449="MISSING IN EXCHANGE",$O449,IF($Q449="MISSING IN INTERNAL",$P449,ABS(N($O449)-N($P449)))))</f>
        <v/>
      </c>
    </row>
    <row r="450">
      <c r="A450" t="inlineStr">
        <is>
          <t>T100449</t>
        </is>
      </c>
      <c r="B450">
        <f>IFERROR(INDEX(InternalTrades!$D$2:$D$461,MATCH($A450,InternalTrades!$A$2:$A$461,0)),INDEX(ExchangeConfirms!$D$2:$D$460,MATCH($A450,ExchangeConfirms!$A$2:$A$460,0)))</f>
        <v/>
      </c>
      <c r="C450">
        <f>IFERROR(INDEX(InternalTrades!$E$2:$E$461,MATCH($A450,InternalTrades!$A$2:$A$461,0)),INDEX(ExchangeConfirms!$E$2:$E$460,MATCH($A450,ExchangeConfirms!$A$2:$A$460,0)))</f>
        <v/>
      </c>
      <c r="D450">
        <f>IFERROR(INDEX(InternalTrades!$K$2:$K$461,MATCH($A450,InternalTrades!$A$2:$A$461,0)),INDEX(ExchangeConfirms!$K$2:$K$460,MATCH($A450,ExchangeConfirms!$A$2:$A$460,0)))</f>
        <v/>
      </c>
      <c r="E450">
        <f>IF(COUNTIF(InternalTrades!$A$2:$A$461,$A450)&gt;0,1,0)</f>
        <v/>
      </c>
      <c r="F450">
        <f>IF(COUNTIF(ExchangeConfirms!$A$2:$A$460,$A450)&gt;0,1,0)</f>
        <v/>
      </c>
      <c r="G450">
        <f>IFERROR(INDEX(InternalTrades!$F$2:$F$461,MATCH($A450,InternalTrades!$A$2:$A$461,0)),"")</f>
        <v/>
      </c>
      <c r="H450">
        <f>IFERROR(INDEX(ExchangeConfirms!$F$2:$F$460,MATCH($A450,ExchangeConfirms!$A$2:$A$460,0)),"")</f>
        <v/>
      </c>
      <c r="I450">
        <f>IFERROR(INDEX(InternalTrades!$G$2:$G$461,MATCH($A450,InternalTrades!$A$2:$A$461,0)),"")</f>
        <v/>
      </c>
      <c r="J450">
        <f>IFERROR(INDEX(ExchangeConfirms!$G$2:$G$460,MATCH($A450,ExchangeConfirms!$A$2:$A$460,0)),"")</f>
        <v/>
      </c>
      <c r="K450">
        <f>IFERROR(INDEX(InternalTrades!$H$2:$H$461,MATCH($A450,InternalTrades!$A$2:$A$461,0)),"")</f>
        <v/>
      </c>
      <c r="L450">
        <f>IFERROR(INDEX(ExchangeConfirms!$H$2:$H$460,MATCH($A450,ExchangeConfirms!$A$2:$A$460,0)),"")</f>
        <v/>
      </c>
      <c r="M450">
        <f>IFERROR(INDEX(InternalTrades!$J$2:$J$461,MATCH($A450,InternalTrades!$A$2:$A$461,0)),"")</f>
        <v/>
      </c>
      <c r="N450">
        <f>IFERROR(INDEX(ExchangeConfirms!$J$2:$J$460,MATCH($A450,ExchangeConfirms!$A$2:$A$460,0)),"")</f>
        <v/>
      </c>
      <c r="O450">
        <f>IFERROR(INDEX(InternalTrades!$I$2:$I$461,MATCH($A450,InternalTrades!$A$2:$A$461,0)),"")</f>
        <v/>
      </c>
      <c r="P450">
        <f>IFERROR(INDEX(ExchangeConfirms!$I$2:$I$460,MATCH($A450,ExchangeConfirms!$A$2:$A$460,0)),"")</f>
        <v/>
      </c>
      <c r="Q450">
        <f>IF(AND($E450=1,$F450=0),"MISSING IN EXCHANGE",IF(AND($E450=0,$F450=1),"MISSING IN INTERNAL",IF($G450&lt;&gt;$H450,"SIDE BREAK",IF($I450&lt;&gt;$J450,"QTY BREAK",IF(ABS($K450-$L450)&gt;0.005,"PRICE BREAK",IF(ABS($M450-$N450)&gt;0.01,"FEE BREAK","MATCHED"))))))</f>
        <v/>
      </c>
      <c r="R450">
        <f>IF($Q450="MATCHED",0,1)</f>
        <v/>
      </c>
      <c r="S450">
        <f>IF($Q450="MATCHED",0,IF($Q450="MISSING IN EXCHANGE",$O450,IF($Q450="MISSING IN INTERNAL",$P450,ABS(N($O450)-N($P450)))))</f>
        <v/>
      </c>
    </row>
    <row r="451">
      <c r="A451" t="inlineStr">
        <is>
          <t>T100450</t>
        </is>
      </c>
      <c r="B451">
        <f>IFERROR(INDEX(InternalTrades!$D$2:$D$461,MATCH($A451,InternalTrades!$A$2:$A$461,0)),INDEX(ExchangeConfirms!$D$2:$D$460,MATCH($A451,ExchangeConfirms!$A$2:$A$460,0)))</f>
        <v/>
      </c>
      <c r="C451">
        <f>IFERROR(INDEX(InternalTrades!$E$2:$E$461,MATCH($A451,InternalTrades!$A$2:$A$461,0)),INDEX(ExchangeConfirms!$E$2:$E$460,MATCH($A451,ExchangeConfirms!$A$2:$A$460,0)))</f>
        <v/>
      </c>
      <c r="D451">
        <f>IFERROR(INDEX(InternalTrades!$K$2:$K$461,MATCH($A451,InternalTrades!$A$2:$A$461,0)),INDEX(ExchangeConfirms!$K$2:$K$460,MATCH($A451,ExchangeConfirms!$A$2:$A$460,0)))</f>
        <v/>
      </c>
      <c r="E451">
        <f>IF(COUNTIF(InternalTrades!$A$2:$A$461,$A451)&gt;0,1,0)</f>
        <v/>
      </c>
      <c r="F451">
        <f>IF(COUNTIF(ExchangeConfirms!$A$2:$A$460,$A451)&gt;0,1,0)</f>
        <v/>
      </c>
      <c r="G451">
        <f>IFERROR(INDEX(InternalTrades!$F$2:$F$461,MATCH($A451,InternalTrades!$A$2:$A$461,0)),"")</f>
        <v/>
      </c>
      <c r="H451">
        <f>IFERROR(INDEX(ExchangeConfirms!$F$2:$F$460,MATCH($A451,ExchangeConfirms!$A$2:$A$460,0)),"")</f>
        <v/>
      </c>
      <c r="I451">
        <f>IFERROR(INDEX(InternalTrades!$G$2:$G$461,MATCH($A451,InternalTrades!$A$2:$A$461,0)),"")</f>
        <v/>
      </c>
      <c r="J451">
        <f>IFERROR(INDEX(ExchangeConfirms!$G$2:$G$460,MATCH($A451,ExchangeConfirms!$A$2:$A$460,0)),"")</f>
        <v/>
      </c>
      <c r="K451">
        <f>IFERROR(INDEX(InternalTrades!$H$2:$H$461,MATCH($A451,InternalTrades!$A$2:$A$461,0)),"")</f>
        <v/>
      </c>
      <c r="L451">
        <f>IFERROR(INDEX(ExchangeConfirms!$H$2:$H$460,MATCH($A451,ExchangeConfirms!$A$2:$A$460,0)),"")</f>
        <v/>
      </c>
      <c r="M451">
        <f>IFERROR(INDEX(InternalTrades!$J$2:$J$461,MATCH($A451,InternalTrades!$A$2:$A$461,0)),"")</f>
        <v/>
      </c>
      <c r="N451">
        <f>IFERROR(INDEX(ExchangeConfirms!$J$2:$J$460,MATCH($A451,ExchangeConfirms!$A$2:$A$460,0)),"")</f>
        <v/>
      </c>
      <c r="O451">
        <f>IFERROR(INDEX(InternalTrades!$I$2:$I$461,MATCH($A451,InternalTrades!$A$2:$A$461,0)),"")</f>
        <v/>
      </c>
      <c r="P451">
        <f>IFERROR(INDEX(ExchangeConfirms!$I$2:$I$460,MATCH($A451,ExchangeConfirms!$A$2:$A$460,0)),"")</f>
        <v/>
      </c>
      <c r="Q451">
        <f>IF(AND($E451=1,$F451=0),"MISSING IN EXCHANGE",IF(AND($E451=0,$F451=1),"MISSING IN INTERNAL",IF($G451&lt;&gt;$H451,"SIDE BREAK",IF($I451&lt;&gt;$J451,"QTY BREAK",IF(ABS($K451-$L451)&gt;0.005,"PRICE BREAK",IF(ABS($M451-$N451)&gt;0.01,"FEE BREAK","MATCHED"))))))</f>
        <v/>
      </c>
      <c r="R451">
        <f>IF($Q451="MATCHED",0,1)</f>
        <v/>
      </c>
      <c r="S451">
        <f>IF($Q451="MATCHED",0,IF($Q451="MISSING IN EXCHANGE",$O451,IF($Q451="MISSING IN INTERNAL",$P451,ABS(N($O451)-N($P451)))))</f>
        <v/>
      </c>
    </row>
    <row r="452">
      <c r="A452" t="inlineStr">
        <is>
          <t>T100451</t>
        </is>
      </c>
      <c r="B452">
        <f>IFERROR(INDEX(InternalTrades!$D$2:$D$461,MATCH($A452,InternalTrades!$A$2:$A$461,0)),INDEX(ExchangeConfirms!$D$2:$D$460,MATCH($A452,ExchangeConfirms!$A$2:$A$460,0)))</f>
        <v/>
      </c>
      <c r="C452">
        <f>IFERROR(INDEX(InternalTrades!$E$2:$E$461,MATCH($A452,InternalTrades!$A$2:$A$461,0)),INDEX(ExchangeConfirms!$E$2:$E$460,MATCH($A452,ExchangeConfirms!$A$2:$A$460,0)))</f>
        <v/>
      </c>
      <c r="D452">
        <f>IFERROR(INDEX(InternalTrades!$K$2:$K$461,MATCH($A452,InternalTrades!$A$2:$A$461,0)),INDEX(ExchangeConfirms!$K$2:$K$460,MATCH($A452,ExchangeConfirms!$A$2:$A$460,0)))</f>
        <v/>
      </c>
      <c r="E452">
        <f>IF(COUNTIF(InternalTrades!$A$2:$A$461,$A452)&gt;0,1,0)</f>
        <v/>
      </c>
      <c r="F452">
        <f>IF(COUNTIF(ExchangeConfirms!$A$2:$A$460,$A452)&gt;0,1,0)</f>
        <v/>
      </c>
      <c r="G452">
        <f>IFERROR(INDEX(InternalTrades!$F$2:$F$461,MATCH($A452,InternalTrades!$A$2:$A$461,0)),"")</f>
        <v/>
      </c>
      <c r="H452">
        <f>IFERROR(INDEX(ExchangeConfirms!$F$2:$F$460,MATCH($A452,ExchangeConfirms!$A$2:$A$460,0)),"")</f>
        <v/>
      </c>
      <c r="I452">
        <f>IFERROR(INDEX(InternalTrades!$G$2:$G$461,MATCH($A452,InternalTrades!$A$2:$A$461,0)),"")</f>
        <v/>
      </c>
      <c r="J452">
        <f>IFERROR(INDEX(ExchangeConfirms!$G$2:$G$460,MATCH($A452,ExchangeConfirms!$A$2:$A$460,0)),"")</f>
        <v/>
      </c>
      <c r="K452">
        <f>IFERROR(INDEX(InternalTrades!$H$2:$H$461,MATCH($A452,InternalTrades!$A$2:$A$461,0)),"")</f>
        <v/>
      </c>
      <c r="L452">
        <f>IFERROR(INDEX(ExchangeConfirms!$H$2:$H$460,MATCH($A452,ExchangeConfirms!$A$2:$A$460,0)),"")</f>
        <v/>
      </c>
      <c r="M452">
        <f>IFERROR(INDEX(InternalTrades!$J$2:$J$461,MATCH($A452,InternalTrades!$A$2:$A$461,0)),"")</f>
        <v/>
      </c>
      <c r="N452">
        <f>IFERROR(INDEX(ExchangeConfirms!$J$2:$J$460,MATCH($A452,ExchangeConfirms!$A$2:$A$460,0)),"")</f>
        <v/>
      </c>
      <c r="O452">
        <f>IFERROR(INDEX(InternalTrades!$I$2:$I$461,MATCH($A452,InternalTrades!$A$2:$A$461,0)),"")</f>
        <v/>
      </c>
      <c r="P452">
        <f>IFERROR(INDEX(ExchangeConfirms!$I$2:$I$460,MATCH($A452,ExchangeConfirms!$A$2:$A$460,0)),"")</f>
        <v/>
      </c>
      <c r="Q452">
        <f>IF(AND($E452=1,$F452=0),"MISSING IN EXCHANGE",IF(AND($E452=0,$F452=1),"MISSING IN INTERNAL",IF($G452&lt;&gt;$H452,"SIDE BREAK",IF($I452&lt;&gt;$J452,"QTY BREAK",IF(ABS($K452-$L452)&gt;0.005,"PRICE BREAK",IF(ABS($M452-$N452)&gt;0.01,"FEE BREAK","MATCHED"))))))</f>
        <v/>
      </c>
      <c r="R452">
        <f>IF($Q452="MATCHED",0,1)</f>
        <v/>
      </c>
      <c r="S452">
        <f>IF($Q452="MATCHED",0,IF($Q452="MISSING IN EXCHANGE",$O452,IF($Q452="MISSING IN INTERNAL",$P452,ABS(N($O452)-N($P452)))))</f>
        <v/>
      </c>
    </row>
    <row r="453">
      <c r="A453" t="inlineStr">
        <is>
          <t>T100452</t>
        </is>
      </c>
      <c r="B453">
        <f>IFERROR(INDEX(InternalTrades!$D$2:$D$461,MATCH($A453,InternalTrades!$A$2:$A$461,0)),INDEX(ExchangeConfirms!$D$2:$D$460,MATCH($A453,ExchangeConfirms!$A$2:$A$460,0)))</f>
        <v/>
      </c>
      <c r="C453">
        <f>IFERROR(INDEX(InternalTrades!$E$2:$E$461,MATCH($A453,InternalTrades!$A$2:$A$461,0)),INDEX(ExchangeConfirms!$E$2:$E$460,MATCH($A453,ExchangeConfirms!$A$2:$A$460,0)))</f>
        <v/>
      </c>
      <c r="D453">
        <f>IFERROR(INDEX(InternalTrades!$K$2:$K$461,MATCH($A453,InternalTrades!$A$2:$A$461,0)),INDEX(ExchangeConfirms!$K$2:$K$460,MATCH($A453,ExchangeConfirms!$A$2:$A$460,0)))</f>
        <v/>
      </c>
      <c r="E453">
        <f>IF(COUNTIF(InternalTrades!$A$2:$A$461,$A453)&gt;0,1,0)</f>
        <v/>
      </c>
      <c r="F453">
        <f>IF(COUNTIF(ExchangeConfirms!$A$2:$A$460,$A453)&gt;0,1,0)</f>
        <v/>
      </c>
      <c r="G453">
        <f>IFERROR(INDEX(InternalTrades!$F$2:$F$461,MATCH($A453,InternalTrades!$A$2:$A$461,0)),"")</f>
        <v/>
      </c>
      <c r="H453">
        <f>IFERROR(INDEX(ExchangeConfirms!$F$2:$F$460,MATCH($A453,ExchangeConfirms!$A$2:$A$460,0)),"")</f>
        <v/>
      </c>
      <c r="I453">
        <f>IFERROR(INDEX(InternalTrades!$G$2:$G$461,MATCH($A453,InternalTrades!$A$2:$A$461,0)),"")</f>
        <v/>
      </c>
      <c r="J453">
        <f>IFERROR(INDEX(ExchangeConfirms!$G$2:$G$460,MATCH($A453,ExchangeConfirms!$A$2:$A$460,0)),"")</f>
        <v/>
      </c>
      <c r="K453">
        <f>IFERROR(INDEX(InternalTrades!$H$2:$H$461,MATCH($A453,InternalTrades!$A$2:$A$461,0)),"")</f>
        <v/>
      </c>
      <c r="L453">
        <f>IFERROR(INDEX(ExchangeConfirms!$H$2:$H$460,MATCH($A453,ExchangeConfirms!$A$2:$A$460,0)),"")</f>
        <v/>
      </c>
      <c r="M453">
        <f>IFERROR(INDEX(InternalTrades!$J$2:$J$461,MATCH($A453,InternalTrades!$A$2:$A$461,0)),"")</f>
        <v/>
      </c>
      <c r="N453">
        <f>IFERROR(INDEX(ExchangeConfirms!$J$2:$J$460,MATCH($A453,ExchangeConfirms!$A$2:$A$460,0)),"")</f>
        <v/>
      </c>
      <c r="O453">
        <f>IFERROR(INDEX(InternalTrades!$I$2:$I$461,MATCH($A453,InternalTrades!$A$2:$A$461,0)),"")</f>
        <v/>
      </c>
      <c r="P453">
        <f>IFERROR(INDEX(ExchangeConfirms!$I$2:$I$460,MATCH($A453,ExchangeConfirms!$A$2:$A$460,0)),"")</f>
        <v/>
      </c>
      <c r="Q453">
        <f>IF(AND($E453=1,$F453=0),"MISSING IN EXCHANGE",IF(AND($E453=0,$F453=1),"MISSING IN INTERNAL",IF($G453&lt;&gt;$H453,"SIDE BREAK",IF($I453&lt;&gt;$J453,"QTY BREAK",IF(ABS($K453-$L453)&gt;0.005,"PRICE BREAK",IF(ABS($M453-$N453)&gt;0.01,"FEE BREAK","MATCHED"))))))</f>
        <v/>
      </c>
      <c r="R453">
        <f>IF($Q453="MATCHED",0,1)</f>
        <v/>
      </c>
      <c r="S453">
        <f>IF($Q453="MATCHED",0,IF($Q453="MISSING IN EXCHANGE",$O453,IF($Q453="MISSING IN INTERNAL",$P453,ABS(N($O453)-N($P453)))))</f>
        <v/>
      </c>
    </row>
    <row r="454">
      <c r="A454" t="inlineStr">
        <is>
          <t>T100453</t>
        </is>
      </c>
      <c r="B454">
        <f>IFERROR(INDEX(InternalTrades!$D$2:$D$461,MATCH($A454,InternalTrades!$A$2:$A$461,0)),INDEX(ExchangeConfirms!$D$2:$D$460,MATCH($A454,ExchangeConfirms!$A$2:$A$460,0)))</f>
        <v/>
      </c>
      <c r="C454">
        <f>IFERROR(INDEX(InternalTrades!$E$2:$E$461,MATCH($A454,InternalTrades!$A$2:$A$461,0)),INDEX(ExchangeConfirms!$E$2:$E$460,MATCH($A454,ExchangeConfirms!$A$2:$A$460,0)))</f>
        <v/>
      </c>
      <c r="D454">
        <f>IFERROR(INDEX(InternalTrades!$K$2:$K$461,MATCH($A454,InternalTrades!$A$2:$A$461,0)),INDEX(ExchangeConfirms!$K$2:$K$460,MATCH($A454,ExchangeConfirms!$A$2:$A$460,0)))</f>
        <v/>
      </c>
      <c r="E454">
        <f>IF(COUNTIF(InternalTrades!$A$2:$A$461,$A454)&gt;0,1,0)</f>
        <v/>
      </c>
      <c r="F454">
        <f>IF(COUNTIF(ExchangeConfirms!$A$2:$A$460,$A454)&gt;0,1,0)</f>
        <v/>
      </c>
      <c r="G454">
        <f>IFERROR(INDEX(InternalTrades!$F$2:$F$461,MATCH($A454,InternalTrades!$A$2:$A$461,0)),"")</f>
        <v/>
      </c>
      <c r="H454">
        <f>IFERROR(INDEX(ExchangeConfirms!$F$2:$F$460,MATCH($A454,ExchangeConfirms!$A$2:$A$460,0)),"")</f>
        <v/>
      </c>
      <c r="I454">
        <f>IFERROR(INDEX(InternalTrades!$G$2:$G$461,MATCH($A454,InternalTrades!$A$2:$A$461,0)),"")</f>
        <v/>
      </c>
      <c r="J454">
        <f>IFERROR(INDEX(ExchangeConfirms!$G$2:$G$460,MATCH($A454,ExchangeConfirms!$A$2:$A$460,0)),"")</f>
        <v/>
      </c>
      <c r="K454">
        <f>IFERROR(INDEX(InternalTrades!$H$2:$H$461,MATCH($A454,InternalTrades!$A$2:$A$461,0)),"")</f>
        <v/>
      </c>
      <c r="L454">
        <f>IFERROR(INDEX(ExchangeConfirms!$H$2:$H$460,MATCH($A454,ExchangeConfirms!$A$2:$A$460,0)),"")</f>
        <v/>
      </c>
      <c r="M454">
        <f>IFERROR(INDEX(InternalTrades!$J$2:$J$461,MATCH($A454,InternalTrades!$A$2:$A$461,0)),"")</f>
        <v/>
      </c>
      <c r="N454">
        <f>IFERROR(INDEX(ExchangeConfirms!$J$2:$J$460,MATCH($A454,ExchangeConfirms!$A$2:$A$460,0)),"")</f>
        <v/>
      </c>
      <c r="O454">
        <f>IFERROR(INDEX(InternalTrades!$I$2:$I$461,MATCH($A454,InternalTrades!$A$2:$A$461,0)),"")</f>
        <v/>
      </c>
      <c r="P454">
        <f>IFERROR(INDEX(ExchangeConfirms!$I$2:$I$460,MATCH($A454,ExchangeConfirms!$A$2:$A$460,0)),"")</f>
        <v/>
      </c>
      <c r="Q454">
        <f>IF(AND($E454=1,$F454=0),"MISSING IN EXCHANGE",IF(AND($E454=0,$F454=1),"MISSING IN INTERNAL",IF($G454&lt;&gt;$H454,"SIDE BREAK",IF($I454&lt;&gt;$J454,"QTY BREAK",IF(ABS($K454-$L454)&gt;0.005,"PRICE BREAK",IF(ABS($M454-$N454)&gt;0.01,"FEE BREAK","MATCHED"))))))</f>
        <v/>
      </c>
      <c r="R454">
        <f>IF($Q454="MATCHED",0,1)</f>
        <v/>
      </c>
      <c r="S454">
        <f>IF($Q454="MATCHED",0,IF($Q454="MISSING IN EXCHANGE",$O454,IF($Q454="MISSING IN INTERNAL",$P454,ABS(N($O454)-N($P454)))))</f>
        <v/>
      </c>
    </row>
    <row r="455">
      <c r="A455" t="inlineStr">
        <is>
          <t>T100454</t>
        </is>
      </c>
      <c r="B455">
        <f>IFERROR(INDEX(InternalTrades!$D$2:$D$461,MATCH($A455,InternalTrades!$A$2:$A$461,0)),INDEX(ExchangeConfirms!$D$2:$D$460,MATCH($A455,ExchangeConfirms!$A$2:$A$460,0)))</f>
        <v/>
      </c>
      <c r="C455">
        <f>IFERROR(INDEX(InternalTrades!$E$2:$E$461,MATCH($A455,InternalTrades!$A$2:$A$461,0)),INDEX(ExchangeConfirms!$E$2:$E$460,MATCH($A455,ExchangeConfirms!$A$2:$A$460,0)))</f>
        <v/>
      </c>
      <c r="D455">
        <f>IFERROR(INDEX(InternalTrades!$K$2:$K$461,MATCH($A455,InternalTrades!$A$2:$A$461,0)),INDEX(ExchangeConfirms!$K$2:$K$460,MATCH($A455,ExchangeConfirms!$A$2:$A$460,0)))</f>
        <v/>
      </c>
      <c r="E455">
        <f>IF(COUNTIF(InternalTrades!$A$2:$A$461,$A455)&gt;0,1,0)</f>
        <v/>
      </c>
      <c r="F455">
        <f>IF(COUNTIF(ExchangeConfirms!$A$2:$A$460,$A455)&gt;0,1,0)</f>
        <v/>
      </c>
      <c r="G455">
        <f>IFERROR(INDEX(InternalTrades!$F$2:$F$461,MATCH($A455,InternalTrades!$A$2:$A$461,0)),"")</f>
        <v/>
      </c>
      <c r="H455">
        <f>IFERROR(INDEX(ExchangeConfirms!$F$2:$F$460,MATCH($A455,ExchangeConfirms!$A$2:$A$460,0)),"")</f>
        <v/>
      </c>
      <c r="I455">
        <f>IFERROR(INDEX(InternalTrades!$G$2:$G$461,MATCH($A455,InternalTrades!$A$2:$A$461,0)),"")</f>
        <v/>
      </c>
      <c r="J455">
        <f>IFERROR(INDEX(ExchangeConfirms!$G$2:$G$460,MATCH($A455,ExchangeConfirms!$A$2:$A$460,0)),"")</f>
        <v/>
      </c>
      <c r="K455">
        <f>IFERROR(INDEX(InternalTrades!$H$2:$H$461,MATCH($A455,InternalTrades!$A$2:$A$461,0)),"")</f>
        <v/>
      </c>
      <c r="L455">
        <f>IFERROR(INDEX(ExchangeConfirms!$H$2:$H$460,MATCH($A455,ExchangeConfirms!$A$2:$A$460,0)),"")</f>
        <v/>
      </c>
      <c r="M455">
        <f>IFERROR(INDEX(InternalTrades!$J$2:$J$461,MATCH($A455,InternalTrades!$A$2:$A$461,0)),"")</f>
        <v/>
      </c>
      <c r="N455">
        <f>IFERROR(INDEX(ExchangeConfirms!$J$2:$J$460,MATCH($A455,ExchangeConfirms!$A$2:$A$460,0)),"")</f>
        <v/>
      </c>
      <c r="O455">
        <f>IFERROR(INDEX(InternalTrades!$I$2:$I$461,MATCH($A455,InternalTrades!$A$2:$A$461,0)),"")</f>
        <v/>
      </c>
      <c r="P455">
        <f>IFERROR(INDEX(ExchangeConfirms!$I$2:$I$460,MATCH($A455,ExchangeConfirms!$A$2:$A$460,0)),"")</f>
        <v/>
      </c>
      <c r="Q455">
        <f>IF(AND($E455=1,$F455=0),"MISSING IN EXCHANGE",IF(AND($E455=0,$F455=1),"MISSING IN INTERNAL",IF($G455&lt;&gt;$H455,"SIDE BREAK",IF($I455&lt;&gt;$J455,"QTY BREAK",IF(ABS($K455-$L455)&gt;0.005,"PRICE BREAK",IF(ABS($M455-$N455)&gt;0.01,"FEE BREAK","MATCHED"))))))</f>
        <v/>
      </c>
      <c r="R455">
        <f>IF($Q455="MATCHED",0,1)</f>
        <v/>
      </c>
      <c r="S455">
        <f>IF($Q455="MATCHED",0,IF($Q455="MISSING IN EXCHANGE",$O455,IF($Q455="MISSING IN INTERNAL",$P455,ABS(N($O455)-N($P455)))))</f>
        <v/>
      </c>
    </row>
    <row r="456">
      <c r="A456" t="inlineStr">
        <is>
          <t>T100455</t>
        </is>
      </c>
      <c r="B456">
        <f>IFERROR(INDEX(InternalTrades!$D$2:$D$461,MATCH($A456,InternalTrades!$A$2:$A$461,0)),INDEX(ExchangeConfirms!$D$2:$D$460,MATCH($A456,ExchangeConfirms!$A$2:$A$460,0)))</f>
        <v/>
      </c>
      <c r="C456">
        <f>IFERROR(INDEX(InternalTrades!$E$2:$E$461,MATCH($A456,InternalTrades!$A$2:$A$461,0)),INDEX(ExchangeConfirms!$E$2:$E$460,MATCH($A456,ExchangeConfirms!$A$2:$A$460,0)))</f>
        <v/>
      </c>
      <c r="D456">
        <f>IFERROR(INDEX(InternalTrades!$K$2:$K$461,MATCH($A456,InternalTrades!$A$2:$A$461,0)),INDEX(ExchangeConfirms!$K$2:$K$460,MATCH($A456,ExchangeConfirms!$A$2:$A$460,0)))</f>
        <v/>
      </c>
      <c r="E456">
        <f>IF(COUNTIF(InternalTrades!$A$2:$A$461,$A456)&gt;0,1,0)</f>
        <v/>
      </c>
      <c r="F456">
        <f>IF(COUNTIF(ExchangeConfirms!$A$2:$A$460,$A456)&gt;0,1,0)</f>
        <v/>
      </c>
      <c r="G456">
        <f>IFERROR(INDEX(InternalTrades!$F$2:$F$461,MATCH($A456,InternalTrades!$A$2:$A$461,0)),"")</f>
        <v/>
      </c>
      <c r="H456">
        <f>IFERROR(INDEX(ExchangeConfirms!$F$2:$F$460,MATCH($A456,ExchangeConfirms!$A$2:$A$460,0)),"")</f>
        <v/>
      </c>
      <c r="I456">
        <f>IFERROR(INDEX(InternalTrades!$G$2:$G$461,MATCH($A456,InternalTrades!$A$2:$A$461,0)),"")</f>
        <v/>
      </c>
      <c r="J456">
        <f>IFERROR(INDEX(ExchangeConfirms!$G$2:$G$460,MATCH($A456,ExchangeConfirms!$A$2:$A$460,0)),"")</f>
        <v/>
      </c>
      <c r="K456">
        <f>IFERROR(INDEX(InternalTrades!$H$2:$H$461,MATCH($A456,InternalTrades!$A$2:$A$461,0)),"")</f>
        <v/>
      </c>
      <c r="L456">
        <f>IFERROR(INDEX(ExchangeConfirms!$H$2:$H$460,MATCH($A456,ExchangeConfirms!$A$2:$A$460,0)),"")</f>
        <v/>
      </c>
      <c r="M456">
        <f>IFERROR(INDEX(InternalTrades!$J$2:$J$461,MATCH($A456,InternalTrades!$A$2:$A$461,0)),"")</f>
        <v/>
      </c>
      <c r="N456">
        <f>IFERROR(INDEX(ExchangeConfirms!$J$2:$J$460,MATCH($A456,ExchangeConfirms!$A$2:$A$460,0)),"")</f>
        <v/>
      </c>
      <c r="O456">
        <f>IFERROR(INDEX(InternalTrades!$I$2:$I$461,MATCH($A456,InternalTrades!$A$2:$A$461,0)),"")</f>
        <v/>
      </c>
      <c r="P456">
        <f>IFERROR(INDEX(ExchangeConfirms!$I$2:$I$460,MATCH($A456,ExchangeConfirms!$A$2:$A$460,0)),"")</f>
        <v/>
      </c>
      <c r="Q456">
        <f>IF(AND($E456=1,$F456=0),"MISSING IN EXCHANGE",IF(AND($E456=0,$F456=1),"MISSING IN INTERNAL",IF($G456&lt;&gt;$H456,"SIDE BREAK",IF($I456&lt;&gt;$J456,"QTY BREAK",IF(ABS($K456-$L456)&gt;0.005,"PRICE BREAK",IF(ABS($M456-$N456)&gt;0.01,"FEE BREAK","MATCHED"))))))</f>
        <v/>
      </c>
      <c r="R456">
        <f>IF($Q456="MATCHED",0,1)</f>
        <v/>
      </c>
      <c r="S456">
        <f>IF($Q456="MATCHED",0,IF($Q456="MISSING IN EXCHANGE",$O456,IF($Q456="MISSING IN INTERNAL",$P456,ABS(N($O456)-N($P456)))))</f>
        <v/>
      </c>
    </row>
    <row r="457">
      <c r="A457" t="inlineStr">
        <is>
          <t>T100456</t>
        </is>
      </c>
      <c r="B457">
        <f>IFERROR(INDEX(InternalTrades!$D$2:$D$461,MATCH($A457,InternalTrades!$A$2:$A$461,0)),INDEX(ExchangeConfirms!$D$2:$D$460,MATCH($A457,ExchangeConfirms!$A$2:$A$460,0)))</f>
        <v/>
      </c>
      <c r="C457">
        <f>IFERROR(INDEX(InternalTrades!$E$2:$E$461,MATCH($A457,InternalTrades!$A$2:$A$461,0)),INDEX(ExchangeConfirms!$E$2:$E$460,MATCH($A457,ExchangeConfirms!$A$2:$A$460,0)))</f>
        <v/>
      </c>
      <c r="D457">
        <f>IFERROR(INDEX(InternalTrades!$K$2:$K$461,MATCH($A457,InternalTrades!$A$2:$A$461,0)),INDEX(ExchangeConfirms!$K$2:$K$460,MATCH($A457,ExchangeConfirms!$A$2:$A$460,0)))</f>
        <v/>
      </c>
      <c r="E457">
        <f>IF(COUNTIF(InternalTrades!$A$2:$A$461,$A457)&gt;0,1,0)</f>
        <v/>
      </c>
      <c r="F457">
        <f>IF(COUNTIF(ExchangeConfirms!$A$2:$A$460,$A457)&gt;0,1,0)</f>
        <v/>
      </c>
      <c r="G457">
        <f>IFERROR(INDEX(InternalTrades!$F$2:$F$461,MATCH($A457,InternalTrades!$A$2:$A$461,0)),"")</f>
        <v/>
      </c>
      <c r="H457">
        <f>IFERROR(INDEX(ExchangeConfirms!$F$2:$F$460,MATCH($A457,ExchangeConfirms!$A$2:$A$460,0)),"")</f>
        <v/>
      </c>
      <c r="I457">
        <f>IFERROR(INDEX(InternalTrades!$G$2:$G$461,MATCH($A457,InternalTrades!$A$2:$A$461,0)),"")</f>
        <v/>
      </c>
      <c r="J457">
        <f>IFERROR(INDEX(ExchangeConfirms!$G$2:$G$460,MATCH($A457,ExchangeConfirms!$A$2:$A$460,0)),"")</f>
        <v/>
      </c>
      <c r="K457">
        <f>IFERROR(INDEX(InternalTrades!$H$2:$H$461,MATCH($A457,InternalTrades!$A$2:$A$461,0)),"")</f>
        <v/>
      </c>
      <c r="L457">
        <f>IFERROR(INDEX(ExchangeConfirms!$H$2:$H$460,MATCH($A457,ExchangeConfirms!$A$2:$A$460,0)),"")</f>
        <v/>
      </c>
      <c r="M457">
        <f>IFERROR(INDEX(InternalTrades!$J$2:$J$461,MATCH($A457,InternalTrades!$A$2:$A$461,0)),"")</f>
        <v/>
      </c>
      <c r="N457">
        <f>IFERROR(INDEX(ExchangeConfirms!$J$2:$J$460,MATCH($A457,ExchangeConfirms!$A$2:$A$460,0)),"")</f>
        <v/>
      </c>
      <c r="O457">
        <f>IFERROR(INDEX(InternalTrades!$I$2:$I$461,MATCH($A457,InternalTrades!$A$2:$A$461,0)),"")</f>
        <v/>
      </c>
      <c r="P457">
        <f>IFERROR(INDEX(ExchangeConfirms!$I$2:$I$460,MATCH($A457,ExchangeConfirms!$A$2:$A$460,0)),"")</f>
        <v/>
      </c>
      <c r="Q457">
        <f>IF(AND($E457=1,$F457=0),"MISSING IN EXCHANGE",IF(AND($E457=0,$F457=1),"MISSING IN INTERNAL",IF($G457&lt;&gt;$H457,"SIDE BREAK",IF($I457&lt;&gt;$J457,"QTY BREAK",IF(ABS($K457-$L457)&gt;0.005,"PRICE BREAK",IF(ABS($M457-$N457)&gt;0.01,"FEE BREAK","MATCHED"))))))</f>
        <v/>
      </c>
      <c r="R457">
        <f>IF($Q457="MATCHED",0,1)</f>
        <v/>
      </c>
      <c r="S457">
        <f>IF($Q457="MATCHED",0,IF($Q457="MISSING IN EXCHANGE",$O457,IF($Q457="MISSING IN INTERNAL",$P457,ABS(N($O457)-N($P457)))))</f>
        <v/>
      </c>
    </row>
    <row r="458">
      <c r="A458" t="inlineStr">
        <is>
          <t>T100457</t>
        </is>
      </c>
      <c r="B458">
        <f>IFERROR(INDEX(InternalTrades!$D$2:$D$461,MATCH($A458,InternalTrades!$A$2:$A$461,0)),INDEX(ExchangeConfirms!$D$2:$D$460,MATCH($A458,ExchangeConfirms!$A$2:$A$460,0)))</f>
        <v/>
      </c>
      <c r="C458">
        <f>IFERROR(INDEX(InternalTrades!$E$2:$E$461,MATCH($A458,InternalTrades!$A$2:$A$461,0)),INDEX(ExchangeConfirms!$E$2:$E$460,MATCH($A458,ExchangeConfirms!$A$2:$A$460,0)))</f>
        <v/>
      </c>
      <c r="D458">
        <f>IFERROR(INDEX(InternalTrades!$K$2:$K$461,MATCH($A458,InternalTrades!$A$2:$A$461,0)),INDEX(ExchangeConfirms!$K$2:$K$460,MATCH($A458,ExchangeConfirms!$A$2:$A$460,0)))</f>
        <v/>
      </c>
      <c r="E458">
        <f>IF(COUNTIF(InternalTrades!$A$2:$A$461,$A458)&gt;0,1,0)</f>
        <v/>
      </c>
      <c r="F458">
        <f>IF(COUNTIF(ExchangeConfirms!$A$2:$A$460,$A458)&gt;0,1,0)</f>
        <v/>
      </c>
      <c r="G458">
        <f>IFERROR(INDEX(InternalTrades!$F$2:$F$461,MATCH($A458,InternalTrades!$A$2:$A$461,0)),"")</f>
        <v/>
      </c>
      <c r="H458">
        <f>IFERROR(INDEX(ExchangeConfirms!$F$2:$F$460,MATCH($A458,ExchangeConfirms!$A$2:$A$460,0)),"")</f>
        <v/>
      </c>
      <c r="I458">
        <f>IFERROR(INDEX(InternalTrades!$G$2:$G$461,MATCH($A458,InternalTrades!$A$2:$A$461,0)),"")</f>
        <v/>
      </c>
      <c r="J458">
        <f>IFERROR(INDEX(ExchangeConfirms!$G$2:$G$460,MATCH($A458,ExchangeConfirms!$A$2:$A$460,0)),"")</f>
        <v/>
      </c>
      <c r="K458">
        <f>IFERROR(INDEX(InternalTrades!$H$2:$H$461,MATCH($A458,InternalTrades!$A$2:$A$461,0)),"")</f>
        <v/>
      </c>
      <c r="L458">
        <f>IFERROR(INDEX(ExchangeConfirms!$H$2:$H$460,MATCH($A458,ExchangeConfirms!$A$2:$A$460,0)),"")</f>
        <v/>
      </c>
      <c r="M458">
        <f>IFERROR(INDEX(InternalTrades!$J$2:$J$461,MATCH($A458,InternalTrades!$A$2:$A$461,0)),"")</f>
        <v/>
      </c>
      <c r="N458">
        <f>IFERROR(INDEX(ExchangeConfirms!$J$2:$J$460,MATCH($A458,ExchangeConfirms!$A$2:$A$460,0)),"")</f>
        <v/>
      </c>
      <c r="O458">
        <f>IFERROR(INDEX(InternalTrades!$I$2:$I$461,MATCH($A458,InternalTrades!$A$2:$A$461,0)),"")</f>
        <v/>
      </c>
      <c r="P458">
        <f>IFERROR(INDEX(ExchangeConfirms!$I$2:$I$460,MATCH($A458,ExchangeConfirms!$A$2:$A$460,0)),"")</f>
        <v/>
      </c>
      <c r="Q458">
        <f>IF(AND($E458=1,$F458=0),"MISSING IN EXCHANGE",IF(AND($E458=0,$F458=1),"MISSING IN INTERNAL",IF($G458&lt;&gt;$H458,"SIDE BREAK",IF($I458&lt;&gt;$J458,"QTY BREAK",IF(ABS($K458-$L458)&gt;0.005,"PRICE BREAK",IF(ABS($M458-$N458)&gt;0.01,"FEE BREAK","MATCHED"))))))</f>
        <v/>
      </c>
      <c r="R458">
        <f>IF($Q458="MATCHED",0,1)</f>
        <v/>
      </c>
      <c r="S458">
        <f>IF($Q458="MATCHED",0,IF($Q458="MISSING IN EXCHANGE",$O458,IF($Q458="MISSING IN INTERNAL",$P458,ABS(N($O458)-N($P458)))))</f>
        <v/>
      </c>
    </row>
    <row r="459">
      <c r="A459" t="inlineStr">
        <is>
          <t>T100458</t>
        </is>
      </c>
      <c r="B459">
        <f>IFERROR(INDEX(InternalTrades!$D$2:$D$461,MATCH($A459,InternalTrades!$A$2:$A$461,0)),INDEX(ExchangeConfirms!$D$2:$D$460,MATCH($A459,ExchangeConfirms!$A$2:$A$460,0)))</f>
        <v/>
      </c>
      <c r="C459">
        <f>IFERROR(INDEX(InternalTrades!$E$2:$E$461,MATCH($A459,InternalTrades!$A$2:$A$461,0)),INDEX(ExchangeConfirms!$E$2:$E$460,MATCH($A459,ExchangeConfirms!$A$2:$A$460,0)))</f>
        <v/>
      </c>
      <c r="D459">
        <f>IFERROR(INDEX(InternalTrades!$K$2:$K$461,MATCH($A459,InternalTrades!$A$2:$A$461,0)),INDEX(ExchangeConfirms!$K$2:$K$460,MATCH($A459,ExchangeConfirms!$A$2:$A$460,0)))</f>
        <v/>
      </c>
      <c r="E459">
        <f>IF(COUNTIF(InternalTrades!$A$2:$A$461,$A459)&gt;0,1,0)</f>
        <v/>
      </c>
      <c r="F459">
        <f>IF(COUNTIF(ExchangeConfirms!$A$2:$A$460,$A459)&gt;0,1,0)</f>
        <v/>
      </c>
      <c r="G459">
        <f>IFERROR(INDEX(InternalTrades!$F$2:$F$461,MATCH($A459,InternalTrades!$A$2:$A$461,0)),"")</f>
        <v/>
      </c>
      <c r="H459">
        <f>IFERROR(INDEX(ExchangeConfirms!$F$2:$F$460,MATCH($A459,ExchangeConfirms!$A$2:$A$460,0)),"")</f>
        <v/>
      </c>
      <c r="I459">
        <f>IFERROR(INDEX(InternalTrades!$G$2:$G$461,MATCH($A459,InternalTrades!$A$2:$A$461,0)),"")</f>
        <v/>
      </c>
      <c r="J459">
        <f>IFERROR(INDEX(ExchangeConfirms!$G$2:$G$460,MATCH($A459,ExchangeConfirms!$A$2:$A$460,0)),"")</f>
        <v/>
      </c>
      <c r="K459">
        <f>IFERROR(INDEX(InternalTrades!$H$2:$H$461,MATCH($A459,InternalTrades!$A$2:$A$461,0)),"")</f>
        <v/>
      </c>
      <c r="L459">
        <f>IFERROR(INDEX(ExchangeConfirms!$H$2:$H$460,MATCH($A459,ExchangeConfirms!$A$2:$A$460,0)),"")</f>
        <v/>
      </c>
      <c r="M459">
        <f>IFERROR(INDEX(InternalTrades!$J$2:$J$461,MATCH($A459,InternalTrades!$A$2:$A$461,0)),"")</f>
        <v/>
      </c>
      <c r="N459">
        <f>IFERROR(INDEX(ExchangeConfirms!$J$2:$J$460,MATCH($A459,ExchangeConfirms!$A$2:$A$460,0)),"")</f>
        <v/>
      </c>
      <c r="O459">
        <f>IFERROR(INDEX(InternalTrades!$I$2:$I$461,MATCH($A459,InternalTrades!$A$2:$A$461,0)),"")</f>
        <v/>
      </c>
      <c r="P459">
        <f>IFERROR(INDEX(ExchangeConfirms!$I$2:$I$460,MATCH($A459,ExchangeConfirms!$A$2:$A$460,0)),"")</f>
        <v/>
      </c>
      <c r="Q459">
        <f>IF(AND($E459=1,$F459=0),"MISSING IN EXCHANGE",IF(AND($E459=0,$F459=1),"MISSING IN INTERNAL",IF($G459&lt;&gt;$H459,"SIDE BREAK",IF($I459&lt;&gt;$J459,"QTY BREAK",IF(ABS($K459-$L459)&gt;0.005,"PRICE BREAK",IF(ABS($M459-$N459)&gt;0.01,"FEE BREAK","MATCHED"))))))</f>
        <v/>
      </c>
      <c r="R459">
        <f>IF($Q459="MATCHED",0,1)</f>
        <v/>
      </c>
      <c r="S459">
        <f>IF($Q459="MATCHED",0,IF($Q459="MISSING IN EXCHANGE",$O459,IF($Q459="MISSING IN INTERNAL",$P459,ABS(N($O459)-N($P459)))))</f>
        <v/>
      </c>
    </row>
    <row r="460">
      <c r="A460" t="inlineStr">
        <is>
          <t>T100459</t>
        </is>
      </c>
      <c r="B460">
        <f>IFERROR(INDEX(InternalTrades!$D$2:$D$461,MATCH($A460,InternalTrades!$A$2:$A$461,0)),INDEX(ExchangeConfirms!$D$2:$D$460,MATCH($A460,ExchangeConfirms!$A$2:$A$460,0)))</f>
        <v/>
      </c>
      <c r="C460">
        <f>IFERROR(INDEX(InternalTrades!$E$2:$E$461,MATCH($A460,InternalTrades!$A$2:$A$461,0)),INDEX(ExchangeConfirms!$E$2:$E$460,MATCH($A460,ExchangeConfirms!$A$2:$A$460,0)))</f>
        <v/>
      </c>
      <c r="D460">
        <f>IFERROR(INDEX(InternalTrades!$K$2:$K$461,MATCH($A460,InternalTrades!$A$2:$A$461,0)),INDEX(ExchangeConfirms!$K$2:$K$460,MATCH($A460,ExchangeConfirms!$A$2:$A$460,0)))</f>
        <v/>
      </c>
      <c r="E460">
        <f>IF(COUNTIF(InternalTrades!$A$2:$A$461,$A460)&gt;0,1,0)</f>
        <v/>
      </c>
      <c r="F460">
        <f>IF(COUNTIF(ExchangeConfirms!$A$2:$A$460,$A460)&gt;0,1,0)</f>
        <v/>
      </c>
      <c r="G460">
        <f>IFERROR(INDEX(InternalTrades!$F$2:$F$461,MATCH($A460,InternalTrades!$A$2:$A$461,0)),"")</f>
        <v/>
      </c>
      <c r="H460">
        <f>IFERROR(INDEX(ExchangeConfirms!$F$2:$F$460,MATCH($A460,ExchangeConfirms!$A$2:$A$460,0)),"")</f>
        <v/>
      </c>
      <c r="I460">
        <f>IFERROR(INDEX(InternalTrades!$G$2:$G$461,MATCH($A460,InternalTrades!$A$2:$A$461,0)),"")</f>
        <v/>
      </c>
      <c r="J460">
        <f>IFERROR(INDEX(ExchangeConfirms!$G$2:$G$460,MATCH($A460,ExchangeConfirms!$A$2:$A$460,0)),"")</f>
        <v/>
      </c>
      <c r="K460">
        <f>IFERROR(INDEX(InternalTrades!$H$2:$H$461,MATCH($A460,InternalTrades!$A$2:$A$461,0)),"")</f>
        <v/>
      </c>
      <c r="L460">
        <f>IFERROR(INDEX(ExchangeConfirms!$H$2:$H$460,MATCH($A460,ExchangeConfirms!$A$2:$A$460,0)),"")</f>
        <v/>
      </c>
      <c r="M460">
        <f>IFERROR(INDEX(InternalTrades!$J$2:$J$461,MATCH($A460,InternalTrades!$A$2:$A$461,0)),"")</f>
        <v/>
      </c>
      <c r="N460">
        <f>IFERROR(INDEX(ExchangeConfirms!$J$2:$J$460,MATCH($A460,ExchangeConfirms!$A$2:$A$460,0)),"")</f>
        <v/>
      </c>
      <c r="O460">
        <f>IFERROR(INDEX(InternalTrades!$I$2:$I$461,MATCH($A460,InternalTrades!$A$2:$A$461,0)),"")</f>
        <v/>
      </c>
      <c r="P460">
        <f>IFERROR(INDEX(ExchangeConfirms!$I$2:$I$460,MATCH($A460,ExchangeConfirms!$A$2:$A$460,0)),"")</f>
        <v/>
      </c>
      <c r="Q460">
        <f>IF(AND($E460=1,$F460=0),"MISSING IN EXCHANGE",IF(AND($E460=0,$F460=1),"MISSING IN INTERNAL",IF($G460&lt;&gt;$H460,"SIDE BREAK",IF($I460&lt;&gt;$J460,"QTY BREAK",IF(ABS($K460-$L460)&gt;0.005,"PRICE BREAK",IF(ABS($M460-$N460)&gt;0.01,"FEE BREAK","MATCHED"))))))</f>
        <v/>
      </c>
      <c r="R460">
        <f>IF($Q460="MATCHED",0,1)</f>
        <v/>
      </c>
      <c r="S460">
        <f>IF($Q460="MATCHED",0,IF($Q460="MISSING IN EXCHANGE",$O460,IF($Q460="MISSING IN INTERNAL",$P460,ABS(N($O460)-N($P460)))))</f>
        <v/>
      </c>
    </row>
    <row r="461">
      <c r="A461" t="inlineStr">
        <is>
          <t>T100460</t>
        </is>
      </c>
      <c r="B461">
        <f>IFERROR(INDEX(InternalTrades!$D$2:$D$461,MATCH($A461,InternalTrades!$A$2:$A$461,0)),INDEX(ExchangeConfirms!$D$2:$D$460,MATCH($A461,ExchangeConfirms!$A$2:$A$460,0)))</f>
        <v/>
      </c>
      <c r="C461">
        <f>IFERROR(INDEX(InternalTrades!$E$2:$E$461,MATCH($A461,InternalTrades!$A$2:$A$461,0)),INDEX(ExchangeConfirms!$E$2:$E$460,MATCH($A461,ExchangeConfirms!$A$2:$A$460,0)))</f>
        <v/>
      </c>
      <c r="D461">
        <f>IFERROR(INDEX(InternalTrades!$K$2:$K$461,MATCH($A461,InternalTrades!$A$2:$A$461,0)),INDEX(ExchangeConfirms!$K$2:$K$460,MATCH($A461,ExchangeConfirms!$A$2:$A$460,0)))</f>
        <v/>
      </c>
      <c r="E461">
        <f>IF(COUNTIF(InternalTrades!$A$2:$A$461,$A461)&gt;0,1,0)</f>
        <v/>
      </c>
      <c r="F461">
        <f>IF(COUNTIF(ExchangeConfirms!$A$2:$A$460,$A461)&gt;0,1,0)</f>
        <v/>
      </c>
      <c r="G461">
        <f>IFERROR(INDEX(InternalTrades!$F$2:$F$461,MATCH($A461,InternalTrades!$A$2:$A$461,0)),"")</f>
        <v/>
      </c>
      <c r="H461">
        <f>IFERROR(INDEX(ExchangeConfirms!$F$2:$F$460,MATCH($A461,ExchangeConfirms!$A$2:$A$460,0)),"")</f>
        <v/>
      </c>
      <c r="I461">
        <f>IFERROR(INDEX(InternalTrades!$G$2:$G$461,MATCH($A461,InternalTrades!$A$2:$A$461,0)),"")</f>
        <v/>
      </c>
      <c r="J461">
        <f>IFERROR(INDEX(ExchangeConfirms!$G$2:$G$460,MATCH($A461,ExchangeConfirms!$A$2:$A$460,0)),"")</f>
        <v/>
      </c>
      <c r="K461">
        <f>IFERROR(INDEX(InternalTrades!$H$2:$H$461,MATCH($A461,InternalTrades!$A$2:$A$461,0)),"")</f>
        <v/>
      </c>
      <c r="L461">
        <f>IFERROR(INDEX(ExchangeConfirms!$H$2:$H$460,MATCH($A461,ExchangeConfirms!$A$2:$A$460,0)),"")</f>
        <v/>
      </c>
      <c r="M461">
        <f>IFERROR(INDEX(InternalTrades!$J$2:$J$461,MATCH($A461,InternalTrades!$A$2:$A$461,0)),"")</f>
        <v/>
      </c>
      <c r="N461">
        <f>IFERROR(INDEX(ExchangeConfirms!$J$2:$J$460,MATCH($A461,ExchangeConfirms!$A$2:$A$460,0)),"")</f>
        <v/>
      </c>
      <c r="O461">
        <f>IFERROR(INDEX(InternalTrades!$I$2:$I$461,MATCH($A461,InternalTrades!$A$2:$A$461,0)),"")</f>
        <v/>
      </c>
      <c r="P461">
        <f>IFERROR(INDEX(ExchangeConfirms!$I$2:$I$460,MATCH($A461,ExchangeConfirms!$A$2:$A$460,0)),"")</f>
        <v/>
      </c>
      <c r="Q461">
        <f>IF(AND($E461=1,$F461=0),"MISSING IN EXCHANGE",IF(AND($E461=0,$F461=1),"MISSING IN INTERNAL",IF($G461&lt;&gt;$H461,"SIDE BREAK",IF($I461&lt;&gt;$J461,"QTY BREAK",IF(ABS($K461-$L461)&gt;0.005,"PRICE BREAK",IF(ABS($M461-$N461)&gt;0.01,"FEE BREAK","MATCHED"))))))</f>
        <v/>
      </c>
      <c r="R461">
        <f>IF($Q461="MATCHED",0,1)</f>
        <v/>
      </c>
      <c r="S461">
        <f>IF($Q461="MATCHED",0,IF($Q461="MISSING IN EXCHANGE",$O461,IF($Q461="MISSING IN INTERNAL",$P461,ABS(N($O461)-N($P461)))))</f>
        <v/>
      </c>
    </row>
    <row r="462">
      <c r="A462" t="inlineStr">
        <is>
          <t>T100461</t>
        </is>
      </c>
      <c r="B462">
        <f>IFERROR(INDEX(InternalTrades!$D$2:$D$461,MATCH($A462,InternalTrades!$A$2:$A$461,0)),INDEX(ExchangeConfirms!$D$2:$D$460,MATCH($A462,ExchangeConfirms!$A$2:$A$460,0)))</f>
        <v/>
      </c>
      <c r="C462">
        <f>IFERROR(INDEX(InternalTrades!$E$2:$E$461,MATCH($A462,InternalTrades!$A$2:$A$461,0)),INDEX(ExchangeConfirms!$E$2:$E$460,MATCH($A462,ExchangeConfirms!$A$2:$A$460,0)))</f>
        <v/>
      </c>
      <c r="D462">
        <f>IFERROR(INDEX(InternalTrades!$K$2:$K$461,MATCH($A462,InternalTrades!$A$2:$A$461,0)),INDEX(ExchangeConfirms!$K$2:$K$460,MATCH($A462,ExchangeConfirms!$A$2:$A$460,0)))</f>
        <v/>
      </c>
      <c r="E462">
        <f>IF(COUNTIF(InternalTrades!$A$2:$A$461,$A462)&gt;0,1,0)</f>
        <v/>
      </c>
      <c r="F462">
        <f>IF(COUNTIF(ExchangeConfirms!$A$2:$A$460,$A462)&gt;0,1,0)</f>
        <v/>
      </c>
      <c r="G462">
        <f>IFERROR(INDEX(InternalTrades!$F$2:$F$461,MATCH($A462,InternalTrades!$A$2:$A$461,0)),"")</f>
        <v/>
      </c>
      <c r="H462">
        <f>IFERROR(INDEX(ExchangeConfirms!$F$2:$F$460,MATCH($A462,ExchangeConfirms!$A$2:$A$460,0)),"")</f>
        <v/>
      </c>
      <c r="I462">
        <f>IFERROR(INDEX(InternalTrades!$G$2:$G$461,MATCH($A462,InternalTrades!$A$2:$A$461,0)),"")</f>
        <v/>
      </c>
      <c r="J462">
        <f>IFERROR(INDEX(ExchangeConfirms!$G$2:$G$460,MATCH($A462,ExchangeConfirms!$A$2:$A$460,0)),"")</f>
        <v/>
      </c>
      <c r="K462">
        <f>IFERROR(INDEX(InternalTrades!$H$2:$H$461,MATCH($A462,InternalTrades!$A$2:$A$461,0)),"")</f>
        <v/>
      </c>
      <c r="L462">
        <f>IFERROR(INDEX(ExchangeConfirms!$H$2:$H$460,MATCH($A462,ExchangeConfirms!$A$2:$A$460,0)),"")</f>
        <v/>
      </c>
      <c r="M462">
        <f>IFERROR(INDEX(InternalTrades!$J$2:$J$461,MATCH($A462,InternalTrades!$A$2:$A$461,0)),"")</f>
        <v/>
      </c>
      <c r="N462">
        <f>IFERROR(INDEX(ExchangeConfirms!$J$2:$J$460,MATCH($A462,ExchangeConfirms!$A$2:$A$460,0)),"")</f>
        <v/>
      </c>
      <c r="O462">
        <f>IFERROR(INDEX(InternalTrades!$I$2:$I$461,MATCH($A462,InternalTrades!$A$2:$A$461,0)),"")</f>
        <v/>
      </c>
      <c r="P462">
        <f>IFERROR(INDEX(ExchangeConfirms!$I$2:$I$460,MATCH($A462,ExchangeConfirms!$A$2:$A$460,0)),"")</f>
        <v/>
      </c>
      <c r="Q462">
        <f>IF(AND($E462=1,$F462=0),"MISSING IN EXCHANGE",IF(AND($E462=0,$F462=1),"MISSING IN INTERNAL",IF($G462&lt;&gt;$H462,"SIDE BREAK",IF($I462&lt;&gt;$J462,"QTY BREAK",IF(ABS($K462-$L462)&gt;0.005,"PRICE BREAK",IF(ABS($M462-$N462)&gt;0.01,"FEE BREAK","MATCHED"))))))</f>
        <v/>
      </c>
      <c r="R462">
        <f>IF($Q462="MATCHED",0,1)</f>
        <v/>
      </c>
      <c r="S462">
        <f>IF($Q462="MATCHED",0,IF($Q462="MISSING IN EXCHANGE",$O462,IF($Q462="MISSING IN INTERNAL",$P462,ABS(N($O462)-N($P462)))))</f>
        <v/>
      </c>
    </row>
    <row r="463">
      <c r="A463" t="inlineStr">
        <is>
          <t>T100462</t>
        </is>
      </c>
      <c r="B463">
        <f>IFERROR(INDEX(InternalTrades!$D$2:$D$461,MATCH($A463,InternalTrades!$A$2:$A$461,0)),INDEX(ExchangeConfirms!$D$2:$D$460,MATCH($A463,ExchangeConfirms!$A$2:$A$460,0)))</f>
        <v/>
      </c>
      <c r="C463">
        <f>IFERROR(INDEX(InternalTrades!$E$2:$E$461,MATCH($A463,InternalTrades!$A$2:$A$461,0)),INDEX(ExchangeConfirms!$E$2:$E$460,MATCH($A463,ExchangeConfirms!$A$2:$A$460,0)))</f>
        <v/>
      </c>
      <c r="D463">
        <f>IFERROR(INDEX(InternalTrades!$K$2:$K$461,MATCH($A463,InternalTrades!$A$2:$A$461,0)),INDEX(ExchangeConfirms!$K$2:$K$460,MATCH($A463,ExchangeConfirms!$A$2:$A$460,0)))</f>
        <v/>
      </c>
      <c r="E463">
        <f>IF(COUNTIF(InternalTrades!$A$2:$A$461,$A463)&gt;0,1,0)</f>
        <v/>
      </c>
      <c r="F463">
        <f>IF(COUNTIF(ExchangeConfirms!$A$2:$A$460,$A463)&gt;0,1,0)</f>
        <v/>
      </c>
      <c r="G463">
        <f>IFERROR(INDEX(InternalTrades!$F$2:$F$461,MATCH($A463,InternalTrades!$A$2:$A$461,0)),"")</f>
        <v/>
      </c>
      <c r="H463">
        <f>IFERROR(INDEX(ExchangeConfirms!$F$2:$F$460,MATCH($A463,ExchangeConfirms!$A$2:$A$460,0)),"")</f>
        <v/>
      </c>
      <c r="I463">
        <f>IFERROR(INDEX(InternalTrades!$G$2:$G$461,MATCH($A463,InternalTrades!$A$2:$A$461,0)),"")</f>
        <v/>
      </c>
      <c r="J463">
        <f>IFERROR(INDEX(ExchangeConfirms!$G$2:$G$460,MATCH($A463,ExchangeConfirms!$A$2:$A$460,0)),"")</f>
        <v/>
      </c>
      <c r="K463">
        <f>IFERROR(INDEX(InternalTrades!$H$2:$H$461,MATCH($A463,InternalTrades!$A$2:$A$461,0)),"")</f>
        <v/>
      </c>
      <c r="L463">
        <f>IFERROR(INDEX(ExchangeConfirms!$H$2:$H$460,MATCH($A463,ExchangeConfirms!$A$2:$A$460,0)),"")</f>
        <v/>
      </c>
      <c r="M463">
        <f>IFERROR(INDEX(InternalTrades!$J$2:$J$461,MATCH($A463,InternalTrades!$A$2:$A$461,0)),"")</f>
        <v/>
      </c>
      <c r="N463">
        <f>IFERROR(INDEX(ExchangeConfirms!$J$2:$J$460,MATCH($A463,ExchangeConfirms!$A$2:$A$460,0)),"")</f>
        <v/>
      </c>
      <c r="O463">
        <f>IFERROR(INDEX(InternalTrades!$I$2:$I$461,MATCH($A463,InternalTrades!$A$2:$A$461,0)),"")</f>
        <v/>
      </c>
      <c r="P463">
        <f>IFERROR(INDEX(ExchangeConfirms!$I$2:$I$460,MATCH($A463,ExchangeConfirms!$A$2:$A$460,0)),"")</f>
        <v/>
      </c>
      <c r="Q463">
        <f>IF(AND($E463=1,$F463=0),"MISSING IN EXCHANGE",IF(AND($E463=0,$F463=1),"MISSING IN INTERNAL",IF($G463&lt;&gt;$H463,"SIDE BREAK",IF($I463&lt;&gt;$J463,"QTY BREAK",IF(ABS($K463-$L463)&gt;0.005,"PRICE BREAK",IF(ABS($M463-$N463)&gt;0.01,"FEE BREAK","MATCHED"))))))</f>
        <v/>
      </c>
      <c r="R463">
        <f>IF($Q463="MATCHED",0,1)</f>
        <v/>
      </c>
      <c r="S463">
        <f>IF($Q463="MATCHED",0,IF($Q463="MISSING IN EXCHANGE",$O463,IF($Q463="MISSING IN INTERNAL",$P463,ABS(N($O463)-N($P463)))))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2026-09-24T08:06:17Z</dcterms:created>
  <dcterms:modified xmlns:dcterms="http://purl.org/dc/terms/" xmlns:xsi="http://www.w3.org/2001/XMLSchema-instance" xsi:type="dcterms:W3CDTF">2026-09-24T08:06:17Z</dcterms:modified>
</cp:coreProperties>
</file>