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Internal Book" sheetId="3" state="visible" r:id="rId3"/>
    <sheet xmlns:r="http://schemas.openxmlformats.org/officeDocument/2006/relationships" name="Custodian Statement" sheetId="4" state="visible" r:id="rId4"/>
    <sheet xmlns:r="http://schemas.openxmlformats.org/officeDocument/2006/relationships" name="Break Register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00"/>
    <numFmt numFmtId="166" formatCode="$#,##0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595959"/>
      <sz val="10"/>
    </font>
    <font>
      <name val="Arial"/>
      <b val="1"/>
      <color rgb="001F3864"/>
      <sz val="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6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166" fontId="3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0" fontId="7" fillId="0" borderId="0" pivotButton="0" quotePrefix="0" xfId="0"/>
    <xf numFmtId="3" fontId="8" fillId="0" borderId="0" pivotButton="0" quotePrefix="0" xfId="0"/>
    <xf numFmtId="167" fontId="8" fillId="0" borderId="0" pivotButton="0" quotePrefix="0" xfId="0"/>
    <xf numFmtId="166" fontId="8" fillId="0" borderId="0" pivotButton="0" quotePrefix="0" xfId="0"/>
    <xf numFmtId="0" fontId="5" fillId="2" borderId="0" applyAlignment="1" pivotButton="0" quotePrefix="0" xfId="0">
      <alignment horizontal="center"/>
    </xf>
    <xf numFmtId="3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Breaks by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'Dashboard'!$A$10:$A$15</f>
            </numRef>
          </cat>
          <val>
            <numRef>
              <f>'Dashboard'!$B$10:$B$15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Break Aging Profile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'Dashboard'!$D$10:$D$14</f>
            </numRef>
          </cat>
          <val>
            <numRef>
              <f>'Dashboard'!$E$10:$E$14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16</row>
      <rowOff>0</rowOff>
    </from>
    <ext cx="39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76" customWidth="1" min="2" max="2"/>
  </cols>
  <sheetData>
    <row r="1">
      <c r="A1" s="1" t="inlineStr">
        <is>
          <t>Cash &amp; Position Reconciliation</t>
        </is>
      </c>
    </row>
    <row r="2">
      <c r="A2" s="2" t="inlineStr">
        <is>
          <t>Daily internal-book vs custodian reconciliation with break aging and exception workflow</t>
        </is>
      </c>
    </row>
    <row r="4">
      <c r="A4" s="3" t="inlineStr"/>
      <c r="B4" s="3" t="inlineStr"/>
    </row>
    <row r="5">
      <c r="A5" s="4" t="inlineStr">
        <is>
          <t>PURPOSE</t>
        </is>
      </c>
      <c r="B5" s="3" t="inlineStr"/>
    </row>
    <row r="6">
      <c r="A6" s="3" t="inlineStr">
        <is>
          <t>Reconciles the fund accountant's internal book of record against the custodian</t>
        </is>
      </c>
      <c r="B6" s="3" t="inlineStr"/>
    </row>
    <row r="7">
      <c r="A7" s="3" t="inlineStr">
        <is>
          <t>statement position by position and cash by cash, classifies every mismatch, and</t>
        </is>
      </c>
      <c r="B7" s="3" t="inlineStr"/>
    </row>
    <row r="8">
      <c r="A8" s="3" t="inlineStr">
        <is>
          <t>ages each open break so the oldest exposures surface first.</t>
        </is>
      </c>
      <c r="B8" s="3" t="inlineStr"/>
    </row>
    <row r="9">
      <c r="A9" s="3" t="inlineStr"/>
      <c r="B9" s="3" t="inlineStr"/>
    </row>
    <row r="10">
      <c r="A10" s="4" t="inlineStr">
        <is>
          <t>SHEETS</t>
        </is>
      </c>
      <c r="B10" s="3" t="inlineStr"/>
    </row>
    <row r="11">
      <c r="A11" s="3" t="inlineStr">
        <is>
          <t>Parameters</t>
        </is>
      </c>
      <c r="B11" s="3" t="inlineStr">
        <is>
          <t>As-of date and matching tolerances (price bps, market-value).</t>
        </is>
      </c>
    </row>
    <row r="12">
      <c r="A12" s="3" t="inlineStr">
        <is>
          <t>Internal Book</t>
        </is>
      </c>
      <c r="B12" s="3" t="inlineStr">
        <is>
          <t>Positions and cash per the internal accounting system.</t>
        </is>
      </c>
    </row>
    <row r="13">
      <c r="A13" s="3" t="inlineStr">
        <is>
          <t>Custodian Statement</t>
        </is>
      </c>
      <c r="B13" s="3" t="inlineStr">
        <is>
          <t>Positions and cash per the custodian feed.</t>
        </is>
      </c>
    </row>
    <row r="14">
      <c r="A14" s="3" t="inlineStr">
        <is>
          <t>Reconciliation</t>
        </is>
      </c>
      <c r="B14" s="3" t="inlineStr">
        <is>
          <t>Matching engine. One row per position, break type, aging, status.</t>
        </is>
      </c>
    </row>
    <row r="15">
      <c r="A15" s="3" t="inlineStr">
        <is>
          <t>Break Register</t>
        </is>
      </c>
      <c r="B15" s="3" t="inlineStr">
        <is>
          <t>Analyst workflow: first-identified date, status, comment per break.</t>
        </is>
      </c>
    </row>
    <row r="16">
      <c r="A16" s="3" t="inlineStr">
        <is>
          <t>Dashboard</t>
        </is>
      </c>
      <c r="B16" s="3" t="inlineStr">
        <is>
          <t>Match rate, break exposure, breaks by type / fund, aging profile.</t>
        </is>
      </c>
    </row>
    <row r="17">
      <c r="A17" s="3" t="inlineStr"/>
      <c r="B17" s="3" t="inlineStr"/>
    </row>
    <row r="18">
      <c r="A18" s="4" t="inlineStr">
        <is>
          <t>BREAK TYPES</t>
        </is>
      </c>
      <c r="B18" s="3" t="inlineStr"/>
    </row>
    <row r="19">
      <c r="A19" s="3" t="inlineStr">
        <is>
          <t>MISSING IN INTERNAL</t>
        </is>
      </c>
      <c r="B19" s="3" t="inlineStr">
        <is>
          <t>At custodian, not in the internal book (unbooked trade or corp action).</t>
        </is>
      </c>
    </row>
    <row r="20">
      <c r="A20" s="3" t="inlineStr">
        <is>
          <t>MISSING IN CUSTODIAN</t>
        </is>
      </c>
      <c r="B20" s="3" t="inlineStr">
        <is>
          <t>In the internal book, not at custodian (failed / unsettled trade).</t>
        </is>
      </c>
    </row>
    <row r="21">
      <c r="A21" s="3" t="inlineStr">
        <is>
          <t>QUANTITY BREAK</t>
        </is>
      </c>
      <c r="B21" s="3" t="inlineStr">
        <is>
          <t>Both sides hold it, quantities differ (settlement timing).</t>
        </is>
      </c>
    </row>
    <row r="22">
      <c r="A22" s="3" t="inlineStr">
        <is>
          <t>PRICE BREAK</t>
        </is>
      </c>
      <c r="B22" s="3" t="inlineStr">
        <is>
          <t>Same quantity, price differs beyond the bps tolerance (stale price).</t>
        </is>
      </c>
    </row>
    <row r="23">
      <c r="A23" s="3" t="inlineStr">
        <is>
          <t>CASH BREAK</t>
        </is>
      </c>
      <c r="B23" s="3" t="inlineStr">
        <is>
          <t>Cash balance differs between the book and the custodian.</t>
        </is>
      </c>
    </row>
    <row r="24">
      <c r="A24" s="3" t="inlineStr">
        <is>
          <t>MV BREAK</t>
        </is>
      </c>
      <c r="B24" s="3" t="inlineStr">
        <is>
          <t>Residual market-value difference beyond tolerance.</t>
        </is>
      </c>
    </row>
    <row r="25">
      <c r="A25" s="3" t="inlineStr"/>
      <c r="B25" s="3" t="inlineStr"/>
    </row>
    <row r="26">
      <c r="A26" s="4" t="inlineStr">
        <is>
          <t>NOTE</t>
        </is>
      </c>
      <c r="B26" s="3" t="inlineStr">
        <is>
          <t>All figures are synthetic and generated for portfolio demonstration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5" t="inlineStr">
        <is>
          <t>Parameter</t>
        </is>
      </c>
      <c r="B1" s="5" t="inlineStr">
        <is>
          <t>Value</t>
        </is>
      </c>
    </row>
    <row r="2">
      <c r="A2" s="6" t="inlineStr">
        <is>
          <t>AsOfDate</t>
        </is>
      </c>
      <c r="B2" s="7" t="n">
        <v>46203</v>
      </c>
    </row>
    <row r="3">
      <c r="A3" s="6" t="inlineStr">
        <is>
          <t>PriceTolBps</t>
        </is>
      </c>
      <c r="B3" s="8" t="n">
        <v>10</v>
      </c>
    </row>
    <row r="4">
      <c r="A4" s="6" t="inlineStr">
        <is>
          <t>MVTol</t>
        </is>
      </c>
      <c r="B4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5" t="inlineStr">
        <is>
          <t>Fund</t>
        </is>
      </c>
      <c r="B1" s="5" t="inlineStr">
        <is>
          <t>SecurityID</t>
        </is>
      </c>
      <c r="C1" s="5" t="inlineStr">
        <is>
          <t>SecurityName</t>
        </is>
      </c>
      <c r="D1" s="5" t="inlineStr">
        <is>
          <t>AssetClass</t>
        </is>
      </c>
      <c r="E1" s="5" t="inlineStr">
        <is>
          <t>Quantity</t>
        </is>
      </c>
      <c r="F1" s="5" t="inlineStr">
        <is>
          <t>Price</t>
        </is>
      </c>
      <c r="G1" s="5" t="inlineStr">
        <is>
          <t>MarketValue</t>
        </is>
      </c>
      <c r="H1" s="5" t="inlineStr">
        <is>
          <t>Key</t>
        </is>
      </c>
    </row>
    <row r="2">
      <c r="A2" s="6" t="inlineStr">
        <is>
          <t>EQGL</t>
        </is>
      </c>
      <c r="B2" s="6" t="inlineStr">
        <is>
          <t>EQ0023</t>
        </is>
      </c>
      <c r="C2" s="6" t="inlineStr">
        <is>
          <t>Global Equity Holding 03</t>
        </is>
      </c>
      <c r="D2" s="6" t="inlineStr">
        <is>
          <t>Equity</t>
        </is>
      </c>
      <c r="E2" s="9" t="n">
        <v>21251</v>
      </c>
      <c r="F2" s="10" t="n">
        <v>150.81</v>
      </c>
      <c r="G2" s="11">
        <f>E2*F2</f>
        <v/>
      </c>
      <c r="H2" s="6">
        <f>A2&amp;"|"&amp;B2</f>
        <v/>
      </c>
    </row>
    <row r="3">
      <c r="A3" s="6" t="inlineStr">
        <is>
          <t>EQGL</t>
        </is>
      </c>
      <c r="B3" s="6" t="inlineStr">
        <is>
          <t>EQ0028</t>
        </is>
      </c>
      <c r="C3" s="6" t="inlineStr">
        <is>
          <t>Global Equity Holding 08</t>
        </is>
      </c>
      <c r="D3" s="6" t="inlineStr">
        <is>
          <t>Equity</t>
        </is>
      </c>
      <c r="E3" s="9" t="n">
        <v>27067</v>
      </c>
      <c r="F3" s="10" t="n">
        <v>460.85</v>
      </c>
      <c r="G3" s="11">
        <f>E3*F3</f>
        <v/>
      </c>
      <c r="H3" s="6">
        <f>A3&amp;"|"&amp;B3</f>
        <v/>
      </c>
    </row>
    <row r="4">
      <c r="A4" s="6" t="inlineStr">
        <is>
          <t>EQGL</t>
        </is>
      </c>
      <c r="B4" s="6" t="inlineStr">
        <is>
          <t>EQ0035</t>
        </is>
      </c>
      <c r="C4" s="6" t="inlineStr">
        <is>
          <t>Global Equity Holding 15</t>
        </is>
      </c>
      <c r="D4" s="6" t="inlineStr">
        <is>
          <t>Equity</t>
        </is>
      </c>
      <c r="E4" s="9" t="n">
        <v>11184</v>
      </c>
      <c r="F4" s="10" t="n">
        <v>89.94</v>
      </c>
      <c r="G4" s="11">
        <f>E4*F4</f>
        <v/>
      </c>
      <c r="H4" s="6">
        <f>A4&amp;"|"&amp;B4</f>
        <v/>
      </c>
    </row>
    <row r="5">
      <c r="A5" s="6" t="inlineStr">
        <is>
          <t>EQGL</t>
        </is>
      </c>
      <c r="B5" s="6" t="inlineStr">
        <is>
          <t>EQ0016</t>
        </is>
      </c>
      <c r="C5" s="6" t="inlineStr">
        <is>
          <t>TSMC ADR</t>
        </is>
      </c>
      <c r="D5" s="6" t="inlineStr">
        <is>
          <t>Equity</t>
        </is>
      </c>
      <c r="E5" s="9" t="n">
        <v>5468</v>
      </c>
      <c r="F5" s="10" t="n">
        <v>273.99</v>
      </c>
      <c r="G5" s="11">
        <f>E5*F5</f>
        <v/>
      </c>
      <c r="H5" s="6">
        <f>A5&amp;"|"&amp;B5</f>
        <v/>
      </c>
    </row>
    <row r="6">
      <c r="A6" s="6" t="inlineStr">
        <is>
          <t>EQGL</t>
        </is>
      </c>
      <c r="B6" s="6" t="inlineStr">
        <is>
          <t>EQ0019</t>
        </is>
      </c>
      <c r="C6" s="6" t="inlineStr">
        <is>
          <t>JPMorgan Chase</t>
        </is>
      </c>
      <c r="D6" s="6" t="inlineStr">
        <is>
          <t>Equity</t>
        </is>
      </c>
      <c r="E6" s="9" t="n">
        <v>18957</v>
      </c>
      <c r="F6" s="10" t="n">
        <v>153.64</v>
      </c>
      <c r="G6" s="11">
        <f>E6*F6</f>
        <v/>
      </c>
      <c r="H6" s="6">
        <f>A6&amp;"|"&amp;B6</f>
        <v/>
      </c>
    </row>
    <row r="7">
      <c r="A7" s="6" t="inlineStr">
        <is>
          <t>EQGL</t>
        </is>
      </c>
      <c r="B7" s="6" t="inlineStr">
        <is>
          <t>EQ0030</t>
        </is>
      </c>
      <c r="C7" s="6" t="inlineStr">
        <is>
          <t>Global Equity Holding 10</t>
        </is>
      </c>
      <c r="D7" s="6" t="inlineStr">
        <is>
          <t>Equity</t>
        </is>
      </c>
      <c r="E7" s="9" t="n">
        <v>55299</v>
      </c>
      <c r="F7" s="10" t="n">
        <v>222.17</v>
      </c>
      <c r="G7" s="11">
        <f>E7*F7</f>
        <v/>
      </c>
      <c r="H7" s="6">
        <f>A7&amp;"|"&amp;B7</f>
        <v/>
      </c>
    </row>
    <row r="8">
      <c r="A8" s="6" t="inlineStr">
        <is>
          <t>EQGL</t>
        </is>
      </c>
      <c r="B8" s="6" t="inlineStr">
        <is>
          <t>EQ0033</t>
        </is>
      </c>
      <c r="C8" s="6" t="inlineStr">
        <is>
          <t>Global Equity Holding 13</t>
        </is>
      </c>
      <c r="D8" s="6" t="inlineStr">
        <is>
          <t>Equity</t>
        </is>
      </c>
      <c r="E8" s="9" t="n">
        <v>25416</v>
      </c>
      <c r="F8" s="10" t="n">
        <v>473.73</v>
      </c>
      <c r="G8" s="11">
        <f>E8*F8</f>
        <v/>
      </c>
      <c r="H8" s="6">
        <f>A8&amp;"|"&amp;B8</f>
        <v/>
      </c>
    </row>
    <row r="9">
      <c r="A9" s="6" t="inlineStr">
        <is>
          <t>EQGL</t>
        </is>
      </c>
      <c r="B9" s="6" t="inlineStr">
        <is>
          <t>EQ0031</t>
        </is>
      </c>
      <c r="C9" s="6" t="inlineStr">
        <is>
          <t>Global Equity Holding 11</t>
        </is>
      </c>
      <c r="D9" s="6" t="inlineStr">
        <is>
          <t>Equity</t>
        </is>
      </c>
      <c r="E9" s="9" t="n">
        <v>47717</v>
      </c>
      <c r="F9" s="10" t="n">
        <v>181.2</v>
      </c>
      <c r="G9" s="11">
        <f>E9*F9</f>
        <v/>
      </c>
      <c r="H9" s="6">
        <f>A9&amp;"|"&amp;B9</f>
        <v/>
      </c>
    </row>
    <row r="10">
      <c r="A10" s="6" t="inlineStr">
        <is>
          <t>EQGL</t>
        </is>
      </c>
      <c r="B10" s="6" t="inlineStr">
        <is>
          <t>EQ0011</t>
        </is>
      </c>
      <c r="C10" s="6" t="inlineStr">
        <is>
          <t>SAP SE</t>
        </is>
      </c>
      <c r="D10" s="6" t="inlineStr">
        <is>
          <t>Equity</t>
        </is>
      </c>
      <c r="E10" s="9" t="n">
        <v>18370</v>
      </c>
      <c r="F10" s="10" t="n">
        <v>254.3</v>
      </c>
      <c r="G10" s="11">
        <f>E10*F10</f>
        <v/>
      </c>
      <c r="H10" s="6">
        <f>A10&amp;"|"&amp;B10</f>
        <v/>
      </c>
    </row>
    <row r="11">
      <c r="A11" s="6" t="inlineStr">
        <is>
          <t>EQGL</t>
        </is>
      </c>
      <c r="B11" s="6" t="inlineStr">
        <is>
          <t>EQ0002</t>
        </is>
      </c>
      <c r="C11" s="6" t="inlineStr">
        <is>
          <t>Microsoft Corp</t>
        </is>
      </c>
      <c r="D11" s="6" t="inlineStr">
        <is>
          <t>Equity</t>
        </is>
      </c>
      <c r="E11" s="9" t="n">
        <v>37583</v>
      </c>
      <c r="F11" s="10" t="n">
        <v>323.92</v>
      </c>
      <c r="G11" s="11">
        <f>E11*F11</f>
        <v/>
      </c>
      <c r="H11" s="6">
        <f>A11&amp;"|"&amp;B11</f>
        <v/>
      </c>
    </row>
    <row r="12">
      <c r="A12" s="6" t="inlineStr">
        <is>
          <t>EQGL</t>
        </is>
      </c>
      <c r="B12" s="6" t="inlineStr">
        <is>
          <t>EQ0042</t>
        </is>
      </c>
      <c r="C12" s="6" t="inlineStr">
        <is>
          <t>Global Equity Holding 22</t>
        </is>
      </c>
      <c r="D12" s="6" t="inlineStr">
        <is>
          <t>Equity</t>
        </is>
      </c>
      <c r="E12" s="9" t="n">
        <v>15918</v>
      </c>
      <c r="F12" s="10" t="n">
        <v>209.37</v>
      </c>
      <c r="G12" s="11">
        <f>E12*F12</f>
        <v/>
      </c>
      <c r="H12" s="6">
        <f>A12&amp;"|"&amp;B12</f>
        <v/>
      </c>
    </row>
    <row r="13">
      <c r="A13" s="6" t="inlineStr">
        <is>
          <t>EQGL</t>
        </is>
      </c>
      <c r="B13" s="6" t="inlineStr">
        <is>
          <t>EQ0014</t>
        </is>
      </c>
      <c r="C13" s="6" t="inlineStr">
        <is>
          <t>Siemens AG</t>
        </is>
      </c>
      <c r="D13" s="6" t="inlineStr">
        <is>
          <t>Equity</t>
        </is>
      </c>
      <c r="E13" s="9" t="n">
        <v>40202</v>
      </c>
      <c r="F13" s="10" t="n">
        <v>224.97</v>
      </c>
      <c r="G13" s="11">
        <f>E13*F13</f>
        <v/>
      </c>
      <c r="H13" s="6">
        <f>A13&amp;"|"&amp;B13</f>
        <v/>
      </c>
    </row>
    <row r="14">
      <c r="A14" s="6" t="inlineStr">
        <is>
          <t>EQGL</t>
        </is>
      </c>
      <c r="B14" s="6" t="inlineStr">
        <is>
          <t>EQ0041</t>
        </is>
      </c>
      <c r="C14" s="6" t="inlineStr">
        <is>
          <t>Global Equity Holding 21</t>
        </is>
      </c>
      <c r="D14" s="6" t="inlineStr">
        <is>
          <t>Equity</t>
        </is>
      </c>
      <c r="E14" s="9" t="n">
        <v>47013</v>
      </c>
      <c r="F14" s="10" t="n">
        <v>336.51</v>
      </c>
      <c r="G14" s="11">
        <f>E14*F14</f>
        <v/>
      </c>
      <c r="H14" s="6">
        <f>A14&amp;"|"&amp;B14</f>
        <v/>
      </c>
    </row>
    <row r="15">
      <c r="A15" s="6" t="inlineStr">
        <is>
          <t>EQGL</t>
        </is>
      </c>
      <c r="B15" s="6" t="inlineStr">
        <is>
          <t>EQ0018</t>
        </is>
      </c>
      <c r="C15" s="6" t="inlineStr">
        <is>
          <t>Amazon.com</t>
        </is>
      </c>
      <c r="D15" s="6" t="inlineStr">
        <is>
          <t>Equity</t>
        </is>
      </c>
      <c r="E15" s="9" t="n">
        <v>44332</v>
      </c>
      <c r="F15" s="10" t="n">
        <v>247.69</v>
      </c>
      <c r="G15" s="11">
        <f>E15*F15</f>
        <v/>
      </c>
      <c r="H15" s="6">
        <f>A15&amp;"|"&amp;B15</f>
        <v/>
      </c>
    </row>
    <row r="16">
      <c r="A16" s="6" t="inlineStr">
        <is>
          <t>EQGL</t>
        </is>
      </c>
      <c r="B16" s="6" t="inlineStr">
        <is>
          <t>ET0082</t>
        </is>
      </c>
      <c r="C16" s="6" t="inlineStr">
        <is>
          <t>Vanguard S&amp;P 500</t>
        </is>
      </c>
      <c r="D16" s="6" t="inlineStr">
        <is>
          <t>ETF</t>
        </is>
      </c>
      <c r="E16" s="9" t="n">
        <v>57262</v>
      </c>
      <c r="F16" s="10" t="n">
        <v>42.14</v>
      </c>
      <c r="G16" s="11">
        <f>E16*F16</f>
        <v/>
      </c>
      <c r="H16" s="6">
        <f>A16&amp;"|"&amp;B16</f>
        <v/>
      </c>
    </row>
    <row r="17">
      <c r="A17" s="6" t="inlineStr">
        <is>
          <t>EQGL</t>
        </is>
      </c>
      <c r="B17" s="6" t="inlineStr">
        <is>
          <t>EQ0037</t>
        </is>
      </c>
      <c r="C17" s="6" t="inlineStr">
        <is>
          <t>Global Equity Holding 17</t>
        </is>
      </c>
      <c r="D17" s="6" t="inlineStr">
        <is>
          <t>Equity</t>
        </is>
      </c>
      <c r="E17" s="9" t="n">
        <v>39122</v>
      </c>
      <c r="F17" s="10" t="n">
        <v>278.62</v>
      </c>
      <c r="G17" s="11">
        <f>E17*F17</f>
        <v/>
      </c>
      <c r="H17" s="6">
        <f>A17&amp;"|"&amp;B17</f>
        <v/>
      </c>
    </row>
    <row r="18">
      <c r="A18" s="6" t="inlineStr">
        <is>
          <t>EQGL</t>
        </is>
      </c>
      <c r="B18" s="6" t="inlineStr">
        <is>
          <t>EQ0044</t>
        </is>
      </c>
      <c r="C18" s="6" t="inlineStr">
        <is>
          <t>Global Equity Holding 24</t>
        </is>
      </c>
      <c r="D18" s="6" t="inlineStr">
        <is>
          <t>Equity</t>
        </is>
      </c>
      <c r="E18" s="9" t="n">
        <v>52177</v>
      </c>
      <c r="F18" s="10" t="n">
        <v>90.34999999999999</v>
      </c>
      <c r="G18" s="11">
        <f>E18*F18</f>
        <v/>
      </c>
      <c r="H18" s="6">
        <f>A18&amp;"|"&amp;B18</f>
        <v/>
      </c>
    </row>
    <row r="19">
      <c r="A19" s="6" t="inlineStr">
        <is>
          <t>EQGL</t>
        </is>
      </c>
      <c r="B19" s="6" t="inlineStr">
        <is>
          <t>EQ0021</t>
        </is>
      </c>
      <c r="C19" s="6" t="inlineStr">
        <is>
          <t>Global Equity Holding 01</t>
        </is>
      </c>
      <c r="D19" s="6" t="inlineStr">
        <is>
          <t>Equity</t>
        </is>
      </c>
      <c r="E19" s="9" t="n">
        <v>27150</v>
      </c>
      <c r="F19" s="10" t="n">
        <v>324.95</v>
      </c>
      <c r="G19" s="11">
        <f>E19*F19</f>
        <v/>
      </c>
      <c r="H19" s="6">
        <f>A19&amp;"|"&amp;B19</f>
        <v/>
      </c>
    </row>
    <row r="20">
      <c r="A20" s="6" t="inlineStr">
        <is>
          <t>EQGL</t>
        </is>
      </c>
      <c r="B20" s="6" t="inlineStr">
        <is>
          <t>EQ0038</t>
        </is>
      </c>
      <c r="C20" s="6" t="inlineStr">
        <is>
          <t>Global Equity Holding 18</t>
        </is>
      </c>
      <c r="D20" s="6" t="inlineStr">
        <is>
          <t>Equity</t>
        </is>
      </c>
      <c r="E20" s="9" t="n">
        <v>39871</v>
      </c>
      <c r="F20" s="10" t="n">
        <v>406.55</v>
      </c>
      <c r="G20" s="11">
        <f>E20*F20</f>
        <v/>
      </c>
      <c r="H20" s="6">
        <f>A20&amp;"|"&amp;B20</f>
        <v/>
      </c>
    </row>
    <row r="21">
      <c r="A21" s="6" t="inlineStr">
        <is>
          <t>EQGL</t>
        </is>
      </c>
      <c r="B21" s="6" t="inlineStr">
        <is>
          <t>EQ0034</t>
        </is>
      </c>
      <c r="C21" s="6" t="inlineStr">
        <is>
          <t>Global Equity Holding 14</t>
        </is>
      </c>
      <c r="D21" s="6" t="inlineStr">
        <is>
          <t>Equity</t>
        </is>
      </c>
      <c r="E21" s="9" t="n">
        <v>32187</v>
      </c>
      <c r="F21" s="10" t="n">
        <v>43.04</v>
      </c>
      <c r="G21" s="11">
        <f>E21*F21</f>
        <v/>
      </c>
      <c r="H21" s="6">
        <f>A21&amp;"|"&amp;B21</f>
        <v/>
      </c>
    </row>
    <row r="22">
      <c r="A22" s="6" t="inlineStr">
        <is>
          <t>EQGL</t>
        </is>
      </c>
      <c r="B22" s="6" t="inlineStr">
        <is>
          <t>EQ0047</t>
        </is>
      </c>
      <c r="C22" s="6" t="inlineStr">
        <is>
          <t>Global Equity Holding 27</t>
        </is>
      </c>
      <c r="D22" s="6" t="inlineStr">
        <is>
          <t>Equity</t>
        </is>
      </c>
      <c r="E22" s="9" t="n">
        <v>6188</v>
      </c>
      <c r="F22" s="10" t="n">
        <v>388.5</v>
      </c>
      <c r="G22" s="11">
        <f>E22*F22</f>
        <v/>
      </c>
      <c r="H22" s="6">
        <f>A22&amp;"|"&amp;B22</f>
        <v/>
      </c>
    </row>
    <row r="23">
      <c r="A23" s="6" t="inlineStr">
        <is>
          <t>EQGL</t>
        </is>
      </c>
      <c r="B23" s="6" t="inlineStr">
        <is>
          <t>EQ0010</t>
        </is>
      </c>
      <c r="C23" s="6" t="inlineStr">
        <is>
          <t>LVMH</t>
        </is>
      </c>
      <c r="D23" s="6" t="inlineStr">
        <is>
          <t>Equity</t>
        </is>
      </c>
      <c r="E23" s="9" t="n">
        <v>24442</v>
      </c>
      <c r="F23" s="10" t="n">
        <v>335.52</v>
      </c>
      <c r="G23" s="11">
        <f>E23*F23</f>
        <v/>
      </c>
      <c r="H23" s="6">
        <f>A23&amp;"|"&amp;B23</f>
        <v/>
      </c>
    </row>
    <row r="24">
      <c r="A24" s="6" t="inlineStr">
        <is>
          <t>EQGL</t>
        </is>
      </c>
      <c r="B24" s="6" t="inlineStr">
        <is>
          <t>EQ0003</t>
        </is>
      </c>
      <c r="C24" s="6" t="inlineStr">
        <is>
          <t>Nestle SA</t>
        </is>
      </c>
      <c r="D24" s="6" t="inlineStr">
        <is>
          <t>Equity</t>
        </is>
      </c>
      <c r="E24" s="9" t="n">
        <v>30364</v>
      </c>
      <c r="F24" s="10" t="n">
        <v>205.72</v>
      </c>
      <c r="G24" s="11">
        <f>E24*F24</f>
        <v/>
      </c>
      <c r="H24" s="6">
        <f>A24&amp;"|"&amp;B24</f>
        <v/>
      </c>
    </row>
    <row r="25">
      <c r="A25" s="6" t="inlineStr">
        <is>
          <t>EQGL</t>
        </is>
      </c>
      <c r="B25" s="6" t="inlineStr">
        <is>
          <t>EQ0036</t>
        </is>
      </c>
      <c r="C25" s="6" t="inlineStr">
        <is>
          <t>Global Equity Holding 16</t>
        </is>
      </c>
      <c r="D25" s="6" t="inlineStr">
        <is>
          <t>Equity</t>
        </is>
      </c>
      <c r="E25" s="9" t="n">
        <v>47256</v>
      </c>
      <c r="F25" s="10" t="n">
        <v>457.86</v>
      </c>
      <c r="G25" s="11">
        <f>E25*F25</f>
        <v/>
      </c>
      <c r="H25" s="6">
        <f>A25&amp;"|"&amp;B25</f>
        <v/>
      </c>
    </row>
    <row r="26">
      <c r="A26" s="6" t="inlineStr">
        <is>
          <t>EQGL</t>
        </is>
      </c>
      <c r="B26" s="6" t="inlineStr">
        <is>
          <t>EQ0017</t>
        </is>
      </c>
      <c r="C26" s="6" t="inlineStr">
        <is>
          <t>Alphabet Inc</t>
        </is>
      </c>
      <c r="D26" s="6" t="inlineStr">
        <is>
          <t>Equity</t>
        </is>
      </c>
      <c r="E26" s="9" t="n">
        <v>15848</v>
      </c>
      <c r="F26" s="10" t="n">
        <v>261.55</v>
      </c>
      <c r="G26" s="11">
        <f>E26*F26</f>
        <v/>
      </c>
      <c r="H26" s="6">
        <f>A26&amp;"|"&amp;B26</f>
        <v/>
      </c>
    </row>
    <row r="27">
      <c r="A27" s="6" t="inlineStr">
        <is>
          <t>EQGL</t>
        </is>
      </c>
      <c r="B27" s="6" t="inlineStr">
        <is>
          <t>EQ0022</t>
        </is>
      </c>
      <c r="C27" s="6" t="inlineStr">
        <is>
          <t>Global Equity Holding 02</t>
        </is>
      </c>
      <c r="D27" s="6" t="inlineStr">
        <is>
          <t>Equity</t>
        </is>
      </c>
      <c r="E27" s="9" t="n">
        <v>52152</v>
      </c>
      <c r="F27" s="10" t="n">
        <v>234.01</v>
      </c>
      <c r="G27" s="11">
        <f>E27*F27</f>
        <v/>
      </c>
      <c r="H27" s="6">
        <f>A27&amp;"|"&amp;B27</f>
        <v/>
      </c>
    </row>
    <row r="28">
      <c r="A28" s="6" t="inlineStr">
        <is>
          <t>EQGL</t>
        </is>
      </c>
      <c r="B28" s="6" t="inlineStr">
        <is>
          <t>EQ0046</t>
        </is>
      </c>
      <c r="C28" s="6" t="inlineStr">
        <is>
          <t>Global Equity Holding 26</t>
        </is>
      </c>
      <c r="D28" s="6" t="inlineStr">
        <is>
          <t>Equity</t>
        </is>
      </c>
      <c r="E28" s="9" t="n">
        <v>7045</v>
      </c>
      <c r="F28" s="10" t="n">
        <v>388.55</v>
      </c>
      <c r="G28" s="11">
        <f>E28*F28</f>
        <v/>
      </c>
      <c r="H28" s="6">
        <f>A28&amp;"|"&amp;B28</f>
        <v/>
      </c>
    </row>
    <row r="29">
      <c r="A29" s="6" t="inlineStr">
        <is>
          <t>EQGL</t>
        </is>
      </c>
      <c r="B29" s="6" t="inlineStr">
        <is>
          <t>EQ0032</t>
        </is>
      </c>
      <c r="C29" s="6" t="inlineStr">
        <is>
          <t>Global Equity Holding 12</t>
        </is>
      </c>
      <c r="D29" s="6" t="inlineStr">
        <is>
          <t>Equity</t>
        </is>
      </c>
      <c r="E29" s="9" t="n">
        <v>30126</v>
      </c>
      <c r="F29" s="10" t="n">
        <v>114.71</v>
      </c>
      <c r="G29" s="11">
        <f>E29*F29</f>
        <v/>
      </c>
      <c r="H29" s="6">
        <f>A29&amp;"|"&amp;B29</f>
        <v/>
      </c>
    </row>
    <row r="30">
      <c r="A30" s="6" t="inlineStr">
        <is>
          <t>EQGL</t>
        </is>
      </c>
      <c r="B30" s="6" t="inlineStr">
        <is>
          <t>EQ0025</t>
        </is>
      </c>
      <c r="C30" s="6" t="inlineStr">
        <is>
          <t>Global Equity Holding 05</t>
        </is>
      </c>
      <c r="D30" s="6" t="inlineStr">
        <is>
          <t>Equity</t>
        </is>
      </c>
      <c r="E30" s="9" t="n">
        <v>52626</v>
      </c>
      <c r="F30" s="10" t="n">
        <v>147.02</v>
      </c>
      <c r="G30" s="11">
        <f>E30*F30</f>
        <v/>
      </c>
      <c r="H30" s="6">
        <f>A30&amp;"|"&amp;B30</f>
        <v/>
      </c>
    </row>
    <row r="31">
      <c r="A31" s="6" t="inlineStr">
        <is>
          <t>EQGL</t>
        </is>
      </c>
      <c r="B31" s="6" t="inlineStr">
        <is>
          <t>EQ0006</t>
        </is>
      </c>
      <c r="C31" s="6" t="inlineStr">
        <is>
          <t>Samsung Electronics</t>
        </is>
      </c>
      <c r="D31" s="6" t="inlineStr">
        <is>
          <t>Equity</t>
        </is>
      </c>
      <c r="E31" s="9" t="n">
        <v>14597</v>
      </c>
      <c r="F31" s="10" t="n">
        <v>194.53</v>
      </c>
      <c r="G31" s="11">
        <f>E31*F31</f>
        <v/>
      </c>
      <c r="H31" s="6">
        <f>A31&amp;"|"&amp;B31</f>
        <v/>
      </c>
    </row>
    <row r="32">
      <c r="A32" s="6" t="inlineStr">
        <is>
          <t>EQGL</t>
        </is>
      </c>
      <c r="B32" s="6" t="inlineStr">
        <is>
          <t>EQ0013</t>
        </is>
      </c>
      <c r="C32" s="6" t="inlineStr">
        <is>
          <t>Shell PLC</t>
        </is>
      </c>
      <c r="D32" s="6" t="inlineStr">
        <is>
          <t>Equity</t>
        </is>
      </c>
      <c r="E32" s="9" t="n">
        <v>23461</v>
      </c>
      <c r="F32" s="10" t="n">
        <v>131.06</v>
      </c>
      <c r="G32" s="11">
        <f>E32*F32</f>
        <v/>
      </c>
      <c r="H32" s="6">
        <f>A32&amp;"|"&amp;B32</f>
        <v/>
      </c>
    </row>
    <row r="33">
      <c r="A33" s="6" t="inlineStr">
        <is>
          <t>EQGL</t>
        </is>
      </c>
      <c r="B33" s="6" t="inlineStr">
        <is>
          <t>ET0085</t>
        </is>
      </c>
      <c r="C33" s="6" t="inlineStr">
        <is>
          <t>iShares US Treasury</t>
        </is>
      </c>
      <c r="D33" s="6" t="inlineStr">
        <is>
          <t>ETF</t>
        </is>
      </c>
      <c r="E33" s="9" t="n">
        <v>10958</v>
      </c>
      <c r="F33" s="10" t="n">
        <v>64.66</v>
      </c>
      <c r="G33" s="11">
        <f>E33*F33</f>
        <v/>
      </c>
      <c r="H33" s="6">
        <f>A33&amp;"|"&amp;B33</f>
        <v/>
      </c>
    </row>
    <row r="34">
      <c r="A34" s="6" t="inlineStr">
        <is>
          <t>EQGL</t>
        </is>
      </c>
      <c r="B34" s="6" t="inlineStr">
        <is>
          <t>ET0081</t>
        </is>
      </c>
      <c r="C34" s="6" t="inlineStr">
        <is>
          <t>iShares Core MSCI World</t>
        </is>
      </c>
      <c r="D34" s="6" t="inlineStr">
        <is>
          <t>ETF</t>
        </is>
      </c>
      <c r="E34" s="9" t="n">
        <v>50576</v>
      </c>
      <c r="F34" s="10" t="n">
        <v>100.38</v>
      </c>
      <c r="G34" s="11">
        <f>E34*F34</f>
        <v/>
      </c>
      <c r="H34" s="6">
        <f>A34&amp;"|"&amp;B34</f>
        <v/>
      </c>
    </row>
    <row r="35">
      <c r="A35" s="6" t="inlineStr">
        <is>
          <t>EQGL</t>
        </is>
      </c>
      <c r="B35" s="6" t="inlineStr">
        <is>
          <t>EQ0007</t>
        </is>
      </c>
      <c r="C35" s="6" t="inlineStr">
        <is>
          <t>ASML Holding</t>
        </is>
      </c>
      <c r="D35" s="6" t="inlineStr">
        <is>
          <t>Equity</t>
        </is>
      </c>
      <c r="E35" s="9" t="n">
        <v>38626</v>
      </c>
      <c r="F35" s="10" t="n">
        <v>250.69</v>
      </c>
      <c r="G35" s="11">
        <f>E35*F35</f>
        <v/>
      </c>
      <c r="H35" s="6">
        <f>A35&amp;"|"&amp;B35</f>
        <v/>
      </c>
    </row>
    <row r="36">
      <c r="A36" s="6" t="inlineStr">
        <is>
          <t>EQGL</t>
        </is>
      </c>
      <c r="B36" s="6" t="inlineStr">
        <is>
          <t>CASH_USD_EQGL</t>
        </is>
      </c>
      <c r="C36" s="6" t="inlineStr">
        <is>
          <t>USD Cash</t>
        </is>
      </c>
      <c r="D36" s="6" t="inlineStr">
        <is>
          <t>Cash</t>
        </is>
      </c>
      <c r="E36" s="9" t="n">
        <v>5311390.66</v>
      </c>
      <c r="F36" s="10" t="n">
        <v>1</v>
      </c>
      <c r="G36" s="11">
        <f>E36*F36</f>
        <v/>
      </c>
      <c r="H36" s="6">
        <f>A36&amp;"|"&amp;B36</f>
        <v/>
      </c>
    </row>
    <row r="37">
      <c r="A37" s="6" t="inlineStr">
        <is>
          <t>FIIG</t>
        </is>
      </c>
      <c r="B37" s="6" t="inlineStr">
        <is>
          <t>BD0061</t>
        </is>
      </c>
      <c r="C37" s="6" t="inlineStr">
        <is>
          <t>Corporate Note Series 01</t>
        </is>
      </c>
      <c r="D37" s="6" t="inlineStr">
        <is>
          <t>Bond</t>
        </is>
      </c>
      <c r="E37" s="9" t="n">
        <v>2000</v>
      </c>
      <c r="F37" s="10" t="n">
        <v>102.889</v>
      </c>
      <c r="G37" s="11">
        <f>E37*F37</f>
        <v/>
      </c>
      <c r="H37" s="6">
        <f>A37&amp;"|"&amp;B37</f>
        <v/>
      </c>
    </row>
    <row r="38">
      <c r="A38" s="6" t="inlineStr">
        <is>
          <t>FIIG</t>
        </is>
      </c>
      <c r="B38" s="6" t="inlineStr">
        <is>
          <t>BD0069</t>
        </is>
      </c>
      <c r="C38" s="6" t="inlineStr">
        <is>
          <t>Corporate Note Series 09</t>
        </is>
      </c>
      <c r="D38" s="6" t="inlineStr">
        <is>
          <t>Bond</t>
        </is>
      </c>
      <c r="E38" s="9" t="n">
        <v>20000</v>
      </c>
      <c r="F38" s="10" t="n">
        <v>96.86799999999999</v>
      </c>
      <c r="G38" s="11">
        <f>E38*F38</f>
        <v/>
      </c>
      <c r="H38" s="6">
        <f>A38&amp;"|"&amp;B38</f>
        <v/>
      </c>
    </row>
    <row r="39">
      <c r="A39" s="6" t="inlineStr">
        <is>
          <t>FIIG</t>
        </is>
      </c>
      <c r="B39" s="6" t="inlineStr">
        <is>
          <t>BD0065</t>
        </is>
      </c>
      <c r="C39" s="6" t="inlineStr">
        <is>
          <t>Corporate Note Series 05</t>
        </is>
      </c>
      <c r="D39" s="6" t="inlineStr">
        <is>
          <t>Bond</t>
        </is>
      </c>
      <c r="E39" s="9" t="n">
        <v>22000</v>
      </c>
      <c r="F39" s="10" t="n">
        <v>100.794</v>
      </c>
      <c r="G39" s="11">
        <f>E39*F39</f>
        <v/>
      </c>
      <c r="H39" s="6">
        <f>A39&amp;"|"&amp;B39</f>
        <v/>
      </c>
    </row>
    <row r="40">
      <c r="A40" s="6" t="inlineStr">
        <is>
          <t>FIIG</t>
        </is>
      </c>
      <c r="B40" s="6" t="inlineStr">
        <is>
          <t>ET0084</t>
        </is>
      </c>
      <c r="C40" s="6" t="inlineStr">
        <is>
          <t>iShares EUR Corp Bond</t>
        </is>
      </c>
      <c r="D40" s="6" t="inlineStr">
        <is>
          <t>ETF</t>
        </is>
      </c>
      <c r="E40" s="9" t="n">
        <v>29509</v>
      </c>
      <c r="F40" s="10" t="n">
        <v>52.2</v>
      </c>
      <c r="G40" s="11">
        <f>E40*F40</f>
        <v/>
      </c>
      <c r="H40" s="6">
        <f>A40&amp;"|"&amp;B40</f>
        <v/>
      </c>
    </row>
    <row r="41">
      <c r="A41" s="6" t="inlineStr">
        <is>
          <t>FIIG</t>
        </is>
      </c>
      <c r="B41" s="6" t="inlineStr">
        <is>
          <t>ET0083</t>
        </is>
      </c>
      <c r="C41" s="6" t="inlineStr">
        <is>
          <t>SPDR Gold Shares</t>
        </is>
      </c>
      <c r="D41" s="6" t="inlineStr">
        <is>
          <t>ETF</t>
        </is>
      </c>
      <c r="E41" s="9" t="n">
        <v>31873</v>
      </c>
      <c r="F41" s="10" t="n">
        <v>118.57</v>
      </c>
      <c r="G41" s="11">
        <f>E41*F41</f>
        <v/>
      </c>
      <c r="H41" s="6">
        <f>A41&amp;"|"&amp;B41</f>
        <v/>
      </c>
    </row>
    <row r="42">
      <c r="A42" s="6" t="inlineStr">
        <is>
          <t>FIIG</t>
        </is>
      </c>
      <c r="B42" s="6" t="inlineStr">
        <is>
          <t>BD0059</t>
        </is>
      </c>
      <c r="C42" s="6" t="inlineStr">
        <is>
          <t>Toyota 2.1% 2027</t>
        </is>
      </c>
      <c r="D42" s="6" t="inlineStr">
        <is>
          <t>Bond</t>
        </is>
      </c>
      <c r="E42" s="9" t="n">
        <v>25000</v>
      </c>
      <c r="F42" s="10" t="n">
        <v>102.184</v>
      </c>
      <c r="G42" s="11">
        <f>E42*F42</f>
        <v/>
      </c>
      <c r="H42" s="6">
        <f>A42&amp;"|"&amp;B42</f>
        <v/>
      </c>
    </row>
    <row r="43">
      <c r="A43" s="6" t="inlineStr">
        <is>
          <t>FIIG</t>
        </is>
      </c>
      <c r="B43" s="6" t="inlineStr">
        <is>
          <t>BD0052</t>
        </is>
      </c>
      <c r="C43" s="6" t="inlineStr">
        <is>
          <t>US Treasury 3.0% 2033</t>
        </is>
      </c>
      <c r="D43" s="6" t="inlineStr">
        <is>
          <t>Bond</t>
        </is>
      </c>
      <c r="E43" s="9" t="n">
        <v>36000</v>
      </c>
      <c r="F43" s="10" t="n">
        <v>106.513</v>
      </c>
      <c r="G43" s="11">
        <f>E43*F43</f>
        <v/>
      </c>
      <c r="H43" s="6">
        <f>A43&amp;"|"&amp;B43</f>
        <v/>
      </c>
    </row>
    <row r="44">
      <c r="A44" s="6" t="inlineStr">
        <is>
          <t>FIIG</t>
        </is>
      </c>
      <c r="B44" s="6" t="inlineStr">
        <is>
          <t>BD0071</t>
        </is>
      </c>
      <c r="C44" s="6" t="inlineStr">
        <is>
          <t>Corporate Note Series 11</t>
        </is>
      </c>
      <c r="D44" s="6" t="inlineStr">
        <is>
          <t>Bond</t>
        </is>
      </c>
      <c r="E44" s="9" t="n">
        <v>24000</v>
      </c>
      <c r="F44" s="10" t="n">
        <v>96.14400000000001</v>
      </c>
      <c r="G44" s="11">
        <f>E44*F44</f>
        <v/>
      </c>
      <c r="H44" s="6">
        <f>A44&amp;"|"&amp;B44</f>
        <v/>
      </c>
    </row>
    <row r="45">
      <c r="A45" s="6" t="inlineStr">
        <is>
          <t>FIIG</t>
        </is>
      </c>
      <c r="B45" s="6" t="inlineStr">
        <is>
          <t>BD0068</t>
        </is>
      </c>
      <c r="C45" s="6" t="inlineStr">
        <is>
          <t>Corporate Note Series 08</t>
        </is>
      </c>
      <c r="D45" s="6" t="inlineStr">
        <is>
          <t>Bond</t>
        </is>
      </c>
      <c r="E45" s="9" t="n">
        <v>16000</v>
      </c>
      <c r="F45" s="10" t="n">
        <v>106.279</v>
      </c>
      <c r="G45" s="11">
        <f>E45*F45</f>
        <v/>
      </c>
      <c r="H45" s="6">
        <f>A45&amp;"|"&amp;B45</f>
        <v/>
      </c>
    </row>
    <row r="46">
      <c r="A46" s="6" t="inlineStr">
        <is>
          <t>FIIG</t>
        </is>
      </c>
      <c r="B46" s="6" t="inlineStr">
        <is>
          <t>BD0073</t>
        </is>
      </c>
      <c r="C46" s="6" t="inlineStr">
        <is>
          <t>Corporate Note Series 13</t>
        </is>
      </c>
      <c r="D46" s="6" t="inlineStr">
        <is>
          <t>Bond</t>
        </is>
      </c>
      <c r="E46" s="9" t="n">
        <v>15000</v>
      </c>
      <c r="F46" s="10" t="n">
        <v>103.166</v>
      </c>
      <c r="G46" s="11">
        <f>E46*F46</f>
        <v/>
      </c>
      <c r="H46" s="6">
        <f>A46&amp;"|"&amp;B46</f>
        <v/>
      </c>
    </row>
    <row r="47">
      <c r="A47" s="6" t="inlineStr">
        <is>
          <t>FIIG</t>
        </is>
      </c>
      <c r="B47" s="6" t="inlineStr">
        <is>
          <t>BD0054</t>
        </is>
      </c>
      <c r="C47" s="6" t="inlineStr">
        <is>
          <t>UK Gilt 4.25% 2032</t>
        </is>
      </c>
      <c r="D47" s="6" t="inlineStr">
        <is>
          <t>Bond</t>
        </is>
      </c>
      <c r="E47" s="9" t="n">
        <v>19000</v>
      </c>
      <c r="F47" s="10" t="n">
        <v>99.02800000000001</v>
      </c>
      <c r="G47" s="11">
        <f>E47*F47</f>
        <v/>
      </c>
      <c r="H47" s="6">
        <f>A47&amp;"|"&amp;B47</f>
        <v/>
      </c>
    </row>
    <row r="48">
      <c r="A48" s="6" t="inlineStr">
        <is>
          <t>FIIG</t>
        </is>
      </c>
      <c r="B48" s="6" t="inlineStr">
        <is>
          <t>BD0056</t>
        </is>
      </c>
      <c r="C48" s="6" t="inlineStr">
        <is>
          <t>Microsoft 2.9% 2030</t>
        </is>
      </c>
      <c r="D48" s="6" t="inlineStr">
        <is>
          <t>Bond</t>
        </is>
      </c>
      <c r="E48" s="9" t="n">
        <v>22000</v>
      </c>
      <c r="F48" s="10" t="n">
        <v>104.682</v>
      </c>
      <c r="G48" s="11">
        <f>E48*F48</f>
        <v/>
      </c>
      <c r="H48" s="6">
        <f>A48&amp;"|"&amp;B48</f>
        <v/>
      </c>
    </row>
    <row r="49">
      <c r="A49" s="6" t="inlineStr">
        <is>
          <t>FIIG</t>
        </is>
      </c>
      <c r="B49" s="6" t="inlineStr">
        <is>
          <t>BD0051</t>
        </is>
      </c>
      <c r="C49" s="6" t="inlineStr">
        <is>
          <t>US Treasury 2.5% 2030</t>
        </is>
      </c>
      <c r="D49" s="6" t="inlineStr">
        <is>
          <t>Bond</t>
        </is>
      </c>
      <c r="E49" s="9" t="n">
        <v>26000</v>
      </c>
      <c r="F49" s="10" t="n">
        <v>105.218</v>
      </c>
      <c r="G49" s="11">
        <f>E49*F49</f>
        <v/>
      </c>
      <c r="H49" s="6">
        <f>A49&amp;"|"&amp;B49</f>
        <v/>
      </c>
    </row>
    <row r="50">
      <c r="A50" s="6" t="inlineStr">
        <is>
          <t>FIIG</t>
        </is>
      </c>
      <c r="B50" s="6" t="inlineStr">
        <is>
          <t>BD0077</t>
        </is>
      </c>
      <c r="C50" s="6" t="inlineStr">
        <is>
          <t>Corporate Note Series 17</t>
        </is>
      </c>
      <c r="D50" s="6" t="inlineStr">
        <is>
          <t>Bond</t>
        </is>
      </c>
      <c r="E50" s="9" t="n">
        <v>26000</v>
      </c>
      <c r="F50" s="10" t="n">
        <v>106.991</v>
      </c>
      <c r="G50" s="11">
        <f>E50*F50</f>
        <v/>
      </c>
      <c r="H50" s="6">
        <f>A50&amp;"|"&amp;B50</f>
        <v/>
      </c>
    </row>
    <row r="51">
      <c r="A51" s="6" t="inlineStr">
        <is>
          <t>FIIG</t>
        </is>
      </c>
      <c r="B51" s="6" t="inlineStr">
        <is>
          <t>BD0053</t>
        </is>
      </c>
      <c r="C51" s="6" t="inlineStr">
        <is>
          <t>Bund 1.5% 2031</t>
        </is>
      </c>
      <c r="D51" s="6" t="inlineStr">
        <is>
          <t>Bond</t>
        </is>
      </c>
      <c r="E51" s="9" t="n">
        <v>21000</v>
      </c>
      <c r="F51" s="10" t="n">
        <v>98.259</v>
      </c>
      <c r="G51" s="11">
        <f>E51*F51</f>
        <v/>
      </c>
      <c r="H51" s="6">
        <f>A51&amp;"|"&amp;B51</f>
        <v/>
      </c>
    </row>
    <row r="52">
      <c r="A52" s="6" t="inlineStr">
        <is>
          <t>FIIG</t>
        </is>
      </c>
      <c r="B52" s="6" t="inlineStr">
        <is>
          <t>BD0067</t>
        </is>
      </c>
      <c r="C52" s="6" t="inlineStr">
        <is>
          <t>Corporate Note Series 07</t>
        </is>
      </c>
      <c r="D52" s="6" t="inlineStr">
        <is>
          <t>Bond</t>
        </is>
      </c>
      <c r="E52" s="9" t="n">
        <v>5000</v>
      </c>
      <c r="F52" s="10" t="n">
        <v>101.368</v>
      </c>
      <c r="G52" s="11">
        <f>E52*F52</f>
        <v/>
      </c>
      <c r="H52" s="6">
        <f>A52&amp;"|"&amp;B52</f>
        <v/>
      </c>
    </row>
    <row r="53">
      <c r="A53" s="6" t="inlineStr">
        <is>
          <t>FIIG</t>
        </is>
      </c>
      <c r="B53" s="6" t="inlineStr">
        <is>
          <t>ET0082</t>
        </is>
      </c>
      <c r="C53" s="6" t="inlineStr">
        <is>
          <t>Vanguard S&amp;P 500</t>
        </is>
      </c>
      <c r="D53" s="6" t="inlineStr">
        <is>
          <t>ETF</t>
        </is>
      </c>
      <c r="E53" s="9" t="n">
        <v>13304</v>
      </c>
      <c r="F53" s="10" t="n">
        <v>29.08</v>
      </c>
      <c r="G53" s="11">
        <f>E53*F53</f>
        <v/>
      </c>
      <c r="H53" s="6">
        <f>A53&amp;"|"&amp;B53</f>
        <v/>
      </c>
    </row>
    <row r="54">
      <c r="A54" s="6" t="inlineStr">
        <is>
          <t>FIIG</t>
        </is>
      </c>
      <c r="B54" s="6" t="inlineStr">
        <is>
          <t>BD0066</t>
        </is>
      </c>
      <c r="C54" s="6" t="inlineStr">
        <is>
          <t>Corporate Note Series 06</t>
        </is>
      </c>
      <c r="D54" s="6" t="inlineStr">
        <is>
          <t>Bond</t>
        </is>
      </c>
      <c r="E54" s="9" t="n">
        <v>13000</v>
      </c>
      <c r="F54" s="10" t="n">
        <v>94.50700000000001</v>
      </c>
      <c r="G54" s="11">
        <f>E54*F54</f>
        <v/>
      </c>
      <c r="H54" s="6">
        <f>A54&amp;"|"&amp;B54</f>
        <v/>
      </c>
    </row>
    <row r="55">
      <c r="A55" s="6" t="inlineStr">
        <is>
          <t>FIIG</t>
        </is>
      </c>
      <c r="B55" s="6" t="inlineStr">
        <is>
          <t>BD0057</t>
        </is>
      </c>
      <c r="C55" s="6" t="inlineStr">
        <is>
          <t>Shell 2.5% 2028</t>
        </is>
      </c>
      <c r="D55" s="6" t="inlineStr">
        <is>
          <t>Bond</t>
        </is>
      </c>
      <c r="E55" s="9" t="n">
        <v>39000</v>
      </c>
      <c r="F55" s="10" t="n">
        <v>101.169</v>
      </c>
      <c r="G55" s="11">
        <f>E55*F55</f>
        <v/>
      </c>
      <c r="H55" s="6">
        <f>A55&amp;"|"&amp;B55</f>
        <v/>
      </c>
    </row>
    <row r="56">
      <c r="A56" s="6" t="inlineStr">
        <is>
          <t>FIIG</t>
        </is>
      </c>
      <c r="B56" s="6" t="inlineStr">
        <is>
          <t>BD0060</t>
        </is>
      </c>
      <c r="C56" s="6" t="inlineStr">
        <is>
          <t>France OAT 2.0% 2032</t>
        </is>
      </c>
      <c r="D56" s="6" t="inlineStr">
        <is>
          <t>Bond</t>
        </is>
      </c>
      <c r="E56" s="9" t="n">
        <v>4000</v>
      </c>
      <c r="F56" s="10" t="n">
        <v>98.42100000000001</v>
      </c>
      <c r="G56" s="11">
        <f>E56*F56</f>
        <v/>
      </c>
      <c r="H56" s="6">
        <f>A56&amp;"|"&amp;B56</f>
        <v/>
      </c>
    </row>
    <row r="57">
      <c r="A57" s="6" t="inlineStr">
        <is>
          <t>FIIG</t>
        </is>
      </c>
      <c r="B57" s="6" t="inlineStr">
        <is>
          <t>BD0058</t>
        </is>
      </c>
      <c r="C57" s="6" t="inlineStr">
        <is>
          <t>JPM 4.0% 2031</t>
        </is>
      </c>
      <c r="D57" s="6" t="inlineStr">
        <is>
          <t>Bond</t>
        </is>
      </c>
      <c r="E57" s="9" t="n">
        <v>11000</v>
      </c>
      <c r="F57" s="10" t="n">
        <v>95.396</v>
      </c>
      <c r="G57" s="11">
        <f>E57*F57</f>
        <v/>
      </c>
      <c r="H57" s="6">
        <f>A57&amp;"|"&amp;B57</f>
        <v/>
      </c>
    </row>
    <row r="58">
      <c r="A58" s="6" t="inlineStr">
        <is>
          <t>FIIG</t>
        </is>
      </c>
      <c r="B58" s="6" t="inlineStr">
        <is>
          <t>BD0055</t>
        </is>
      </c>
      <c r="C58" s="6" t="inlineStr">
        <is>
          <t>Apple 3.35% 2029</t>
        </is>
      </c>
      <c r="D58" s="6" t="inlineStr">
        <is>
          <t>Bond</t>
        </is>
      </c>
      <c r="E58" s="9" t="n">
        <v>31000</v>
      </c>
      <c r="F58" s="10" t="n">
        <v>98.55800000000001</v>
      </c>
      <c r="G58" s="11">
        <f>E58*F58</f>
        <v/>
      </c>
      <c r="H58" s="6">
        <f>A58&amp;"|"&amp;B58</f>
        <v/>
      </c>
    </row>
    <row r="59">
      <c r="A59" s="6" t="inlineStr">
        <is>
          <t>FIIG</t>
        </is>
      </c>
      <c r="B59" s="6" t="inlineStr">
        <is>
          <t>CASH_USD_FIIG</t>
        </is>
      </c>
      <c r="C59" s="6" t="inlineStr">
        <is>
          <t>USD Cash</t>
        </is>
      </c>
      <c r="D59" s="6" t="inlineStr">
        <is>
          <t>Cash</t>
        </is>
      </c>
      <c r="E59" s="9" t="n">
        <v>3313499.16</v>
      </c>
      <c r="F59" s="10" t="n">
        <v>1</v>
      </c>
      <c r="G59" s="11">
        <f>E59*F59</f>
        <v/>
      </c>
      <c r="H59" s="6">
        <f>A59&amp;"|"&amp;B59</f>
        <v/>
      </c>
    </row>
    <row r="60">
      <c r="A60" s="6" t="inlineStr">
        <is>
          <t>BALM</t>
        </is>
      </c>
      <c r="B60" s="6" t="inlineStr">
        <is>
          <t>BD0059</t>
        </is>
      </c>
      <c r="C60" s="6" t="inlineStr">
        <is>
          <t>Toyota 2.1% 2027</t>
        </is>
      </c>
      <c r="D60" s="6" t="inlineStr">
        <is>
          <t>Bond</t>
        </is>
      </c>
      <c r="E60" s="9" t="n">
        <v>25000</v>
      </c>
      <c r="F60" s="10" t="n">
        <v>97.146</v>
      </c>
      <c r="G60" s="11">
        <f>E60*F60</f>
        <v/>
      </c>
      <c r="H60" s="6">
        <f>A60&amp;"|"&amp;B60</f>
        <v/>
      </c>
    </row>
    <row r="61">
      <c r="A61" s="6" t="inlineStr">
        <is>
          <t>BALM</t>
        </is>
      </c>
      <c r="B61" s="6" t="inlineStr">
        <is>
          <t>BD0074</t>
        </is>
      </c>
      <c r="C61" s="6" t="inlineStr">
        <is>
          <t>Corporate Note Series 14</t>
        </is>
      </c>
      <c r="D61" s="6" t="inlineStr">
        <is>
          <t>Bond</t>
        </is>
      </c>
      <c r="E61" s="9" t="n">
        <v>31000</v>
      </c>
      <c r="F61" s="10" t="n">
        <v>95.89400000000001</v>
      </c>
      <c r="G61" s="11">
        <f>E61*F61</f>
        <v/>
      </c>
      <c r="H61" s="6">
        <f>A61&amp;"|"&amp;B61</f>
        <v/>
      </c>
    </row>
    <row r="62">
      <c r="A62" s="6" t="inlineStr">
        <is>
          <t>BALM</t>
        </is>
      </c>
      <c r="B62" s="6" t="inlineStr">
        <is>
          <t>BD0055</t>
        </is>
      </c>
      <c r="C62" s="6" t="inlineStr">
        <is>
          <t>Apple 3.35% 2029</t>
        </is>
      </c>
      <c r="D62" s="6" t="inlineStr">
        <is>
          <t>Bond</t>
        </is>
      </c>
      <c r="E62" s="9" t="n">
        <v>33000</v>
      </c>
      <c r="F62" s="10" t="n">
        <v>101.549</v>
      </c>
      <c r="G62" s="11">
        <f>E62*F62</f>
        <v/>
      </c>
      <c r="H62" s="6">
        <f>A62&amp;"|"&amp;B62</f>
        <v/>
      </c>
    </row>
    <row r="63">
      <c r="A63" s="6" t="inlineStr">
        <is>
          <t>BALM</t>
        </is>
      </c>
      <c r="B63" s="6" t="inlineStr">
        <is>
          <t>EQ0011</t>
        </is>
      </c>
      <c r="C63" s="6" t="inlineStr">
        <is>
          <t>SAP SE</t>
        </is>
      </c>
      <c r="D63" s="6" t="inlineStr">
        <is>
          <t>Equity</t>
        </is>
      </c>
      <c r="E63" s="9" t="n">
        <v>17717</v>
      </c>
      <c r="F63" s="10" t="n">
        <v>258.53</v>
      </c>
      <c r="G63" s="11">
        <f>E63*F63</f>
        <v/>
      </c>
      <c r="H63" s="6">
        <f>A63&amp;"|"&amp;B63</f>
        <v/>
      </c>
    </row>
    <row r="64">
      <c r="A64" s="6" t="inlineStr">
        <is>
          <t>BALM</t>
        </is>
      </c>
      <c r="B64" s="6" t="inlineStr">
        <is>
          <t>EQ0031</t>
        </is>
      </c>
      <c r="C64" s="6" t="inlineStr">
        <is>
          <t>Global Equity Holding 11</t>
        </is>
      </c>
      <c r="D64" s="6" t="inlineStr">
        <is>
          <t>Equity</t>
        </is>
      </c>
      <c r="E64" s="9" t="n">
        <v>37916</v>
      </c>
      <c r="F64" s="10" t="n">
        <v>142.66</v>
      </c>
      <c r="G64" s="11">
        <f>E64*F64</f>
        <v/>
      </c>
      <c r="H64" s="6">
        <f>A64&amp;"|"&amp;B64</f>
        <v/>
      </c>
    </row>
    <row r="65">
      <c r="A65" s="6" t="inlineStr">
        <is>
          <t>BALM</t>
        </is>
      </c>
      <c r="B65" s="6" t="inlineStr">
        <is>
          <t>EQ0012</t>
        </is>
      </c>
      <c r="C65" s="6" t="inlineStr">
        <is>
          <t>Unilever PLC</t>
        </is>
      </c>
      <c r="D65" s="6" t="inlineStr">
        <is>
          <t>Equity</t>
        </is>
      </c>
      <c r="E65" s="9" t="n">
        <v>50890</v>
      </c>
      <c r="F65" s="10" t="n">
        <v>216.67</v>
      </c>
      <c r="G65" s="11">
        <f>E65*F65</f>
        <v/>
      </c>
      <c r="H65" s="6">
        <f>A65&amp;"|"&amp;B65</f>
        <v/>
      </c>
    </row>
    <row r="66">
      <c r="A66" s="6" t="inlineStr">
        <is>
          <t>BALM</t>
        </is>
      </c>
      <c r="B66" s="6" t="inlineStr">
        <is>
          <t>EQ0029</t>
        </is>
      </c>
      <c r="C66" s="6" t="inlineStr">
        <is>
          <t>Global Equity Holding 09</t>
        </is>
      </c>
      <c r="D66" s="6" t="inlineStr">
        <is>
          <t>Equity</t>
        </is>
      </c>
      <c r="E66" s="9" t="n">
        <v>53594</v>
      </c>
      <c r="F66" s="10" t="n">
        <v>405.14</v>
      </c>
      <c r="G66" s="11">
        <f>E66*F66</f>
        <v/>
      </c>
      <c r="H66" s="6">
        <f>A66&amp;"|"&amp;B66</f>
        <v/>
      </c>
    </row>
    <row r="67">
      <c r="A67" s="6" t="inlineStr">
        <is>
          <t>BALM</t>
        </is>
      </c>
      <c r="B67" s="6" t="inlineStr">
        <is>
          <t>BD0064</t>
        </is>
      </c>
      <c r="C67" s="6" t="inlineStr">
        <is>
          <t>Corporate Note Series 04</t>
        </is>
      </c>
      <c r="D67" s="6" t="inlineStr">
        <is>
          <t>Bond</t>
        </is>
      </c>
      <c r="E67" s="9" t="n">
        <v>5000</v>
      </c>
      <c r="F67" s="10" t="n">
        <v>102.401</v>
      </c>
      <c r="G67" s="11">
        <f>E67*F67</f>
        <v/>
      </c>
      <c r="H67" s="6">
        <f>A67&amp;"|"&amp;B67</f>
        <v/>
      </c>
    </row>
    <row r="68">
      <c r="A68" s="6" t="inlineStr">
        <is>
          <t>BALM</t>
        </is>
      </c>
      <c r="B68" s="6" t="inlineStr">
        <is>
          <t>EQ0026</t>
        </is>
      </c>
      <c r="C68" s="6" t="inlineStr">
        <is>
          <t>Global Equity Holding 06</t>
        </is>
      </c>
      <c r="D68" s="6" t="inlineStr">
        <is>
          <t>Equity</t>
        </is>
      </c>
      <c r="E68" s="9" t="n">
        <v>18974</v>
      </c>
      <c r="F68" s="10" t="n">
        <v>368.09</v>
      </c>
      <c r="G68" s="11">
        <f>E68*F68</f>
        <v/>
      </c>
      <c r="H68" s="6">
        <f>A68&amp;"|"&amp;B68</f>
        <v/>
      </c>
    </row>
    <row r="69">
      <c r="A69" s="6" t="inlineStr">
        <is>
          <t>BALM</t>
        </is>
      </c>
      <c r="B69" s="6" t="inlineStr">
        <is>
          <t>BD0052</t>
        </is>
      </c>
      <c r="C69" s="6" t="inlineStr">
        <is>
          <t>US Treasury 3.0% 2033</t>
        </is>
      </c>
      <c r="D69" s="6" t="inlineStr">
        <is>
          <t>Bond</t>
        </is>
      </c>
      <c r="E69" s="9" t="n">
        <v>22000</v>
      </c>
      <c r="F69" s="10" t="n">
        <v>99.949</v>
      </c>
      <c r="G69" s="11">
        <f>E69*F69</f>
        <v/>
      </c>
      <c r="H69" s="6">
        <f>A69&amp;"|"&amp;B69</f>
        <v/>
      </c>
    </row>
    <row r="70">
      <c r="A70" s="6" t="inlineStr">
        <is>
          <t>BALM</t>
        </is>
      </c>
      <c r="B70" s="6" t="inlineStr">
        <is>
          <t>EQ0002</t>
        </is>
      </c>
      <c r="C70" s="6" t="inlineStr">
        <is>
          <t>Microsoft Corp</t>
        </is>
      </c>
      <c r="D70" s="6" t="inlineStr">
        <is>
          <t>Equity</t>
        </is>
      </c>
      <c r="E70" s="9" t="n">
        <v>53774</v>
      </c>
      <c r="F70" s="10" t="n">
        <v>51.05</v>
      </c>
      <c r="G70" s="11">
        <f>E70*F70</f>
        <v/>
      </c>
      <c r="H70" s="6">
        <f>A70&amp;"|"&amp;B70</f>
        <v/>
      </c>
    </row>
    <row r="71">
      <c r="A71" s="6" t="inlineStr">
        <is>
          <t>BALM</t>
        </is>
      </c>
      <c r="B71" s="6" t="inlineStr">
        <is>
          <t>BD0066</t>
        </is>
      </c>
      <c r="C71" s="6" t="inlineStr">
        <is>
          <t>Corporate Note Series 06</t>
        </is>
      </c>
      <c r="D71" s="6" t="inlineStr">
        <is>
          <t>Bond</t>
        </is>
      </c>
      <c r="E71" s="9" t="n">
        <v>23000</v>
      </c>
      <c r="F71" s="10" t="n">
        <v>98.26300000000001</v>
      </c>
      <c r="G71" s="11">
        <f>E71*F71</f>
        <v/>
      </c>
      <c r="H71" s="6">
        <f>A71&amp;"|"&amp;B71</f>
        <v/>
      </c>
    </row>
    <row r="72">
      <c r="A72" s="6" t="inlineStr">
        <is>
          <t>BALM</t>
        </is>
      </c>
      <c r="B72" s="6" t="inlineStr">
        <is>
          <t>BD0076</t>
        </is>
      </c>
      <c r="C72" s="6" t="inlineStr">
        <is>
          <t>Corporate Note Series 16</t>
        </is>
      </c>
      <c r="D72" s="6" t="inlineStr">
        <is>
          <t>Bond</t>
        </is>
      </c>
      <c r="E72" s="9" t="n">
        <v>3000</v>
      </c>
      <c r="F72" s="10" t="n">
        <v>103.796</v>
      </c>
      <c r="G72" s="11">
        <f>E72*F72</f>
        <v/>
      </c>
      <c r="H72" s="6">
        <f>A72&amp;"|"&amp;B72</f>
        <v/>
      </c>
    </row>
    <row r="73">
      <c r="A73" s="6" t="inlineStr">
        <is>
          <t>BALM</t>
        </is>
      </c>
      <c r="B73" s="6" t="inlineStr">
        <is>
          <t>EQ0042</t>
        </is>
      </c>
      <c r="C73" s="6" t="inlineStr">
        <is>
          <t>Global Equity Holding 22</t>
        </is>
      </c>
      <c r="D73" s="6" t="inlineStr">
        <is>
          <t>Equity</t>
        </is>
      </c>
      <c r="E73" s="9" t="n">
        <v>33923</v>
      </c>
      <c r="F73" s="10" t="n">
        <v>431.84</v>
      </c>
      <c r="G73" s="11">
        <f>E73*F73</f>
        <v/>
      </c>
      <c r="H73" s="6">
        <f>A73&amp;"|"&amp;B73</f>
        <v/>
      </c>
    </row>
    <row r="74">
      <c r="A74" s="6" t="inlineStr">
        <is>
          <t>BALM</t>
        </is>
      </c>
      <c r="B74" s="6" t="inlineStr">
        <is>
          <t>BD0070</t>
        </is>
      </c>
      <c r="C74" s="6" t="inlineStr">
        <is>
          <t>Corporate Note Series 10</t>
        </is>
      </c>
      <c r="D74" s="6" t="inlineStr">
        <is>
          <t>Bond</t>
        </is>
      </c>
      <c r="E74" s="9" t="n">
        <v>24000</v>
      </c>
      <c r="F74" s="10" t="n">
        <v>98.381</v>
      </c>
      <c r="G74" s="11">
        <f>E74*F74</f>
        <v/>
      </c>
      <c r="H74" s="6">
        <f>A74&amp;"|"&amp;B74</f>
        <v/>
      </c>
    </row>
    <row r="75">
      <c r="A75" s="6" t="inlineStr">
        <is>
          <t>BALM</t>
        </is>
      </c>
      <c r="B75" s="6" t="inlineStr">
        <is>
          <t>EQ0037</t>
        </is>
      </c>
      <c r="C75" s="6" t="inlineStr">
        <is>
          <t>Global Equity Holding 17</t>
        </is>
      </c>
      <c r="D75" s="6" t="inlineStr">
        <is>
          <t>Equity</t>
        </is>
      </c>
      <c r="E75" s="9" t="n">
        <v>59120</v>
      </c>
      <c r="F75" s="10" t="n">
        <v>77.65000000000001</v>
      </c>
      <c r="G75" s="11">
        <f>E75*F75</f>
        <v/>
      </c>
      <c r="H75" s="6">
        <f>A75&amp;"|"&amp;B75</f>
        <v/>
      </c>
    </row>
    <row r="76">
      <c r="A76" s="6" t="inlineStr">
        <is>
          <t>BALM</t>
        </is>
      </c>
      <c r="B76" s="6" t="inlineStr">
        <is>
          <t>EQ0020</t>
        </is>
      </c>
      <c r="C76" s="6" t="inlineStr">
        <is>
          <t>Nvidia Corp</t>
        </is>
      </c>
      <c r="D76" s="6" t="inlineStr">
        <is>
          <t>Equity</t>
        </is>
      </c>
      <c r="E76" s="9" t="n">
        <v>3629</v>
      </c>
      <c r="F76" s="10" t="n">
        <v>358.34</v>
      </c>
      <c r="G76" s="11">
        <f>E76*F76</f>
        <v/>
      </c>
      <c r="H76" s="6">
        <f>A76&amp;"|"&amp;B76</f>
        <v/>
      </c>
    </row>
    <row r="77">
      <c r="A77" s="6" t="inlineStr">
        <is>
          <t>BALM</t>
        </is>
      </c>
      <c r="B77" s="6" t="inlineStr">
        <is>
          <t>EQ0001</t>
        </is>
      </c>
      <c r="C77" s="6" t="inlineStr">
        <is>
          <t>Apple Inc</t>
        </is>
      </c>
      <c r="D77" s="6" t="inlineStr">
        <is>
          <t>Equity</t>
        </is>
      </c>
      <c r="E77" s="9" t="n">
        <v>22567</v>
      </c>
      <c r="F77" s="10" t="n">
        <v>189.47</v>
      </c>
      <c r="G77" s="11">
        <f>E77*F77</f>
        <v/>
      </c>
      <c r="H77" s="6">
        <f>A77&amp;"|"&amp;B77</f>
        <v/>
      </c>
    </row>
    <row r="78">
      <c r="A78" s="6" t="inlineStr">
        <is>
          <t>BALM</t>
        </is>
      </c>
      <c r="B78" s="6" t="inlineStr">
        <is>
          <t>EQ0016</t>
        </is>
      </c>
      <c r="C78" s="6" t="inlineStr">
        <is>
          <t>TSMC ADR</t>
        </is>
      </c>
      <c r="D78" s="6" t="inlineStr">
        <is>
          <t>Equity</t>
        </is>
      </c>
      <c r="E78" s="9" t="n">
        <v>52653</v>
      </c>
      <c r="F78" s="10" t="n">
        <v>173.92</v>
      </c>
      <c r="G78" s="11">
        <f>E78*F78</f>
        <v/>
      </c>
      <c r="H78" s="6">
        <f>A78&amp;"|"&amp;B78</f>
        <v/>
      </c>
    </row>
    <row r="79">
      <c r="A79" s="6" t="inlineStr">
        <is>
          <t>BALM</t>
        </is>
      </c>
      <c r="B79" s="6" t="inlineStr">
        <is>
          <t>EQ0004</t>
        </is>
      </c>
      <c r="C79" s="6" t="inlineStr">
        <is>
          <t>Toyota Motor</t>
        </is>
      </c>
      <c r="D79" s="6" t="inlineStr">
        <is>
          <t>Equity</t>
        </is>
      </c>
      <c r="E79" s="9" t="n">
        <v>53394</v>
      </c>
      <c r="F79" s="10" t="n">
        <v>318.01</v>
      </c>
      <c r="G79" s="11">
        <f>E79*F79</f>
        <v/>
      </c>
      <c r="H79" s="6">
        <f>A79&amp;"|"&amp;B79</f>
        <v/>
      </c>
    </row>
    <row r="80">
      <c r="A80" s="6" t="inlineStr">
        <is>
          <t>BALM</t>
        </is>
      </c>
      <c r="B80" s="6" t="inlineStr">
        <is>
          <t>EQ0046</t>
        </is>
      </c>
      <c r="C80" s="6" t="inlineStr">
        <is>
          <t>Global Equity Holding 26</t>
        </is>
      </c>
      <c r="D80" s="6" t="inlineStr">
        <is>
          <t>Equity</t>
        </is>
      </c>
      <c r="E80" s="9" t="n">
        <v>20078</v>
      </c>
      <c r="F80" s="10" t="n">
        <v>52.09</v>
      </c>
      <c r="G80" s="11">
        <f>E80*F80</f>
        <v/>
      </c>
      <c r="H80" s="6">
        <f>A80&amp;"|"&amp;B80</f>
        <v/>
      </c>
    </row>
    <row r="81">
      <c r="A81" s="6" t="inlineStr">
        <is>
          <t>BALM</t>
        </is>
      </c>
      <c r="B81" s="6" t="inlineStr">
        <is>
          <t>EQ0036</t>
        </is>
      </c>
      <c r="C81" s="6" t="inlineStr">
        <is>
          <t>Global Equity Holding 16</t>
        </is>
      </c>
      <c r="D81" s="6" t="inlineStr">
        <is>
          <t>Equity</t>
        </is>
      </c>
      <c r="E81" s="9" t="n">
        <v>15084</v>
      </c>
      <c r="F81" s="10" t="n">
        <v>465.63</v>
      </c>
      <c r="G81" s="11">
        <f>E81*F81</f>
        <v/>
      </c>
      <c r="H81" s="6">
        <f>A81&amp;"|"&amp;B81</f>
        <v/>
      </c>
    </row>
    <row r="82">
      <c r="A82" s="6" t="inlineStr">
        <is>
          <t>BALM</t>
        </is>
      </c>
      <c r="B82" s="6" t="inlineStr">
        <is>
          <t>EQ0018</t>
        </is>
      </c>
      <c r="C82" s="6" t="inlineStr">
        <is>
          <t>Amazon.com</t>
        </is>
      </c>
      <c r="D82" s="6" t="inlineStr">
        <is>
          <t>Equity</t>
        </is>
      </c>
      <c r="E82" s="9" t="n">
        <v>24613</v>
      </c>
      <c r="F82" s="10" t="n">
        <v>97.81999999999999</v>
      </c>
      <c r="G82" s="11">
        <f>E82*F82</f>
        <v/>
      </c>
      <c r="H82" s="6">
        <f>A82&amp;"|"&amp;B82</f>
        <v/>
      </c>
    </row>
    <row r="83">
      <c r="A83" s="6" t="inlineStr">
        <is>
          <t>BALM</t>
        </is>
      </c>
      <c r="B83" s="6" t="inlineStr">
        <is>
          <t>ET0085</t>
        </is>
      </c>
      <c r="C83" s="6" t="inlineStr">
        <is>
          <t>iShares US Treasury</t>
        </is>
      </c>
      <c r="D83" s="6" t="inlineStr">
        <is>
          <t>ETF</t>
        </is>
      </c>
      <c r="E83" s="9" t="n">
        <v>18231</v>
      </c>
      <c r="F83" s="10" t="n">
        <v>110.76</v>
      </c>
      <c r="G83" s="11">
        <f>E83*F83</f>
        <v/>
      </c>
      <c r="H83" s="6">
        <f>A83&amp;"|"&amp;B83</f>
        <v/>
      </c>
    </row>
    <row r="84">
      <c r="A84" s="6" t="inlineStr">
        <is>
          <t>BALM</t>
        </is>
      </c>
      <c r="B84" s="6" t="inlineStr">
        <is>
          <t>BD0075</t>
        </is>
      </c>
      <c r="C84" s="6" t="inlineStr">
        <is>
          <t>Corporate Note Series 15</t>
        </is>
      </c>
      <c r="D84" s="6" t="inlineStr">
        <is>
          <t>Bond</t>
        </is>
      </c>
      <c r="E84" s="9" t="n">
        <v>8000</v>
      </c>
      <c r="F84" s="10" t="n">
        <v>104.112</v>
      </c>
      <c r="G84" s="11">
        <f>E84*F84</f>
        <v/>
      </c>
      <c r="H84" s="6">
        <f>A84&amp;"|"&amp;B84</f>
        <v/>
      </c>
    </row>
    <row r="85">
      <c r="A85" s="6" t="inlineStr">
        <is>
          <t>BALM</t>
        </is>
      </c>
      <c r="B85" s="6" t="inlineStr">
        <is>
          <t>EQ0041</t>
        </is>
      </c>
      <c r="C85" s="6" t="inlineStr">
        <is>
          <t>Global Equity Holding 21</t>
        </is>
      </c>
      <c r="D85" s="6" t="inlineStr">
        <is>
          <t>Equity</t>
        </is>
      </c>
      <c r="E85" s="9" t="n">
        <v>8524</v>
      </c>
      <c r="F85" s="10" t="n">
        <v>462.43</v>
      </c>
      <c r="G85" s="11">
        <f>E85*F85</f>
        <v/>
      </c>
      <c r="H85" s="6">
        <f>A85&amp;"|"&amp;B85</f>
        <v/>
      </c>
    </row>
    <row r="86">
      <c r="A86" s="6" t="inlineStr">
        <is>
          <t>BALM</t>
        </is>
      </c>
      <c r="B86" s="6" t="inlineStr">
        <is>
          <t>EQ0047</t>
        </is>
      </c>
      <c r="C86" s="6" t="inlineStr">
        <is>
          <t>Global Equity Holding 27</t>
        </is>
      </c>
      <c r="D86" s="6" t="inlineStr">
        <is>
          <t>Equity</t>
        </is>
      </c>
      <c r="E86" s="9" t="n">
        <v>32047</v>
      </c>
      <c r="F86" s="10" t="n">
        <v>44.64</v>
      </c>
      <c r="G86" s="11">
        <f>E86*F86</f>
        <v/>
      </c>
      <c r="H86" s="6">
        <f>A86&amp;"|"&amp;B86</f>
        <v/>
      </c>
    </row>
    <row r="87">
      <c r="A87" s="6" t="inlineStr">
        <is>
          <t>BALM</t>
        </is>
      </c>
      <c r="B87" s="6" t="inlineStr">
        <is>
          <t>EQ0015</t>
        </is>
      </c>
      <c r="C87" s="6" t="inlineStr">
        <is>
          <t>Sony Group</t>
        </is>
      </c>
      <c r="D87" s="6" t="inlineStr">
        <is>
          <t>Equity</t>
        </is>
      </c>
      <c r="E87" s="9" t="n">
        <v>55891</v>
      </c>
      <c r="F87" s="10" t="n">
        <v>187.99</v>
      </c>
      <c r="G87" s="11">
        <f>E87*F87</f>
        <v/>
      </c>
      <c r="H87" s="6">
        <f>A87&amp;"|"&amp;B87</f>
        <v/>
      </c>
    </row>
    <row r="88">
      <c r="A88" s="6" t="inlineStr">
        <is>
          <t>BALM</t>
        </is>
      </c>
      <c r="B88" s="6" t="inlineStr">
        <is>
          <t>ET0081</t>
        </is>
      </c>
      <c r="C88" s="6" t="inlineStr">
        <is>
          <t>iShares Core MSCI World</t>
        </is>
      </c>
      <c r="D88" s="6" t="inlineStr">
        <is>
          <t>ETF</t>
        </is>
      </c>
      <c r="E88" s="9" t="n">
        <v>44019</v>
      </c>
      <c r="F88" s="10" t="n">
        <v>76.18000000000001</v>
      </c>
      <c r="G88" s="11">
        <f>E88*F88</f>
        <v/>
      </c>
      <c r="H88" s="6">
        <f>A88&amp;"|"&amp;B88</f>
        <v/>
      </c>
    </row>
    <row r="89">
      <c r="A89" s="6" t="inlineStr">
        <is>
          <t>BALM</t>
        </is>
      </c>
      <c r="B89" s="6" t="inlineStr">
        <is>
          <t>EQ0024</t>
        </is>
      </c>
      <c r="C89" s="6" t="inlineStr">
        <is>
          <t>Global Equity Holding 04</t>
        </is>
      </c>
      <c r="D89" s="6" t="inlineStr">
        <is>
          <t>Equity</t>
        </is>
      </c>
      <c r="E89" s="9" t="n">
        <v>6008</v>
      </c>
      <c r="F89" s="10" t="n">
        <v>73.26000000000001</v>
      </c>
      <c r="G89" s="11">
        <f>E89*F89</f>
        <v/>
      </c>
      <c r="H89" s="6">
        <f>A89&amp;"|"&amp;B89</f>
        <v/>
      </c>
    </row>
    <row r="90">
      <c r="A90" s="6" t="inlineStr">
        <is>
          <t>BALM</t>
        </is>
      </c>
      <c r="B90" s="6" t="inlineStr">
        <is>
          <t>EQ0038</t>
        </is>
      </c>
      <c r="C90" s="6" t="inlineStr">
        <is>
          <t>Global Equity Holding 18</t>
        </is>
      </c>
      <c r="D90" s="6" t="inlineStr">
        <is>
          <t>Equity</t>
        </is>
      </c>
      <c r="E90" s="9" t="n">
        <v>9378</v>
      </c>
      <c r="F90" s="10" t="n">
        <v>98.34999999999999</v>
      </c>
      <c r="G90" s="11">
        <f>E90*F90</f>
        <v/>
      </c>
      <c r="H90" s="6">
        <f>A90&amp;"|"&amp;B90</f>
        <v/>
      </c>
    </row>
    <row r="91">
      <c r="A91" s="6" t="inlineStr">
        <is>
          <t>BALM</t>
        </is>
      </c>
      <c r="B91" s="6" t="inlineStr">
        <is>
          <t>EQ0010</t>
        </is>
      </c>
      <c r="C91" s="6" t="inlineStr">
        <is>
          <t>LVMH</t>
        </is>
      </c>
      <c r="D91" s="6" t="inlineStr">
        <is>
          <t>Equity</t>
        </is>
      </c>
      <c r="E91" s="9" t="n">
        <v>3638</v>
      </c>
      <c r="F91" s="10" t="n">
        <v>46.39</v>
      </c>
      <c r="G91" s="11">
        <f>E91*F91</f>
        <v/>
      </c>
      <c r="H91" s="6">
        <f>A91&amp;"|"&amp;B91</f>
        <v/>
      </c>
    </row>
    <row r="92">
      <c r="A92" s="6" t="inlineStr">
        <is>
          <t>BALM</t>
        </is>
      </c>
      <c r="B92" s="6" t="inlineStr">
        <is>
          <t>BD0061</t>
        </is>
      </c>
      <c r="C92" s="6" t="inlineStr">
        <is>
          <t>Corporate Note Series 01</t>
        </is>
      </c>
      <c r="D92" s="6" t="inlineStr">
        <is>
          <t>Bond</t>
        </is>
      </c>
      <c r="E92" s="9" t="n">
        <v>38000</v>
      </c>
      <c r="F92" s="10" t="n">
        <v>95.187</v>
      </c>
      <c r="G92" s="11">
        <f>E92*F92</f>
        <v/>
      </c>
      <c r="H92" s="6">
        <f>A92&amp;"|"&amp;B92</f>
        <v/>
      </c>
    </row>
    <row r="93">
      <c r="A93" s="6" t="inlineStr">
        <is>
          <t>BALM</t>
        </is>
      </c>
      <c r="B93" s="6" t="inlineStr">
        <is>
          <t>ET0084</t>
        </is>
      </c>
      <c r="C93" s="6" t="inlineStr">
        <is>
          <t>iShares EUR Corp Bond</t>
        </is>
      </c>
      <c r="D93" s="6" t="inlineStr">
        <is>
          <t>ETF</t>
        </is>
      </c>
      <c r="E93" s="9" t="n">
        <v>30746</v>
      </c>
      <c r="F93" s="10" t="n">
        <v>38.91</v>
      </c>
      <c r="G93" s="11">
        <f>E93*F93</f>
        <v/>
      </c>
      <c r="H93" s="6">
        <f>A93&amp;"|"&amp;B93</f>
        <v/>
      </c>
    </row>
    <row r="94">
      <c r="A94" s="6" t="inlineStr">
        <is>
          <t>BALM</t>
        </is>
      </c>
      <c r="B94" s="6" t="inlineStr">
        <is>
          <t>BD0058</t>
        </is>
      </c>
      <c r="C94" s="6" t="inlineStr">
        <is>
          <t>JPM 4.0% 2031</t>
        </is>
      </c>
      <c r="D94" s="6" t="inlineStr">
        <is>
          <t>Bond</t>
        </is>
      </c>
      <c r="E94" s="9" t="n">
        <v>10000</v>
      </c>
      <c r="F94" s="10" t="n">
        <v>103.92</v>
      </c>
      <c r="G94" s="11">
        <f>E94*F94</f>
        <v/>
      </c>
      <c r="H94" s="6">
        <f>A94&amp;"|"&amp;B94</f>
        <v/>
      </c>
    </row>
    <row r="95">
      <c r="A95" s="6" t="inlineStr">
        <is>
          <t>BALM</t>
        </is>
      </c>
      <c r="B95" s="6" t="inlineStr">
        <is>
          <t>EQ0028</t>
        </is>
      </c>
      <c r="C95" s="6" t="inlineStr">
        <is>
          <t>Global Equity Holding 08</t>
        </is>
      </c>
      <c r="D95" s="6" t="inlineStr">
        <is>
          <t>Equity</t>
        </is>
      </c>
      <c r="E95" s="9" t="n">
        <v>56319</v>
      </c>
      <c r="F95" s="10" t="n">
        <v>238.72</v>
      </c>
      <c r="G95" s="11">
        <f>E95*F95</f>
        <v/>
      </c>
      <c r="H95" s="6">
        <f>A95&amp;"|"&amp;B95</f>
        <v/>
      </c>
    </row>
    <row r="96">
      <c r="A96" s="6" t="inlineStr">
        <is>
          <t>BALM</t>
        </is>
      </c>
      <c r="B96" s="6" t="inlineStr">
        <is>
          <t>BD0080</t>
        </is>
      </c>
      <c r="C96" s="6" t="inlineStr">
        <is>
          <t>Corporate Note Series 20</t>
        </is>
      </c>
      <c r="D96" s="6" t="inlineStr">
        <is>
          <t>Bond</t>
        </is>
      </c>
      <c r="E96" s="9" t="n">
        <v>2000</v>
      </c>
      <c r="F96" s="10" t="n">
        <v>106.99</v>
      </c>
      <c r="G96" s="11">
        <f>E96*F96</f>
        <v/>
      </c>
      <c r="H96" s="6">
        <f>A96&amp;"|"&amp;B96</f>
        <v/>
      </c>
    </row>
    <row r="97">
      <c r="A97" s="6" t="inlineStr">
        <is>
          <t>BALM</t>
        </is>
      </c>
      <c r="B97" s="6" t="inlineStr">
        <is>
          <t>ET0083</t>
        </is>
      </c>
      <c r="C97" s="6" t="inlineStr">
        <is>
          <t>SPDR Gold Shares</t>
        </is>
      </c>
      <c r="D97" s="6" t="inlineStr">
        <is>
          <t>ETF</t>
        </is>
      </c>
      <c r="E97" s="9" t="n">
        <v>3342</v>
      </c>
      <c r="F97" s="10" t="n">
        <v>63.83</v>
      </c>
      <c r="G97" s="11">
        <f>E97*F97</f>
        <v/>
      </c>
      <c r="H97" s="6">
        <f>A97&amp;"|"&amp;B97</f>
        <v/>
      </c>
    </row>
    <row r="98">
      <c r="A98" s="6" t="inlineStr">
        <is>
          <t>BALM</t>
        </is>
      </c>
      <c r="B98" s="6" t="inlineStr">
        <is>
          <t>EQ0003</t>
        </is>
      </c>
      <c r="C98" s="6" t="inlineStr">
        <is>
          <t>Nestle SA</t>
        </is>
      </c>
      <c r="D98" s="6" t="inlineStr">
        <is>
          <t>Equity</t>
        </is>
      </c>
      <c r="E98" s="9" t="n">
        <v>32573</v>
      </c>
      <c r="F98" s="10" t="n">
        <v>430.74</v>
      </c>
      <c r="G98" s="11">
        <f>E98*F98</f>
        <v/>
      </c>
      <c r="H98" s="6">
        <f>A98&amp;"|"&amp;B98</f>
        <v/>
      </c>
    </row>
    <row r="99">
      <c r="A99" s="6" t="inlineStr">
        <is>
          <t>BALM</t>
        </is>
      </c>
      <c r="B99" s="6" t="inlineStr">
        <is>
          <t>EQ0014</t>
        </is>
      </c>
      <c r="C99" s="6" t="inlineStr">
        <is>
          <t>Siemens AG</t>
        </is>
      </c>
      <c r="D99" s="6" t="inlineStr">
        <is>
          <t>Equity</t>
        </is>
      </c>
      <c r="E99" s="9" t="n">
        <v>49475</v>
      </c>
      <c r="F99" s="10" t="n">
        <v>302.27</v>
      </c>
      <c r="G99" s="11">
        <f>E99*F99</f>
        <v/>
      </c>
      <c r="H99" s="6">
        <f>A99&amp;"|"&amp;B99</f>
        <v/>
      </c>
    </row>
    <row r="100">
      <c r="A100" s="6" t="inlineStr">
        <is>
          <t>BALM</t>
        </is>
      </c>
      <c r="B100" s="6" t="inlineStr">
        <is>
          <t>CASH_USD_BALM</t>
        </is>
      </c>
      <c r="C100" s="6" t="inlineStr">
        <is>
          <t>USD Cash</t>
        </is>
      </c>
      <c r="D100" s="6" t="inlineStr">
        <is>
          <t>Cash</t>
        </is>
      </c>
      <c r="E100" s="9" t="n">
        <v>4790216.04</v>
      </c>
      <c r="F100" s="10" t="n">
        <v>1</v>
      </c>
      <c r="G100" s="11">
        <f>E100*F100</f>
        <v/>
      </c>
      <c r="H100" s="6">
        <f>A100&amp;"|"&amp;B100</f>
        <v/>
      </c>
    </row>
    <row r="101">
      <c r="A101" s="6" t="inlineStr">
        <is>
          <t>MMUS</t>
        </is>
      </c>
      <c r="B101" s="6" t="inlineStr">
        <is>
          <t>ET0083</t>
        </is>
      </c>
      <c r="C101" s="6" t="inlineStr">
        <is>
          <t>SPDR Gold Shares</t>
        </is>
      </c>
      <c r="D101" s="6" t="inlineStr">
        <is>
          <t>ETF</t>
        </is>
      </c>
      <c r="E101" s="9" t="n">
        <v>25407</v>
      </c>
      <c r="F101" s="10" t="n">
        <v>79.64</v>
      </c>
      <c r="G101" s="11">
        <f>E101*F101</f>
        <v/>
      </c>
      <c r="H101" s="6">
        <f>A101&amp;"|"&amp;B101</f>
        <v/>
      </c>
    </row>
    <row r="102">
      <c r="A102" s="6" t="inlineStr">
        <is>
          <t>MMUS</t>
        </is>
      </c>
      <c r="B102" s="6" t="inlineStr">
        <is>
          <t>BD0065</t>
        </is>
      </c>
      <c r="C102" s="6" t="inlineStr">
        <is>
          <t>Corporate Note Series 05</t>
        </is>
      </c>
      <c r="D102" s="6" t="inlineStr">
        <is>
          <t>Bond</t>
        </is>
      </c>
      <c r="E102" s="9" t="n">
        <v>26000</v>
      </c>
      <c r="F102" s="10" t="n">
        <v>104.082</v>
      </c>
      <c r="G102" s="11">
        <f>E102*F102</f>
        <v/>
      </c>
      <c r="H102" s="6">
        <f>A102&amp;"|"&amp;B102</f>
        <v/>
      </c>
    </row>
    <row r="103">
      <c r="A103" s="6" t="inlineStr">
        <is>
          <t>MMUS</t>
        </is>
      </c>
      <c r="B103" s="6" t="inlineStr">
        <is>
          <t>BD0064</t>
        </is>
      </c>
      <c r="C103" s="6" t="inlineStr">
        <is>
          <t>Corporate Note Series 04</t>
        </is>
      </c>
      <c r="D103" s="6" t="inlineStr">
        <is>
          <t>Bond</t>
        </is>
      </c>
      <c r="E103" s="9" t="n">
        <v>20000</v>
      </c>
      <c r="F103" s="10" t="n">
        <v>99.834</v>
      </c>
      <c r="G103" s="11">
        <f>E103*F103</f>
        <v/>
      </c>
      <c r="H103" s="6">
        <f>A103&amp;"|"&amp;B103</f>
        <v/>
      </c>
    </row>
    <row r="104">
      <c r="A104" s="6" t="inlineStr">
        <is>
          <t>MMUS</t>
        </is>
      </c>
      <c r="B104" s="6" t="inlineStr">
        <is>
          <t>BD0052</t>
        </is>
      </c>
      <c r="C104" s="6" t="inlineStr">
        <is>
          <t>US Treasury 3.0% 2033</t>
        </is>
      </c>
      <c r="D104" s="6" t="inlineStr">
        <is>
          <t>Bond</t>
        </is>
      </c>
      <c r="E104" s="9" t="n">
        <v>23000</v>
      </c>
      <c r="F104" s="10" t="n">
        <v>94.535</v>
      </c>
      <c r="G104" s="11">
        <f>E104*F104</f>
        <v/>
      </c>
      <c r="H104" s="6">
        <f>A104&amp;"|"&amp;B104</f>
        <v/>
      </c>
    </row>
    <row r="105">
      <c r="A105" s="6" t="inlineStr">
        <is>
          <t>MMUS</t>
        </is>
      </c>
      <c r="B105" s="6" t="inlineStr">
        <is>
          <t>BD0080</t>
        </is>
      </c>
      <c r="C105" s="6" t="inlineStr">
        <is>
          <t>Corporate Note Series 20</t>
        </is>
      </c>
      <c r="D105" s="6" t="inlineStr">
        <is>
          <t>Bond</t>
        </is>
      </c>
      <c r="E105" s="9" t="n">
        <v>30000</v>
      </c>
      <c r="F105" s="10" t="n">
        <v>102.711</v>
      </c>
      <c r="G105" s="11">
        <f>E105*F105</f>
        <v/>
      </c>
      <c r="H105" s="6">
        <f>A105&amp;"|"&amp;B105</f>
        <v/>
      </c>
    </row>
    <row r="106">
      <c r="A106" s="6" t="inlineStr">
        <is>
          <t>MMUS</t>
        </is>
      </c>
      <c r="B106" s="6" t="inlineStr">
        <is>
          <t>BD0066</t>
        </is>
      </c>
      <c r="C106" s="6" t="inlineStr">
        <is>
          <t>Corporate Note Series 06</t>
        </is>
      </c>
      <c r="D106" s="6" t="inlineStr">
        <is>
          <t>Bond</t>
        </is>
      </c>
      <c r="E106" s="9" t="n">
        <v>11000</v>
      </c>
      <c r="F106" s="10" t="n">
        <v>105.826</v>
      </c>
      <c r="G106" s="11">
        <f>E106*F106</f>
        <v/>
      </c>
      <c r="H106" s="6">
        <f>A106&amp;"|"&amp;B106</f>
        <v/>
      </c>
    </row>
    <row r="107">
      <c r="A107" s="6" t="inlineStr">
        <is>
          <t>MMUS</t>
        </is>
      </c>
      <c r="B107" s="6" t="inlineStr">
        <is>
          <t>BD0078</t>
        </is>
      </c>
      <c r="C107" s="6" t="inlineStr">
        <is>
          <t>Corporate Note Series 18</t>
        </is>
      </c>
      <c r="D107" s="6" t="inlineStr">
        <is>
          <t>Bond</t>
        </is>
      </c>
      <c r="E107" s="9" t="n">
        <v>30000</v>
      </c>
      <c r="F107" s="10" t="n">
        <v>104.954</v>
      </c>
      <c r="G107" s="11">
        <f>E107*F107</f>
        <v/>
      </c>
      <c r="H107" s="6">
        <f>A107&amp;"|"&amp;B107</f>
        <v/>
      </c>
    </row>
    <row r="108">
      <c r="A108" s="6" t="inlineStr">
        <is>
          <t>MMUS</t>
        </is>
      </c>
      <c r="B108" s="6" t="inlineStr">
        <is>
          <t>BD0077</t>
        </is>
      </c>
      <c r="C108" s="6" t="inlineStr">
        <is>
          <t>Corporate Note Series 17</t>
        </is>
      </c>
      <c r="D108" s="6" t="inlineStr">
        <is>
          <t>Bond</t>
        </is>
      </c>
      <c r="E108" s="9" t="n">
        <v>35000</v>
      </c>
      <c r="F108" s="10" t="n">
        <v>100.637</v>
      </c>
      <c r="G108" s="11">
        <f>E108*F108</f>
        <v/>
      </c>
      <c r="H108" s="6">
        <f>A108&amp;"|"&amp;B108</f>
        <v/>
      </c>
    </row>
    <row r="109">
      <c r="A109" s="6" t="inlineStr">
        <is>
          <t>MMUS</t>
        </is>
      </c>
      <c r="B109" s="6" t="inlineStr">
        <is>
          <t>BD0063</t>
        </is>
      </c>
      <c r="C109" s="6" t="inlineStr">
        <is>
          <t>Corporate Note Series 03</t>
        </is>
      </c>
      <c r="D109" s="6" t="inlineStr">
        <is>
          <t>Bond</t>
        </is>
      </c>
      <c r="E109" s="9" t="n">
        <v>19000</v>
      </c>
      <c r="F109" s="10" t="n">
        <v>105.687</v>
      </c>
      <c r="G109" s="11">
        <f>E109*F109</f>
        <v/>
      </c>
      <c r="H109" s="6">
        <f>A109&amp;"|"&amp;B109</f>
        <v/>
      </c>
    </row>
    <row r="110">
      <c r="A110" s="6" t="inlineStr">
        <is>
          <t>MMUS</t>
        </is>
      </c>
      <c r="B110" s="6" t="inlineStr">
        <is>
          <t>BD0069</t>
        </is>
      </c>
      <c r="C110" s="6" t="inlineStr">
        <is>
          <t>Corporate Note Series 09</t>
        </is>
      </c>
      <c r="D110" s="6" t="inlineStr">
        <is>
          <t>Bond</t>
        </is>
      </c>
      <c r="E110" s="9" t="n">
        <v>13000</v>
      </c>
      <c r="F110" s="10" t="n">
        <v>101.938</v>
      </c>
      <c r="G110" s="11">
        <f>E110*F110</f>
        <v/>
      </c>
      <c r="H110" s="6">
        <f>A110&amp;"|"&amp;B110</f>
        <v/>
      </c>
    </row>
    <row r="111">
      <c r="A111" s="6" t="inlineStr">
        <is>
          <t>MMUS</t>
        </is>
      </c>
      <c r="B111" s="6" t="inlineStr">
        <is>
          <t>BD0051</t>
        </is>
      </c>
      <c r="C111" s="6" t="inlineStr">
        <is>
          <t>US Treasury 2.5% 2030</t>
        </is>
      </c>
      <c r="D111" s="6" t="inlineStr">
        <is>
          <t>Bond</t>
        </is>
      </c>
      <c r="E111" s="9" t="n">
        <v>18000</v>
      </c>
      <c r="F111" s="10" t="n">
        <v>94.798</v>
      </c>
      <c r="G111" s="11">
        <f>E111*F111</f>
        <v/>
      </c>
      <c r="H111" s="6">
        <f>A111&amp;"|"&amp;B111</f>
        <v/>
      </c>
    </row>
    <row r="112">
      <c r="A112" s="6" t="inlineStr">
        <is>
          <t>MMUS</t>
        </is>
      </c>
      <c r="B112" s="6" t="inlineStr">
        <is>
          <t>BD0054</t>
        </is>
      </c>
      <c r="C112" s="6" t="inlineStr">
        <is>
          <t>UK Gilt 4.25% 2032</t>
        </is>
      </c>
      <c r="D112" s="6" t="inlineStr">
        <is>
          <t>Bond</t>
        </is>
      </c>
      <c r="E112" s="9" t="n">
        <v>38000</v>
      </c>
      <c r="F112" s="10" t="n">
        <v>99.488</v>
      </c>
      <c r="G112" s="11">
        <f>E112*F112</f>
        <v/>
      </c>
      <c r="H112" s="6">
        <f>A112&amp;"|"&amp;B112</f>
        <v/>
      </c>
    </row>
    <row r="113">
      <c r="A113" s="6" t="inlineStr">
        <is>
          <t>MMUS</t>
        </is>
      </c>
      <c r="B113" s="6" t="inlineStr">
        <is>
          <t>BD0076</t>
        </is>
      </c>
      <c r="C113" s="6" t="inlineStr">
        <is>
          <t>Corporate Note Series 16</t>
        </is>
      </c>
      <c r="D113" s="6" t="inlineStr">
        <is>
          <t>Bond</t>
        </is>
      </c>
      <c r="E113" s="9" t="n">
        <v>23000</v>
      </c>
      <c r="F113" s="10" t="n">
        <v>98.366</v>
      </c>
      <c r="G113" s="11">
        <f>E113*F113</f>
        <v/>
      </c>
      <c r="H113" s="6">
        <f>A113&amp;"|"&amp;B113</f>
        <v/>
      </c>
    </row>
    <row r="114">
      <c r="A114" s="6" t="inlineStr">
        <is>
          <t>MMUS</t>
        </is>
      </c>
      <c r="B114" s="6" t="inlineStr">
        <is>
          <t>BD0056</t>
        </is>
      </c>
      <c r="C114" s="6" t="inlineStr">
        <is>
          <t>Microsoft 2.9% 2030</t>
        </is>
      </c>
      <c r="D114" s="6" t="inlineStr">
        <is>
          <t>Bond</t>
        </is>
      </c>
      <c r="E114" s="9" t="n">
        <v>32000</v>
      </c>
      <c r="F114" s="10" t="n">
        <v>94.03400000000001</v>
      </c>
      <c r="G114" s="11">
        <f>E114*F114</f>
        <v/>
      </c>
      <c r="H114" s="6">
        <f>A114&amp;"|"&amp;B114</f>
        <v/>
      </c>
    </row>
    <row r="115">
      <c r="A115" s="6" t="inlineStr">
        <is>
          <t>MMUS</t>
        </is>
      </c>
      <c r="B115" s="6" t="inlineStr">
        <is>
          <t>BD0071</t>
        </is>
      </c>
      <c r="C115" s="6" t="inlineStr">
        <is>
          <t>Corporate Note Series 11</t>
        </is>
      </c>
      <c r="D115" s="6" t="inlineStr">
        <is>
          <t>Bond</t>
        </is>
      </c>
      <c r="E115" s="9" t="n">
        <v>34000</v>
      </c>
      <c r="F115" s="10" t="n">
        <v>99.81999999999999</v>
      </c>
      <c r="G115" s="11">
        <f>E115*F115</f>
        <v/>
      </c>
      <c r="H115" s="6">
        <f>A115&amp;"|"&amp;B115</f>
        <v/>
      </c>
    </row>
    <row r="116">
      <c r="A116" s="6" t="inlineStr">
        <is>
          <t>MMUS</t>
        </is>
      </c>
      <c r="B116" s="6" t="inlineStr">
        <is>
          <t>ET0082</t>
        </is>
      </c>
      <c r="C116" s="6" t="inlineStr">
        <is>
          <t>Vanguard S&amp;P 500</t>
        </is>
      </c>
      <c r="D116" s="6" t="inlineStr">
        <is>
          <t>ETF</t>
        </is>
      </c>
      <c r="E116" s="9" t="n">
        <v>29852</v>
      </c>
      <c r="F116" s="10" t="n">
        <v>53.82</v>
      </c>
      <c r="G116" s="11">
        <f>E116*F116</f>
        <v/>
      </c>
      <c r="H116" s="6">
        <f>A116&amp;"|"&amp;B116</f>
        <v/>
      </c>
    </row>
    <row r="117">
      <c r="A117" s="6" t="inlineStr">
        <is>
          <t>MMUS</t>
        </is>
      </c>
      <c r="B117" s="6" t="inlineStr">
        <is>
          <t>ET0084</t>
        </is>
      </c>
      <c r="C117" s="6" t="inlineStr">
        <is>
          <t>iShares EUR Corp Bond</t>
        </is>
      </c>
      <c r="D117" s="6" t="inlineStr">
        <is>
          <t>ETF</t>
        </is>
      </c>
      <c r="E117" s="9" t="n">
        <v>52720</v>
      </c>
      <c r="F117" s="10" t="n">
        <v>66.29000000000001</v>
      </c>
      <c r="G117" s="11">
        <f>E117*F117</f>
        <v/>
      </c>
      <c r="H117" s="6">
        <f>A117&amp;"|"&amp;B117</f>
        <v/>
      </c>
    </row>
    <row r="118">
      <c r="A118" s="6" t="inlineStr">
        <is>
          <t>MMUS</t>
        </is>
      </c>
      <c r="B118" s="6" t="inlineStr">
        <is>
          <t>BD0067</t>
        </is>
      </c>
      <c r="C118" s="6" t="inlineStr">
        <is>
          <t>Corporate Note Series 07</t>
        </is>
      </c>
      <c r="D118" s="6" t="inlineStr">
        <is>
          <t>Bond</t>
        </is>
      </c>
      <c r="E118" s="9" t="n">
        <v>38000</v>
      </c>
      <c r="F118" s="10" t="n">
        <v>99.108</v>
      </c>
      <c r="G118" s="11">
        <f>E118*F118</f>
        <v/>
      </c>
      <c r="H118" s="6">
        <f>A118&amp;"|"&amp;B118</f>
        <v/>
      </c>
    </row>
    <row r="119">
      <c r="A119" s="6" t="inlineStr">
        <is>
          <t>MMUS</t>
        </is>
      </c>
      <c r="B119" s="6" t="inlineStr">
        <is>
          <t>BD0068</t>
        </is>
      </c>
      <c r="C119" s="6" t="inlineStr">
        <is>
          <t>Corporate Note Series 08</t>
        </is>
      </c>
      <c r="D119" s="6" t="inlineStr">
        <is>
          <t>Bond</t>
        </is>
      </c>
      <c r="E119" s="9" t="n">
        <v>34000</v>
      </c>
      <c r="F119" s="10" t="n">
        <v>103.425</v>
      </c>
      <c r="G119" s="11">
        <f>E119*F119</f>
        <v/>
      </c>
      <c r="H119" s="6">
        <f>A119&amp;"|"&amp;B119</f>
        <v/>
      </c>
    </row>
    <row r="120">
      <c r="A120" s="6" t="inlineStr">
        <is>
          <t>MMUS</t>
        </is>
      </c>
      <c r="B120" s="6" t="inlineStr">
        <is>
          <t>BD0057</t>
        </is>
      </c>
      <c r="C120" s="6" t="inlineStr">
        <is>
          <t>Shell 2.5% 2028</t>
        </is>
      </c>
      <c r="D120" s="6" t="inlineStr">
        <is>
          <t>Bond</t>
        </is>
      </c>
      <c r="E120" s="9" t="n">
        <v>4000</v>
      </c>
      <c r="F120" s="10" t="n">
        <v>96.738</v>
      </c>
      <c r="G120" s="11">
        <f>E120*F120</f>
        <v/>
      </c>
      <c r="H120" s="6">
        <f>A120&amp;"|"&amp;B120</f>
        <v/>
      </c>
    </row>
    <row r="121">
      <c r="A121" s="6" t="inlineStr">
        <is>
          <t>MMUS</t>
        </is>
      </c>
      <c r="B121" s="6" t="inlineStr">
        <is>
          <t>BD0059</t>
        </is>
      </c>
      <c r="C121" s="6" t="inlineStr">
        <is>
          <t>Toyota 2.1% 2027</t>
        </is>
      </c>
      <c r="D121" s="6" t="inlineStr">
        <is>
          <t>Bond</t>
        </is>
      </c>
      <c r="E121" s="9" t="n">
        <v>26000</v>
      </c>
      <c r="F121" s="10" t="n">
        <v>106.949</v>
      </c>
      <c r="G121" s="11">
        <f>E121*F121</f>
        <v/>
      </c>
      <c r="H121" s="6">
        <f>A121&amp;"|"&amp;B121</f>
        <v/>
      </c>
    </row>
    <row r="122">
      <c r="A122" s="6" t="inlineStr">
        <is>
          <t>MMUS</t>
        </is>
      </c>
      <c r="B122" s="6" t="inlineStr">
        <is>
          <t>BD0061</t>
        </is>
      </c>
      <c r="C122" s="6" t="inlineStr">
        <is>
          <t>Corporate Note Series 01</t>
        </is>
      </c>
      <c r="D122" s="6" t="inlineStr">
        <is>
          <t>Bond</t>
        </is>
      </c>
      <c r="E122" s="9" t="n">
        <v>5000</v>
      </c>
      <c r="F122" s="10" t="n">
        <v>99.179</v>
      </c>
      <c r="G122" s="11">
        <f>E122*F122</f>
        <v/>
      </c>
      <c r="H122" s="6">
        <f>A122&amp;"|"&amp;B122</f>
        <v/>
      </c>
    </row>
    <row r="123">
      <c r="A123" s="6" t="inlineStr">
        <is>
          <t>MMUS</t>
        </is>
      </c>
      <c r="B123" s="6" t="inlineStr">
        <is>
          <t>BD0060</t>
        </is>
      </c>
      <c r="C123" s="6" t="inlineStr">
        <is>
          <t>France OAT 2.0% 2032</t>
        </is>
      </c>
      <c r="D123" s="6" t="inlineStr">
        <is>
          <t>Bond</t>
        </is>
      </c>
      <c r="E123" s="9" t="n">
        <v>2000</v>
      </c>
      <c r="F123" s="10" t="n">
        <v>100.206</v>
      </c>
      <c r="G123" s="11">
        <f>E123*F123</f>
        <v/>
      </c>
      <c r="H123" s="6">
        <f>A123&amp;"|"&amp;B123</f>
        <v/>
      </c>
    </row>
    <row r="124">
      <c r="A124" s="6" t="inlineStr">
        <is>
          <t>MMUS</t>
        </is>
      </c>
      <c r="B124" s="6" t="inlineStr">
        <is>
          <t>BD0058</t>
        </is>
      </c>
      <c r="C124" s="6" t="inlineStr">
        <is>
          <t>JPM 4.0% 2031</t>
        </is>
      </c>
      <c r="D124" s="6" t="inlineStr">
        <is>
          <t>Bond</t>
        </is>
      </c>
      <c r="E124" s="9" t="n">
        <v>12000</v>
      </c>
      <c r="F124" s="10" t="n">
        <v>106.985</v>
      </c>
      <c r="G124" s="11">
        <f>E124*F124</f>
        <v/>
      </c>
      <c r="H124" s="6">
        <f>A124&amp;"|"&amp;B124</f>
        <v/>
      </c>
    </row>
    <row r="125">
      <c r="A125" s="6" t="inlineStr">
        <is>
          <t>MMUS</t>
        </is>
      </c>
      <c r="B125" s="6" t="inlineStr">
        <is>
          <t>CASH_USD_MMUS</t>
        </is>
      </c>
      <c r="C125" s="6" t="inlineStr">
        <is>
          <t>USD Cash</t>
        </is>
      </c>
      <c r="D125" s="6" t="inlineStr">
        <is>
          <t>Cash</t>
        </is>
      </c>
      <c r="E125" s="9" t="n">
        <v>2444128.88</v>
      </c>
      <c r="F125" s="10" t="n">
        <v>1</v>
      </c>
      <c r="G125" s="11">
        <f>E125*F125</f>
        <v/>
      </c>
      <c r="H125" s="6">
        <f>A125&amp;"|"&amp;B125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5" t="inlineStr">
        <is>
          <t>Fund</t>
        </is>
      </c>
      <c r="B1" s="5" t="inlineStr">
        <is>
          <t>SecurityID</t>
        </is>
      </c>
      <c r="C1" s="5" t="inlineStr">
        <is>
          <t>SecurityName</t>
        </is>
      </c>
      <c r="D1" s="5" t="inlineStr">
        <is>
          <t>AssetClass</t>
        </is>
      </c>
      <c r="E1" s="5" t="inlineStr">
        <is>
          <t>Quantity</t>
        </is>
      </c>
      <c r="F1" s="5" t="inlineStr">
        <is>
          <t>Price</t>
        </is>
      </c>
      <c r="G1" s="5" t="inlineStr">
        <is>
          <t>MarketValue</t>
        </is>
      </c>
      <c r="H1" s="5" t="inlineStr">
        <is>
          <t>Key</t>
        </is>
      </c>
    </row>
    <row r="2">
      <c r="A2" s="6" t="inlineStr">
        <is>
          <t>EQGL</t>
        </is>
      </c>
      <c r="B2" s="6" t="inlineStr">
        <is>
          <t>EQ0023</t>
        </is>
      </c>
      <c r="C2" s="6" t="inlineStr">
        <is>
          <t>Global Equity Holding 03</t>
        </is>
      </c>
      <c r="D2" s="6" t="inlineStr">
        <is>
          <t>Equity</t>
        </is>
      </c>
      <c r="E2" s="9" t="n">
        <v>21251</v>
      </c>
      <c r="F2" s="10" t="n">
        <v>150.81</v>
      </c>
      <c r="G2" s="11">
        <f>E2*F2</f>
        <v/>
      </c>
      <c r="H2" s="6">
        <f>A2&amp;"|"&amp;B2</f>
        <v/>
      </c>
    </row>
    <row r="3">
      <c r="A3" s="6" t="inlineStr">
        <is>
          <t>EQGL</t>
        </is>
      </c>
      <c r="B3" s="6" t="inlineStr">
        <is>
          <t>EQ0028</t>
        </is>
      </c>
      <c r="C3" s="6" t="inlineStr">
        <is>
          <t>Global Equity Holding 08</t>
        </is>
      </c>
      <c r="D3" s="6" t="inlineStr">
        <is>
          <t>Equity</t>
        </is>
      </c>
      <c r="E3" s="9" t="n">
        <v>27067</v>
      </c>
      <c r="F3" s="10" t="n">
        <v>460.85</v>
      </c>
      <c r="G3" s="11">
        <f>E3*F3</f>
        <v/>
      </c>
      <c r="H3" s="6">
        <f>A3&amp;"|"&amp;B3</f>
        <v/>
      </c>
    </row>
    <row r="4">
      <c r="A4" s="6" t="inlineStr">
        <is>
          <t>EQGL</t>
        </is>
      </c>
      <c r="B4" s="6" t="inlineStr">
        <is>
          <t>EQ0035</t>
        </is>
      </c>
      <c r="C4" s="6" t="inlineStr">
        <is>
          <t>Global Equity Holding 15</t>
        </is>
      </c>
      <c r="D4" s="6" t="inlineStr">
        <is>
          <t>Equity</t>
        </is>
      </c>
      <c r="E4" s="9" t="n">
        <v>11184</v>
      </c>
      <c r="F4" s="10" t="n">
        <v>89.94</v>
      </c>
      <c r="G4" s="11">
        <f>E4*F4</f>
        <v/>
      </c>
      <c r="H4" s="6">
        <f>A4&amp;"|"&amp;B4</f>
        <v/>
      </c>
    </row>
    <row r="5">
      <c r="A5" s="6" t="inlineStr">
        <is>
          <t>EQGL</t>
        </is>
      </c>
      <c r="B5" s="6" t="inlineStr">
        <is>
          <t>EQ0016</t>
        </is>
      </c>
      <c r="C5" s="6" t="inlineStr">
        <is>
          <t>TSMC ADR</t>
        </is>
      </c>
      <c r="D5" s="6" t="inlineStr">
        <is>
          <t>Equity</t>
        </is>
      </c>
      <c r="E5" s="9" t="n">
        <v>5468</v>
      </c>
      <c r="F5" s="10" t="n">
        <v>273.99</v>
      </c>
      <c r="G5" s="11">
        <f>E5*F5</f>
        <v/>
      </c>
      <c r="H5" s="6">
        <f>A5&amp;"|"&amp;B5</f>
        <v/>
      </c>
    </row>
    <row r="6">
      <c r="A6" s="6" t="inlineStr">
        <is>
          <t>EQGL</t>
        </is>
      </c>
      <c r="B6" s="6" t="inlineStr">
        <is>
          <t>EQ0019</t>
        </is>
      </c>
      <c r="C6" s="6" t="inlineStr">
        <is>
          <t>JPMorgan Chase</t>
        </is>
      </c>
      <c r="D6" s="6" t="inlineStr">
        <is>
          <t>Equity</t>
        </is>
      </c>
      <c r="E6" s="9" t="n">
        <v>18957</v>
      </c>
      <c r="F6" s="10" t="n">
        <v>153.64</v>
      </c>
      <c r="G6" s="11">
        <f>E6*F6</f>
        <v/>
      </c>
      <c r="H6" s="6">
        <f>A6&amp;"|"&amp;B6</f>
        <v/>
      </c>
    </row>
    <row r="7">
      <c r="A7" s="6" t="inlineStr">
        <is>
          <t>EQGL</t>
        </is>
      </c>
      <c r="B7" s="6" t="inlineStr">
        <is>
          <t>EQ0030</t>
        </is>
      </c>
      <c r="C7" s="6" t="inlineStr">
        <is>
          <t>Global Equity Holding 10</t>
        </is>
      </c>
      <c r="D7" s="6" t="inlineStr">
        <is>
          <t>Equity</t>
        </is>
      </c>
      <c r="E7" s="9" t="n">
        <v>55299</v>
      </c>
      <c r="F7" s="10" t="n">
        <v>222.17</v>
      </c>
      <c r="G7" s="11">
        <f>E7*F7</f>
        <v/>
      </c>
      <c r="H7" s="6">
        <f>A7&amp;"|"&amp;B7</f>
        <v/>
      </c>
    </row>
    <row r="8">
      <c r="A8" s="6" t="inlineStr">
        <is>
          <t>EQGL</t>
        </is>
      </c>
      <c r="B8" s="6" t="inlineStr">
        <is>
          <t>EQ0033</t>
        </is>
      </c>
      <c r="C8" s="6" t="inlineStr">
        <is>
          <t>Global Equity Holding 13</t>
        </is>
      </c>
      <c r="D8" s="6" t="inlineStr">
        <is>
          <t>Equity</t>
        </is>
      </c>
      <c r="E8" s="9" t="n">
        <v>25416</v>
      </c>
      <c r="F8" s="10" t="n">
        <v>473.73</v>
      </c>
      <c r="G8" s="11">
        <f>E8*F8</f>
        <v/>
      </c>
      <c r="H8" s="6">
        <f>A8&amp;"|"&amp;B8</f>
        <v/>
      </c>
    </row>
    <row r="9">
      <c r="A9" s="6" t="inlineStr">
        <is>
          <t>EQGL</t>
        </is>
      </c>
      <c r="B9" s="6" t="inlineStr">
        <is>
          <t>EQ0031</t>
        </is>
      </c>
      <c r="C9" s="6" t="inlineStr">
        <is>
          <t>Global Equity Holding 11</t>
        </is>
      </c>
      <c r="D9" s="6" t="inlineStr">
        <is>
          <t>Equity</t>
        </is>
      </c>
      <c r="E9" s="9" t="n">
        <v>47717</v>
      </c>
      <c r="F9" s="10" t="n">
        <v>181.2</v>
      </c>
      <c r="G9" s="11">
        <f>E9*F9</f>
        <v/>
      </c>
      <c r="H9" s="6">
        <f>A9&amp;"|"&amp;B9</f>
        <v/>
      </c>
    </row>
    <row r="10">
      <c r="A10" s="6" t="inlineStr">
        <is>
          <t>EQGL</t>
        </is>
      </c>
      <c r="B10" s="6" t="inlineStr">
        <is>
          <t>EQ0011</t>
        </is>
      </c>
      <c r="C10" s="6" t="inlineStr">
        <is>
          <t>SAP SE</t>
        </is>
      </c>
      <c r="D10" s="6" t="inlineStr">
        <is>
          <t>Equity</t>
        </is>
      </c>
      <c r="E10" s="9" t="n">
        <v>18370</v>
      </c>
      <c r="F10" s="10" t="n">
        <v>254.3</v>
      </c>
      <c r="G10" s="11">
        <f>E10*F10</f>
        <v/>
      </c>
      <c r="H10" s="6">
        <f>A10&amp;"|"&amp;B10</f>
        <v/>
      </c>
    </row>
    <row r="11">
      <c r="A11" s="6" t="inlineStr">
        <is>
          <t>EQGL</t>
        </is>
      </c>
      <c r="B11" s="6" t="inlineStr">
        <is>
          <t>EQ0002</t>
        </is>
      </c>
      <c r="C11" s="6" t="inlineStr">
        <is>
          <t>Microsoft Corp</t>
        </is>
      </c>
      <c r="D11" s="6" t="inlineStr">
        <is>
          <t>Equity</t>
        </is>
      </c>
      <c r="E11" s="9" t="n">
        <v>37583</v>
      </c>
      <c r="F11" s="10" t="n">
        <v>323.92</v>
      </c>
      <c r="G11" s="11">
        <f>E11*F11</f>
        <v/>
      </c>
      <c r="H11" s="6">
        <f>A11&amp;"|"&amp;B11</f>
        <v/>
      </c>
    </row>
    <row r="12">
      <c r="A12" s="6" t="inlineStr">
        <is>
          <t>EQGL</t>
        </is>
      </c>
      <c r="B12" s="6" t="inlineStr">
        <is>
          <t>EQ0042</t>
        </is>
      </c>
      <c r="C12" s="6" t="inlineStr">
        <is>
          <t>Global Equity Holding 22</t>
        </is>
      </c>
      <c r="D12" s="6" t="inlineStr">
        <is>
          <t>Equity</t>
        </is>
      </c>
      <c r="E12" s="9" t="n">
        <v>15918</v>
      </c>
      <c r="F12" s="10" t="n">
        <v>209.37</v>
      </c>
      <c r="G12" s="11">
        <f>E12*F12</f>
        <v/>
      </c>
      <c r="H12" s="6">
        <f>A12&amp;"|"&amp;B12</f>
        <v/>
      </c>
    </row>
    <row r="13">
      <c r="A13" s="6" t="inlineStr">
        <is>
          <t>EQGL</t>
        </is>
      </c>
      <c r="B13" s="6" t="inlineStr">
        <is>
          <t>EQ0014</t>
        </is>
      </c>
      <c r="C13" s="6" t="inlineStr">
        <is>
          <t>Siemens AG</t>
        </is>
      </c>
      <c r="D13" s="6" t="inlineStr">
        <is>
          <t>Equity</t>
        </is>
      </c>
      <c r="E13" s="9" t="n">
        <v>40202</v>
      </c>
      <c r="F13" s="10" t="n">
        <v>224.97</v>
      </c>
      <c r="G13" s="11">
        <f>E13*F13</f>
        <v/>
      </c>
      <c r="H13" s="6">
        <f>A13&amp;"|"&amp;B13</f>
        <v/>
      </c>
    </row>
    <row r="14">
      <c r="A14" s="6" t="inlineStr">
        <is>
          <t>EQGL</t>
        </is>
      </c>
      <c r="B14" s="6" t="inlineStr">
        <is>
          <t>EQ0041</t>
        </is>
      </c>
      <c r="C14" s="6" t="inlineStr">
        <is>
          <t>Global Equity Holding 21</t>
        </is>
      </c>
      <c r="D14" s="6" t="inlineStr">
        <is>
          <t>Equity</t>
        </is>
      </c>
      <c r="E14" s="9" t="n">
        <v>47013</v>
      </c>
      <c r="F14" s="10" t="n">
        <v>336.51</v>
      </c>
      <c r="G14" s="11">
        <f>E14*F14</f>
        <v/>
      </c>
      <c r="H14" s="6">
        <f>A14&amp;"|"&amp;B14</f>
        <v/>
      </c>
    </row>
    <row r="15">
      <c r="A15" s="6" t="inlineStr">
        <is>
          <t>EQGL</t>
        </is>
      </c>
      <c r="B15" s="6" t="inlineStr">
        <is>
          <t>EQ0018</t>
        </is>
      </c>
      <c r="C15" s="6" t="inlineStr">
        <is>
          <t>Amazon.com</t>
        </is>
      </c>
      <c r="D15" s="6" t="inlineStr">
        <is>
          <t>Equity</t>
        </is>
      </c>
      <c r="E15" s="9" t="n">
        <v>44332</v>
      </c>
      <c r="F15" s="10" t="n">
        <v>247.69</v>
      </c>
      <c r="G15" s="11">
        <f>E15*F15</f>
        <v/>
      </c>
      <c r="H15" s="6">
        <f>A15&amp;"|"&amp;B15</f>
        <v/>
      </c>
    </row>
    <row r="16">
      <c r="A16" s="6" t="inlineStr">
        <is>
          <t>EQGL</t>
        </is>
      </c>
      <c r="B16" s="6" t="inlineStr">
        <is>
          <t>ET0082</t>
        </is>
      </c>
      <c r="C16" s="6" t="inlineStr">
        <is>
          <t>Vanguard S&amp;P 500</t>
        </is>
      </c>
      <c r="D16" s="6" t="inlineStr">
        <is>
          <t>ETF</t>
        </is>
      </c>
      <c r="E16" s="9" t="n">
        <v>57262</v>
      </c>
      <c r="F16" s="10" t="n">
        <v>42.14</v>
      </c>
      <c r="G16" s="11">
        <f>E16*F16</f>
        <v/>
      </c>
      <c r="H16" s="6">
        <f>A16&amp;"|"&amp;B16</f>
        <v/>
      </c>
    </row>
    <row r="17">
      <c r="A17" s="6" t="inlineStr">
        <is>
          <t>EQGL</t>
        </is>
      </c>
      <c r="B17" s="6" t="inlineStr">
        <is>
          <t>EQ0037</t>
        </is>
      </c>
      <c r="C17" s="6" t="inlineStr">
        <is>
          <t>Global Equity Holding 17</t>
        </is>
      </c>
      <c r="D17" s="6" t="inlineStr">
        <is>
          <t>Equity</t>
        </is>
      </c>
      <c r="E17" s="9" t="n">
        <v>39122</v>
      </c>
      <c r="F17" s="10" t="n">
        <v>278.62</v>
      </c>
      <c r="G17" s="11">
        <f>E17*F17</f>
        <v/>
      </c>
      <c r="H17" s="6">
        <f>A17&amp;"|"&amp;B17</f>
        <v/>
      </c>
    </row>
    <row r="18">
      <c r="A18" s="6" t="inlineStr">
        <is>
          <t>EQGL</t>
        </is>
      </c>
      <c r="B18" s="6" t="inlineStr">
        <is>
          <t>EQ0044</t>
        </is>
      </c>
      <c r="C18" s="6" t="inlineStr">
        <is>
          <t>Global Equity Holding 24</t>
        </is>
      </c>
      <c r="D18" s="6" t="inlineStr">
        <is>
          <t>Equity</t>
        </is>
      </c>
      <c r="E18" s="9" t="n">
        <v>52177</v>
      </c>
      <c r="F18" s="10" t="n">
        <v>90.34999999999999</v>
      </c>
      <c r="G18" s="11">
        <f>E18*F18</f>
        <v/>
      </c>
      <c r="H18" s="6">
        <f>A18&amp;"|"&amp;B18</f>
        <v/>
      </c>
    </row>
    <row r="19">
      <c r="A19" s="6" t="inlineStr">
        <is>
          <t>EQGL</t>
        </is>
      </c>
      <c r="B19" s="6" t="inlineStr">
        <is>
          <t>EQ0021</t>
        </is>
      </c>
      <c r="C19" s="6" t="inlineStr">
        <is>
          <t>Global Equity Holding 01</t>
        </is>
      </c>
      <c r="D19" s="6" t="inlineStr">
        <is>
          <t>Equity</t>
        </is>
      </c>
      <c r="E19" s="9" t="n">
        <v>27150</v>
      </c>
      <c r="F19" s="10" t="n">
        <v>324.95</v>
      </c>
      <c r="G19" s="11">
        <f>E19*F19</f>
        <v/>
      </c>
      <c r="H19" s="6">
        <f>A19&amp;"|"&amp;B19</f>
        <v/>
      </c>
    </row>
    <row r="20">
      <c r="A20" s="6" t="inlineStr">
        <is>
          <t>EQGL</t>
        </is>
      </c>
      <c r="B20" s="6" t="inlineStr">
        <is>
          <t>EQ0038</t>
        </is>
      </c>
      <c r="C20" s="6" t="inlineStr">
        <is>
          <t>Global Equity Holding 18</t>
        </is>
      </c>
      <c r="D20" s="6" t="inlineStr">
        <is>
          <t>Equity</t>
        </is>
      </c>
      <c r="E20" s="9" t="n">
        <v>39871</v>
      </c>
      <c r="F20" s="10" t="n">
        <v>406.55</v>
      </c>
      <c r="G20" s="11">
        <f>E20*F20</f>
        <v/>
      </c>
      <c r="H20" s="6">
        <f>A20&amp;"|"&amp;B20</f>
        <v/>
      </c>
    </row>
    <row r="21">
      <c r="A21" s="6" t="inlineStr">
        <is>
          <t>EQGL</t>
        </is>
      </c>
      <c r="B21" s="6" t="inlineStr">
        <is>
          <t>EQ0047</t>
        </is>
      </c>
      <c r="C21" s="6" t="inlineStr">
        <is>
          <t>Global Equity Holding 27</t>
        </is>
      </c>
      <c r="D21" s="6" t="inlineStr">
        <is>
          <t>Equity</t>
        </is>
      </c>
      <c r="E21" s="9" t="n">
        <v>6188</v>
      </c>
      <c r="F21" s="10" t="n">
        <v>388.5</v>
      </c>
      <c r="G21" s="11">
        <f>E21*F21</f>
        <v/>
      </c>
      <c r="H21" s="6">
        <f>A21&amp;"|"&amp;B21</f>
        <v/>
      </c>
    </row>
    <row r="22">
      <c r="A22" s="6" t="inlineStr">
        <is>
          <t>EQGL</t>
        </is>
      </c>
      <c r="B22" s="6" t="inlineStr">
        <is>
          <t>EQ0010</t>
        </is>
      </c>
      <c r="C22" s="6" t="inlineStr">
        <is>
          <t>LVMH</t>
        </is>
      </c>
      <c r="D22" s="6" t="inlineStr">
        <is>
          <t>Equity</t>
        </is>
      </c>
      <c r="E22" s="9" t="n">
        <v>24442</v>
      </c>
      <c r="F22" s="10" t="n">
        <v>335.52</v>
      </c>
      <c r="G22" s="11">
        <f>E22*F22</f>
        <v/>
      </c>
      <c r="H22" s="6">
        <f>A22&amp;"|"&amp;B22</f>
        <v/>
      </c>
    </row>
    <row r="23">
      <c r="A23" s="6" t="inlineStr">
        <is>
          <t>EQGL</t>
        </is>
      </c>
      <c r="B23" s="6" t="inlineStr">
        <is>
          <t>EQ0003</t>
        </is>
      </c>
      <c r="C23" s="6" t="inlineStr">
        <is>
          <t>Nestle SA</t>
        </is>
      </c>
      <c r="D23" s="6" t="inlineStr">
        <is>
          <t>Equity</t>
        </is>
      </c>
      <c r="E23" s="9" t="n">
        <v>30364</v>
      </c>
      <c r="F23" s="10" t="n">
        <v>205.72</v>
      </c>
      <c r="G23" s="11">
        <f>E23*F23</f>
        <v/>
      </c>
      <c r="H23" s="6">
        <f>A23&amp;"|"&amp;B23</f>
        <v/>
      </c>
    </row>
    <row r="24">
      <c r="A24" s="6" t="inlineStr">
        <is>
          <t>EQGL</t>
        </is>
      </c>
      <c r="B24" s="6" t="inlineStr">
        <is>
          <t>EQ0036</t>
        </is>
      </c>
      <c r="C24" s="6" t="inlineStr">
        <is>
          <t>Global Equity Holding 16</t>
        </is>
      </c>
      <c r="D24" s="6" t="inlineStr">
        <is>
          <t>Equity</t>
        </is>
      </c>
      <c r="E24" s="9" t="n">
        <v>47256</v>
      </c>
      <c r="F24" s="10" t="n">
        <v>457.86</v>
      </c>
      <c r="G24" s="11">
        <f>E24*F24</f>
        <v/>
      </c>
      <c r="H24" s="6">
        <f>A24&amp;"|"&amp;B24</f>
        <v/>
      </c>
    </row>
    <row r="25">
      <c r="A25" s="6" t="inlineStr">
        <is>
          <t>EQGL</t>
        </is>
      </c>
      <c r="B25" s="6" t="inlineStr">
        <is>
          <t>EQ0017</t>
        </is>
      </c>
      <c r="C25" s="6" t="inlineStr">
        <is>
          <t>Alphabet Inc</t>
        </is>
      </c>
      <c r="D25" s="6" t="inlineStr">
        <is>
          <t>Equity</t>
        </is>
      </c>
      <c r="E25" s="9" t="n">
        <v>15848</v>
      </c>
      <c r="F25" s="10" t="n">
        <v>261.55</v>
      </c>
      <c r="G25" s="11">
        <f>E25*F25</f>
        <v/>
      </c>
      <c r="H25" s="6">
        <f>A25&amp;"|"&amp;B25</f>
        <v/>
      </c>
    </row>
    <row r="26">
      <c r="A26" s="6" t="inlineStr">
        <is>
          <t>EQGL</t>
        </is>
      </c>
      <c r="B26" s="6" t="inlineStr">
        <is>
          <t>EQ0022</t>
        </is>
      </c>
      <c r="C26" s="6" t="inlineStr">
        <is>
          <t>Global Equity Holding 02</t>
        </is>
      </c>
      <c r="D26" s="6" t="inlineStr">
        <is>
          <t>Equity</t>
        </is>
      </c>
      <c r="E26" s="9" t="n">
        <v>52152</v>
      </c>
      <c r="F26" s="10" t="n">
        <v>234.01</v>
      </c>
      <c r="G26" s="11">
        <f>E26*F26</f>
        <v/>
      </c>
      <c r="H26" s="6">
        <f>A26&amp;"|"&amp;B26</f>
        <v/>
      </c>
    </row>
    <row r="27">
      <c r="A27" s="6" t="inlineStr">
        <is>
          <t>EQGL</t>
        </is>
      </c>
      <c r="B27" s="6" t="inlineStr">
        <is>
          <t>EQ0046</t>
        </is>
      </c>
      <c r="C27" s="6" t="inlineStr">
        <is>
          <t>Global Equity Holding 26</t>
        </is>
      </c>
      <c r="D27" s="6" t="inlineStr">
        <is>
          <t>Equity</t>
        </is>
      </c>
      <c r="E27" s="9" t="n">
        <v>7045</v>
      </c>
      <c r="F27" s="10" t="n">
        <v>388.55</v>
      </c>
      <c r="G27" s="11">
        <f>E27*F27</f>
        <v/>
      </c>
      <c r="H27" s="6">
        <f>A27&amp;"|"&amp;B27</f>
        <v/>
      </c>
    </row>
    <row r="28">
      <c r="A28" s="6" t="inlineStr">
        <is>
          <t>EQGL</t>
        </is>
      </c>
      <c r="B28" s="6" t="inlineStr">
        <is>
          <t>EQ0032</t>
        </is>
      </c>
      <c r="C28" s="6" t="inlineStr">
        <is>
          <t>Global Equity Holding 12</t>
        </is>
      </c>
      <c r="D28" s="6" t="inlineStr">
        <is>
          <t>Equity</t>
        </is>
      </c>
      <c r="E28" s="9" t="n">
        <v>30126</v>
      </c>
      <c r="F28" s="10" t="n">
        <v>114.71</v>
      </c>
      <c r="G28" s="11">
        <f>E28*F28</f>
        <v/>
      </c>
      <c r="H28" s="6">
        <f>A28&amp;"|"&amp;B28</f>
        <v/>
      </c>
    </row>
    <row r="29">
      <c r="A29" s="6" t="inlineStr">
        <is>
          <t>EQGL</t>
        </is>
      </c>
      <c r="B29" s="6" t="inlineStr">
        <is>
          <t>EQ0025</t>
        </is>
      </c>
      <c r="C29" s="6" t="inlineStr">
        <is>
          <t>Global Equity Holding 05</t>
        </is>
      </c>
      <c r="D29" s="6" t="inlineStr">
        <is>
          <t>Equity</t>
        </is>
      </c>
      <c r="E29" s="9" t="n">
        <v>52626</v>
      </c>
      <c r="F29" s="10" t="n">
        <v>147.02</v>
      </c>
      <c r="G29" s="11">
        <f>E29*F29</f>
        <v/>
      </c>
      <c r="H29" s="6">
        <f>A29&amp;"|"&amp;B29</f>
        <v/>
      </c>
    </row>
    <row r="30">
      <c r="A30" s="6" t="inlineStr">
        <is>
          <t>EQGL</t>
        </is>
      </c>
      <c r="B30" s="6" t="inlineStr">
        <is>
          <t>EQ0006</t>
        </is>
      </c>
      <c r="C30" s="6" t="inlineStr">
        <is>
          <t>Samsung Electronics</t>
        </is>
      </c>
      <c r="D30" s="6" t="inlineStr">
        <is>
          <t>Equity</t>
        </is>
      </c>
      <c r="E30" s="9" t="n">
        <v>14597</v>
      </c>
      <c r="F30" s="10" t="n">
        <v>194.53</v>
      </c>
      <c r="G30" s="11">
        <f>E30*F30</f>
        <v/>
      </c>
      <c r="H30" s="6">
        <f>A30&amp;"|"&amp;B30</f>
        <v/>
      </c>
    </row>
    <row r="31">
      <c r="A31" s="6" t="inlineStr">
        <is>
          <t>EQGL</t>
        </is>
      </c>
      <c r="B31" s="6" t="inlineStr">
        <is>
          <t>EQ0013</t>
        </is>
      </c>
      <c r="C31" s="6" t="inlineStr">
        <is>
          <t>Shell PLC</t>
        </is>
      </c>
      <c r="D31" s="6" t="inlineStr">
        <is>
          <t>Equity</t>
        </is>
      </c>
      <c r="E31" s="9" t="n">
        <v>23461</v>
      </c>
      <c r="F31" s="10" t="n">
        <v>131.06</v>
      </c>
      <c r="G31" s="11">
        <f>E31*F31</f>
        <v/>
      </c>
      <c r="H31" s="6">
        <f>A31&amp;"|"&amp;B31</f>
        <v/>
      </c>
    </row>
    <row r="32">
      <c r="A32" s="6" t="inlineStr">
        <is>
          <t>EQGL</t>
        </is>
      </c>
      <c r="B32" s="6" t="inlineStr">
        <is>
          <t>ET0085</t>
        </is>
      </c>
      <c r="C32" s="6" t="inlineStr">
        <is>
          <t>iShares US Treasury</t>
        </is>
      </c>
      <c r="D32" s="6" t="inlineStr">
        <is>
          <t>ETF</t>
        </is>
      </c>
      <c r="E32" s="9" t="n">
        <v>10958</v>
      </c>
      <c r="F32" s="10" t="n">
        <v>64.66</v>
      </c>
      <c r="G32" s="11">
        <f>E32*F32</f>
        <v/>
      </c>
      <c r="H32" s="6">
        <f>A32&amp;"|"&amp;B32</f>
        <v/>
      </c>
    </row>
    <row r="33">
      <c r="A33" s="6" t="inlineStr">
        <is>
          <t>EQGL</t>
        </is>
      </c>
      <c r="B33" s="6" t="inlineStr">
        <is>
          <t>ET0081</t>
        </is>
      </c>
      <c r="C33" s="6" t="inlineStr">
        <is>
          <t>iShares Core MSCI World</t>
        </is>
      </c>
      <c r="D33" s="6" t="inlineStr">
        <is>
          <t>ETF</t>
        </is>
      </c>
      <c r="E33" s="9" t="n">
        <v>42989</v>
      </c>
      <c r="F33" s="10" t="n">
        <v>100.38</v>
      </c>
      <c r="G33" s="11">
        <f>E33*F33</f>
        <v/>
      </c>
      <c r="H33" s="6">
        <f>A33&amp;"|"&amp;B33</f>
        <v/>
      </c>
    </row>
    <row r="34">
      <c r="A34" s="6" t="inlineStr">
        <is>
          <t>EQGL</t>
        </is>
      </c>
      <c r="B34" s="6" t="inlineStr">
        <is>
          <t>EQ0007</t>
        </is>
      </c>
      <c r="C34" s="6" t="inlineStr">
        <is>
          <t>ASML Holding</t>
        </is>
      </c>
      <c r="D34" s="6" t="inlineStr">
        <is>
          <t>Equity</t>
        </is>
      </c>
      <c r="E34" s="9" t="n">
        <v>38626</v>
      </c>
      <c r="F34" s="10" t="n">
        <v>250.69</v>
      </c>
      <c r="G34" s="11">
        <f>E34*F34</f>
        <v/>
      </c>
      <c r="H34" s="6">
        <f>A34&amp;"|"&amp;B34</f>
        <v/>
      </c>
    </row>
    <row r="35">
      <c r="A35" s="6" t="inlineStr">
        <is>
          <t>EQGL</t>
        </is>
      </c>
      <c r="B35" s="6" t="inlineStr">
        <is>
          <t>CASH_USD_EQGL</t>
        </is>
      </c>
      <c r="C35" s="6" t="inlineStr">
        <is>
          <t>USD Cash</t>
        </is>
      </c>
      <c r="D35" s="6" t="inlineStr">
        <is>
          <t>Cash</t>
        </is>
      </c>
      <c r="E35" s="9" t="n">
        <v>5311390.66</v>
      </c>
      <c r="F35" s="10" t="n">
        <v>1</v>
      </c>
      <c r="G35" s="11">
        <f>E35*F35</f>
        <v/>
      </c>
      <c r="H35" s="6">
        <f>A35&amp;"|"&amp;B35</f>
        <v/>
      </c>
    </row>
    <row r="36">
      <c r="A36" s="6" t="inlineStr">
        <is>
          <t>FIIG</t>
        </is>
      </c>
      <c r="B36" s="6" t="inlineStr">
        <is>
          <t>BD0061</t>
        </is>
      </c>
      <c r="C36" s="6" t="inlineStr">
        <is>
          <t>Corporate Note Series 01</t>
        </is>
      </c>
      <c r="D36" s="6" t="inlineStr">
        <is>
          <t>Bond</t>
        </is>
      </c>
      <c r="E36" s="9" t="n">
        <v>2000</v>
      </c>
      <c r="F36" s="10" t="n">
        <v>102.889</v>
      </c>
      <c r="G36" s="11">
        <f>E36*F36</f>
        <v/>
      </c>
      <c r="H36" s="6">
        <f>A36&amp;"|"&amp;B36</f>
        <v/>
      </c>
    </row>
    <row r="37">
      <c r="A37" s="6" t="inlineStr">
        <is>
          <t>FIIG</t>
        </is>
      </c>
      <c r="B37" s="6" t="inlineStr">
        <is>
          <t>BD0069</t>
        </is>
      </c>
      <c r="C37" s="6" t="inlineStr">
        <is>
          <t>Corporate Note Series 09</t>
        </is>
      </c>
      <c r="D37" s="6" t="inlineStr">
        <is>
          <t>Bond</t>
        </is>
      </c>
      <c r="E37" s="9" t="n">
        <v>20000</v>
      </c>
      <c r="F37" s="10" t="n">
        <v>96.86799999999999</v>
      </c>
      <c r="G37" s="11">
        <f>E37*F37</f>
        <v/>
      </c>
      <c r="H37" s="6">
        <f>A37&amp;"|"&amp;B37</f>
        <v/>
      </c>
    </row>
    <row r="38">
      <c r="A38" s="6" t="inlineStr">
        <is>
          <t>FIIG</t>
        </is>
      </c>
      <c r="B38" s="6" t="inlineStr">
        <is>
          <t>BD0065</t>
        </is>
      </c>
      <c r="C38" s="6" t="inlineStr">
        <is>
          <t>Corporate Note Series 05</t>
        </is>
      </c>
      <c r="D38" s="6" t="inlineStr">
        <is>
          <t>Bond</t>
        </is>
      </c>
      <c r="E38" s="9" t="n">
        <v>22000</v>
      </c>
      <c r="F38" s="10" t="n">
        <v>100.794</v>
      </c>
      <c r="G38" s="11">
        <f>E38*F38</f>
        <v/>
      </c>
      <c r="H38" s="6">
        <f>A38&amp;"|"&amp;B38</f>
        <v/>
      </c>
    </row>
    <row r="39">
      <c r="A39" s="6" t="inlineStr">
        <is>
          <t>FIIG</t>
        </is>
      </c>
      <c r="B39" s="6" t="inlineStr">
        <is>
          <t>ET0084</t>
        </is>
      </c>
      <c r="C39" s="6" t="inlineStr">
        <is>
          <t>iShares EUR Corp Bond</t>
        </is>
      </c>
      <c r="D39" s="6" t="inlineStr">
        <is>
          <t>ETF</t>
        </is>
      </c>
      <c r="E39" s="9" t="n">
        <v>29509</v>
      </c>
      <c r="F39" s="10" t="n">
        <v>52.2</v>
      </c>
      <c r="G39" s="11">
        <f>E39*F39</f>
        <v/>
      </c>
      <c r="H39" s="6">
        <f>A39&amp;"|"&amp;B39</f>
        <v/>
      </c>
    </row>
    <row r="40">
      <c r="A40" s="6" t="inlineStr">
        <is>
          <t>FIIG</t>
        </is>
      </c>
      <c r="B40" s="6" t="inlineStr">
        <is>
          <t>ET0083</t>
        </is>
      </c>
      <c r="C40" s="6" t="inlineStr">
        <is>
          <t>SPDR Gold Shares</t>
        </is>
      </c>
      <c r="D40" s="6" t="inlineStr">
        <is>
          <t>ETF</t>
        </is>
      </c>
      <c r="E40" s="9" t="n">
        <v>31873</v>
      </c>
      <c r="F40" s="10" t="n">
        <v>118.57</v>
      </c>
      <c r="G40" s="11">
        <f>E40*F40</f>
        <v/>
      </c>
      <c r="H40" s="6">
        <f>A40&amp;"|"&amp;B40</f>
        <v/>
      </c>
    </row>
    <row r="41">
      <c r="A41" s="6" t="inlineStr">
        <is>
          <t>FIIG</t>
        </is>
      </c>
      <c r="B41" s="6" t="inlineStr">
        <is>
          <t>BD0059</t>
        </is>
      </c>
      <c r="C41" s="6" t="inlineStr">
        <is>
          <t>Toyota 2.1% 2027</t>
        </is>
      </c>
      <c r="D41" s="6" t="inlineStr">
        <is>
          <t>Bond</t>
        </is>
      </c>
      <c r="E41" s="9" t="n">
        <v>25000</v>
      </c>
      <c r="F41" s="10" t="n">
        <v>102.184</v>
      </c>
      <c r="G41" s="11">
        <f>E41*F41</f>
        <v/>
      </c>
      <c r="H41" s="6">
        <f>A41&amp;"|"&amp;B41</f>
        <v/>
      </c>
    </row>
    <row r="42">
      <c r="A42" s="6" t="inlineStr">
        <is>
          <t>FIIG</t>
        </is>
      </c>
      <c r="B42" s="6" t="inlineStr">
        <is>
          <t>BD0052</t>
        </is>
      </c>
      <c r="C42" s="6" t="inlineStr">
        <is>
          <t>US Treasury 3.0% 2033</t>
        </is>
      </c>
      <c r="D42" s="6" t="inlineStr">
        <is>
          <t>Bond</t>
        </is>
      </c>
      <c r="E42" s="9" t="n">
        <v>36000</v>
      </c>
      <c r="F42" s="10" t="n">
        <v>106.513</v>
      </c>
      <c r="G42" s="11">
        <f>E42*F42</f>
        <v/>
      </c>
      <c r="H42" s="6">
        <f>A42&amp;"|"&amp;B42</f>
        <v/>
      </c>
    </row>
    <row r="43">
      <c r="A43" s="6" t="inlineStr">
        <is>
          <t>FIIG</t>
        </is>
      </c>
      <c r="B43" s="6" t="inlineStr">
        <is>
          <t>BD0071</t>
        </is>
      </c>
      <c r="C43" s="6" t="inlineStr">
        <is>
          <t>Corporate Note Series 11</t>
        </is>
      </c>
      <c r="D43" s="6" t="inlineStr">
        <is>
          <t>Bond</t>
        </is>
      </c>
      <c r="E43" s="9" t="n">
        <v>24000</v>
      </c>
      <c r="F43" s="10" t="n">
        <v>96.14400000000001</v>
      </c>
      <c r="G43" s="11">
        <f>E43*F43</f>
        <v/>
      </c>
      <c r="H43" s="6">
        <f>A43&amp;"|"&amp;B43</f>
        <v/>
      </c>
    </row>
    <row r="44">
      <c r="A44" s="6" t="inlineStr">
        <is>
          <t>FIIG</t>
        </is>
      </c>
      <c r="B44" s="6" t="inlineStr">
        <is>
          <t>BD0068</t>
        </is>
      </c>
      <c r="C44" s="6" t="inlineStr">
        <is>
          <t>Corporate Note Series 08</t>
        </is>
      </c>
      <c r="D44" s="6" t="inlineStr">
        <is>
          <t>Bond</t>
        </is>
      </c>
      <c r="E44" s="9" t="n">
        <v>16000</v>
      </c>
      <c r="F44" s="10" t="n">
        <v>106.279</v>
      </c>
      <c r="G44" s="11">
        <f>E44*F44</f>
        <v/>
      </c>
      <c r="H44" s="6">
        <f>A44&amp;"|"&amp;B44</f>
        <v/>
      </c>
    </row>
    <row r="45">
      <c r="A45" s="6" t="inlineStr">
        <is>
          <t>FIIG</t>
        </is>
      </c>
      <c r="B45" s="6" t="inlineStr">
        <is>
          <t>BD0073</t>
        </is>
      </c>
      <c r="C45" s="6" t="inlineStr">
        <is>
          <t>Corporate Note Series 13</t>
        </is>
      </c>
      <c r="D45" s="6" t="inlineStr">
        <is>
          <t>Bond</t>
        </is>
      </c>
      <c r="E45" s="9" t="n">
        <v>15000</v>
      </c>
      <c r="F45" s="10" t="n">
        <v>103.166</v>
      </c>
      <c r="G45" s="11">
        <f>E45*F45</f>
        <v/>
      </c>
      <c r="H45" s="6">
        <f>A45&amp;"|"&amp;B45</f>
        <v/>
      </c>
    </row>
    <row r="46">
      <c r="A46" s="6" t="inlineStr">
        <is>
          <t>FIIG</t>
        </is>
      </c>
      <c r="B46" s="6" t="inlineStr">
        <is>
          <t>BD0054</t>
        </is>
      </c>
      <c r="C46" s="6" t="inlineStr">
        <is>
          <t>UK Gilt 4.25% 2032</t>
        </is>
      </c>
      <c r="D46" s="6" t="inlineStr">
        <is>
          <t>Bond</t>
        </is>
      </c>
      <c r="E46" s="9" t="n">
        <v>19000</v>
      </c>
      <c r="F46" s="10" t="n">
        <v>99.02800000000001</v>
      </c>
      <c r="G46" s="11">
        <f>E46*F46</f>
        <v/>
      </c>
      <c r="H46" s="6">
        <f>A46&amp;"|"&amp;B46</f>
        <v/>
      </c>
    </row>
    <row r="47">
      <c r="A47" s="6" t="inlineStr">
        <is>
          <t>FIIG</t>
        </is>
      </c>
      <c r="B47" s="6" t="inlineStr">
        <is>
          <t>BD0056</t>
        </is>
      </c>
      <c r="C47" s="6" t="inlineStr">
        <is>
          <t>Microsoft 2.9% 2030</t>
        </is>
      </c>
      <c r="D47" s="6" t="inlineStr">
        <is>
          <t>Bond</t>
        </is>
      </c>
      <c r="E47" s="9" t="n">
        <v>22000</v>
      </c>
      <c r="F47" s="10" t="n">
        <v>104.682</v>
      </c>
      <c r="G47" s="11">
        <f>E47*F47</f>
        <v/>
      </c>
      <c r="H47" s="6">
        <f>A47&amp;"|"&amp;B47</f>
        <v/>
      </c>
    </row>
    <row r="48">
      <c r="A48" s="6" t="inlineStr">
        <is>
          <t>FIIG</t>
        </is>
      </c>
      <c r="B48" s="6" t="inlineStr">
        <is>
          <t>BD0051</t>
        </is>
      </c>
      <c r="C48" s="6" t="inlineStr">
        <is>
          <t>US Treasury 2.5% 2030</t>
        </is>
      </c>
      <c r="D48" s="6" t="inlineStr">
        <is>
          <t>Bond</t>
        </is>
      </c>
      <c r="E48" s="9" t="n">
        <v>26000</v>
      </c>
      <c r="F48" s="10" t="n">
        <v>105.218</v>
      </c>
      <c r="G48" s="11">
        <f>E48*F48</f>
        <v/>
      </c>
      <c r="H48" s="6">
        <f>A48&amp;"|"&amp;B48</f>
        <v/>
      </c>
    </row>
    <row r="49">
      <c r="A49" s="6" t="inlineStr">
        <is>
          <t>FIIG</t>
        </is>
      </c>
      <c r="B49" s="6" t="inlineStr">
        <is>
          <t>BD0077</t>
        </is>
      </c>
      <c r="C49" s="6" t="inlineStr">
        <is>
          <t>Corporate Note Series 17</t>
        </is>
      </c>
      <c r="D49" s="6" t="inlineStr">
        <is>
          <t>Bond</t>
        </is>
      </c>
      <c r="E49" s="9" t="n">
        <v>26000</v>
      </c>
      <c r="F49" s="10" t="n">
        <v>106.991</v>
      </c>
      <c r="G49" s="11">
        <f>E49*F49</f>
        <v/>
      </c>
      <c r="H49" s="6">
        <f>A49&amp;"|"&amp;B49</f>
        <v/>
      </c>
    </row>
    <row r="50">
      <c r="A50" s="6" t="inlineStr">
        <is>
          <t>FIIG</t>
        </is>
      </c>
      <c r="B50" s="6" t="inlineStr">
        <is>
          <t>BD0053</t>
        </is>
      </c>
      <c r="C50" s="6" t="inlineStr">
        <is>
          <t>Bund 1.5% 2031</t>
        </is>
      </c>
      <c r="D50" s="6" t="inlineStr">
        <is>
          <t>Bond</t>
        </is>
      </c>
      <c r="E50" s="9" t="n">
        <v>21000</v>
      </c>
      <c r="F50" s="10" t="n">
        <v>98.60299999999999</v>
      </c>
      <c r="G50" s="11">
        <f>E50*F50</f>
        <v/>
      </c>
      <c r="H50" s="6">
        <f>A50&amp;"|"&amp;B50</f>
        <v/>
      </c>
    </row>
    <row r="51">
      <c r="A51" s="6" t="inlineStr">
        <is>
          <t>FIIG</t>
        </is>
      </c>
      <c r="B51" s="6" t="inlineStr">
        <is>
          <t>BD0067</t>
        </is>
      </c>
      <c r="C51" s="6" t="inlineStr">
        <is>
          <t>Corporate Note Series 07</t>
        </is>
      </c>
      <c r="D51" s="6" t="inlineStr">
        <is>
          <t>Bond</t>
        </is>
      </c>
      <c r="E51" s="9" t="n">
        <v>5000</v>
      </c>
      <c r="F51" s="10" t="n">
        <v>101.368</v>
      </c>
      <c r="G51" s="11">
        <f>E51*F51</f>
        <v/>
      </c>
      <c r="H51" s="6">
        <f>A51&amp;"|"&amp;B51</f>
        <v/>
      </c>
    </row>
    <row r="52">
      <c r="A52" s="6" t="inlineStr">
        <is>
          <t>FIIG</t>
        </is>
      </c>
      <c r="B52" s="6" t="inlineStr">
        <is>
          <t>ET0082</t>
        </is>
      </c>
      <c r="C52" s="6" t="inlineStr">
        <is>
          <t>Vanguard S&amp;P 500</t>
        </is>
      </c>
      <c r="D52" s="6" t="inlineStr">
        <is>
          <t>ETF</t>
        </is>
      </c>
      <c r="E52" s="9" t="n">
        <v>13304</v>
      </c>
      <c r="F52" s="10" t="n">
        <v>29.08</v>
      </c>
      <c r="G52" s="11">
        <f>E52*F52</f>
        <v/>
      </c>
      <c r="H52" s="6">
        <f>A52&amp;"|"&amp;B52</f>
        <v/>
      </c>
    </row>
    <row r="53">
      <c r="A53" s="6" t="inlineStr">
        <is>
          <t>FIIG</t>
        </is>
      </c>
      <c r="B53" s="6" t="inlineStr">
        <is>
          <t>BD0066</t>
        </is>
      </c>
      <c r="C53" s="6" t="inlineStr">
        <is>
          <t>Corporate Note Series 06</t>
        </is>
      </c>
      <c r="D53" s="6" t="inlineStr">
        <is>
          <t>Bond</t>
        </is>
      </c>
      <c r="E53" s="9" t="n">
        <v>13000</v>
      </c>
      <c r="F53" s="10" t="n">
        <v>94.50700000000001</v>
      </c>
      <c r="G53" s="11">
        <f>E53*F53</f>
        <v/>
      </c>
      <c r="H53" s="6">
        <f>A53&amp;"|"&amp;B53</f>
        <v/>
      </c>
    </row>
    <row r="54">
      <c r="A54" s="6" t="inlineStr">
        <is>
          <t>FIIG</t>
        </is>
      </c>
      <c r="B54" s="6" t="inlineStr">
        <is>
          <t>BD0057</t>
        </is>
      </c>
      <c r="C54" s="6" t="inlineStr">
        <is>
          <t>Shell 2.5% 2028</t>
        </is>
      </c>
      <c r="D54" s="6" t="inlineStr">
        <is>
          <t>Bond</t>
        </is>
      </c>
      <c r="E54" s="9" t="n">
        <v>39000</v>
      </c>
      <c r="F54" s="10" t="n">
        <v>101.169</v>
      </c>
      <c r="G54" s="11">
        <f>E54*F54</f>
        <v/>
      </c>
      <c r="H54" s="6">
        <f>A54&amp;"|"&amp;B54</f>
        <v/>
      </c>
    </row>
    <row r="55">
      <c r="A55" s="6" t="inlineStr">
        <is>
          <t>FIIG</t>
        </is>
      </c>
      <c r="B55" s="6" t="inlineStr">
        <is>
          <t>BD0060</t>
        </is>
      </c>
      <c r="C55" s="6" t="inlineStr">
        <is>
          <t>France OAT 2.0% 2032</t>
        </is>
      </c>
      <c r="D55" s="6" t="inlineStr">
        <is>
          <t>Bond</t>
        </is>
      </c>
      <c r="E55" s="9" t="n">
        <v>4000</v>
      </c>
      <c r="F55" s="10" t="n">
        <v>98.42100000000001</v>
      </c>
      <c r="G55" s="11">
        <f>E55*F55</f>
        <v/>
      </c>
      <c r="H55" s="6">
        <f>A55&amp;"|"&amp;B55</f>
        <v/>
      </c>
    </row>
    <row r="56">
      <c r="A56" s="6" t="inlineStr">
        <is>
          <t>FIIG</t>
        </is>
      </c>
      <c r="B56" s="6" t="inlineStr">
        <is>
          <t>BD0058</t>
        </is>
      </c>
      <c r="C56" s="6" t="inlineStr">
        <is>
          <t>JPM 4.0% 2031</t>
        </is>
      </c>
      <c r="D56" s="6" t="inlineStr">
        <is>
          <t>Bond</t>
        </is>
      </c>
      <c r="E56" s="9" t="n">
        <v>11000</v>
      </c>
      <c r="F56" s="10" t="n">
        <v>95.396</v>
      </c>
      <c r="G56" s="11">
        <f>E56*F56</f>
        <v/>
      </c>
      <c r="H56" s="6">
        <f>A56&amp;"|"&amp;B56</f>
        <v/>
      </c>
    </row>
    <row r="57">
      <c r="A57" s="6" t="inlineStr">
        <is>
          <t>FIIG</t>
        </is>
      </c>
      <c r="B57" s="6" t="inlineStr">
        <is>
          <t>BD0055</t>
        </is>
      </c>
      <c r="C57" s="6" t="inlineStr">
        <is>
          <t>Apple 3.35% 2029</t>
        </is>
      </c>
      <c r="D57" s="6" t="inlineStr">
        <is>
          <t>Bond</t>
        </is>
      </c>
      <c r="E57" s="9" t="n">
        <v>31000</v>
      </c>
      <c r="F57" s="10" t="n">
        <v>98.55800000000001</v>
      </c>
      <c r="G57" s="11">
        <f>E57*F57</f>
        <v/>
      </c>
      <c r="H57" s="6">
        <f>A57&amp;"|"&amp;B57</f>
        <v/>
      </c>
    </row>
    <row r="58">
      <c r="A58" s="6" t="inlineStr">
        <is>
          <t>FIIG</t>
        </is>
      </c>
      <c r="B58" s="6" t="inlineStr">
        <is>
          <t>CASH_USD_FIIG</t>
        </is>
      </c>
      <c r="C58" s="6" t="inlineStr">
        <is>
          <t>USD Cash</t>
        </is>
      </c>
      <c r="D58" s="6" t="inlineStr">
        <is>
          <t>Cash</t>
        </is>
      </c>
      <c r="E58" s="9" t="n">
        <v>2863499.16</v>
      </c>
      <c r="F58" s="10" t="n">
        <v>1</v>
      </c>
      <c r="G58" s="11">
        <f>E58*F58</f>
        <v/>
      </c>
      <c r="H58" s="6">
        <f>A58&amp;"|"&amp;B58</f>
        <v/>
      </c>
    </row>
    <row r="59">
      <c r="A59" s="6" t="inlineStr">
        <is>
          <t>BALM</t>
        </is>
      </c>
      <c r="B59" s="6" t="inlineStr">
        <is>
          <t>BD0059</t>
        </is>
      </c>
      <c r="C59" s="6" t="inlineStr">
        <is>
          <t>Toyota 2.1% 2027</t>
        </is>
      </c>
      <c r="D59" s="6" t="inlineStr">
        <is>
          <t>Bond</t>
        </is>
      </c>
      <c r="E59" s="9" t="n">
        <v>25000</v>
      </c>
      <c r="F59" s="10" t="n">
        <v>97.146</v>
      </c>
      <c r="G59" s="11">
        <f>E59*F59</f>
        <v/>
      </c>
      <c r="H59" s="6">
        <f>A59&amp;"|"&amp;B59</f>
        <v/>
      </c>
    </row>
    <row r="60">
      <c r="A60" s="6" t="inlineStr">
        <is>
          <t>BALM</t>
        </is>
      </c>
      <c r="B60" s="6" t="inlineStr">
        <is>
          <t>BD0074</t>
        </is>
      </c>
      <c r="C60" s="6" t="inlineStr">
        <is>
          <t>Corporate Note Series 14</t>
        </is>
      </c>
      <c r="D60" s="6" t="inlineStr">
        <is>
          <t>Bond</t>
        </is>
      </c>
      <c r="E60" s="9" t="n">
        <v>31000</v>
      </c>
      <c r="F60" s="10" t="n">
        <v>95.89400000000001</v>
      </c>
      <c r="G60" s="11">
        <f>E60*F60</f>
        <v/>
      </c>
      <c r="H60" s="6">
        <f>A60&amp;"|"&amp;B60</f>
        <v/>
      </c>
    </row>
    <row r="61">
      <c r="A61" s="6" t="inlineStr">
        <is>
          <t>BALM</t>
        </is>
      </c>
      <c r="B61" s="6" t="inlineStr">
        <is>
          <t>BD0055</t>
        </is>
      </c>
      <c r="C61" s="6" t="inlineStr">
        <is>
          <t>Apple 3.35% 2029</t>
        </is>
      </c>
      <c r="D61" s="6" t="inlineStr">
        <is>
          <t>Bond</t>
        </is>
      </c>
      <c r="E61" s="9" t="n">
        <v>33000</v>
      </c>
      <c r="F61" s="10" t="n">
        <v>101.549</v>
      </c>
      <c r="G61" s="11">
        <f>E61*F61</f>
        <v/>
      </c>
      <c r="H61" s="6">
        <f>A61&amp;"|"&amp;B61</f>
        <v/>
      </c>
    </row>
    <row r="62">
      <c r="A62" s="6" t="inlineStr">
        <is>
          <t>BALM</t>
        </is>
      </c>
      <c r="B62" s="6" t="inlineStr">
        <is>
          <t>EQ0011</t>
        </is>
      </c>
      <c r="C62" s="6" t="inlineStr">
        <is>
          <t>SAP SE</t>
        </is>
      </c>
      <c r="D62" s="6" t="inlineStr">
        <is>
          <t>Equity</t>
        </is>
      </c>
      <c r="E62" s="9" t="n">
        <v>17717</v>
      </c>
      <c r="F62" s="10" t="n">
        <v>258.53</v>
      </c>
      <c r="G62" s="11">
        <f>E62*F62</f>
        <v/>
      </c>
      <c r="H62" s="6">
        <f>A62&amp;"|"&amp;B62</f>
        <v/>
      </c>
    </row>
    <row r="63">
      <c r="A63" s="6" t="inlineStr">
        <is>
          <t>BALM</t>
        </is>
      </c>
      <c r="B63" s="6" t="inlineStr">
        <is>
          <t>EQ0031</t>
        </is>
      </c>
      <c r="C63" s="6" t="inlineStr">
        <is>
          <t>Global Equity Holding 11</t>
        </is>
      </c>
      <c r="D63" s="6" t="inlineStr">
        <is>
          <t>Equity</t>
        </is>
      </c>
      <c r="E63" s="9" t="n">
        <v>37916</v>
      </c>
      <c r="F63" s="10" t="n">
        <v>142.66</v>
      </c>
      <c r="G63" s="11">
        <f>E63*F63</f>
        <v/>
      </c>
      <c r="H63" s="6">
        <f>A63&amp;"|"&amp;B63</f>
        <v/>
      </c>
    </row>
    <row r="64">
      <c r="A64" s="6" t="inlineStr">
        <is>
          <t>BALM</t>
        </is>
      </c>
      <c r="B64" s="6" t="inlineStr">
        <is>
          <t>EQ0012</t>
        </is>
      </c>
      <c r="C64" s="6" t="inlineStr">
        <is>
          <t>Unilever PLC</t>
        </is>
      </c>
      <c r="D64" s="6" t="inlineStr">
        <is>
          <t>Equity</t>
        </is>
      </c>
      <c r="E64" s="9" t="n">
        <v>50890</v>
      </c>
      <c r="F64" s="10" t="n">
        <v>216.67</v>
      </c>
      <c r="G64" s="11">
        <f>E64*F64</f>
        <v/>
      </c>
      <c r="H64" s="6">
        <f>A64&amp;"|"&amp;B64</f>
        <v/>
      </c>
    </row>
    <row r="65">
      <c r="A65" s="6" t="inlineStr">
        <is>
          <t>BALM</t>
        </is>
      </c>
      <c r="B65" s="6" t="inlineStr">
        <is>
          <t>EQ0029</t>
        </is>
      </c>
      <c r="C65" s="6" t="inlineStr">
        <is>
          <t>Global Equity Holding 09</t>
        </is>
      </c>
      <c r="D65" s="6" t="inlineStr">
        <is>
          <t>Equity</t>
        </is>
      </c>
      <c r="E65" s="9" t="n">
        <v>53594</v>
      </c>
      <c r="F65" s="10" t="n">
        <v>405.14</v>
      </c>
      <c r="G65" s="11">
        <f>E65*F65</f>
        <v/>
      </c>
      <c r="H65" s="6">
        <f>A65&amp;"|"&amp;B65</f>
        <v/>
      </c>
    </row>
    <row r="66">
      <c r="A66" s="6" t="inlineStr">
        <is>
          <t>BALM</t>
        </is>
      </c>
      <c r="B66" s="6" t="inlineStr">
        <is>
          <t>BD0064</t>
        </is>
      </c>
      <c r="C66" s="6" t="inlineStr">
        <is>
          <t>Corporate Note Series 04</t>
        </is>
      </c>
      <c r="D66" s="6" t="inlineStr">
        <is>
          <t>Bond</t>
        </is>
      </c>
      <c r="E66" s="9" t="n">
        <v>5000</v>
      </c>
      <c r="F66" s="10" t="n">
        <v>102.401</v>
      </c>
      <c r="G66" s="11">
        <f>E66*F66</f>
        <v/>
      </c>
      <c r="H66" s="6">
        <f>A66&amp;"|"&amp;B66</f>
        <v/>
      </c>
    </row>
    <row r="67">
      <c r="A67" s="6" t="inlineStr">
        <is>
          <t>BALM</t>
        </is>
      </c>
      <c r="B67" s="6" t="inlineStr">
        <is>
          <t>EQ0026</t>
        </is>
      </c>
      <c r="C67" s="6" t="inlineStr">
        <is>
          <t>Global Equity Holding 06</t>
        </is>
      </c>
      <c r="D67" s="6" t="inlineStr">
        <is>
          <t>Equity</t>
        </is>
      </c>
      <c r="E67" s="9" t="n">
        <v>18974</v>
      </c>
      <c r="F67" s="10" t="n">
        <v>368.09</v>
      </c>
      <c r="G67" s="11">
        <f>E67*F67</f>
        <v/>
      </c>
      <c r="H67" s="6">
        <f>A67&amp;"|"&amp;B67</f>
        <v/>
      </c>
    </row>
    <row r="68">
      <c r="A68" s="6" t="inlineStr">
        <is>
          <t>BALM</t>
        </is>
      </c>
      <c r="B68" s="6" t="inlineStr">
        <is>
          <t>BD0052</t>
        </is>
      </c>
      <c r="C68" s="6" t="inlineStr">
        <is>
          <t>US Treasury 3.0% 2033</t>
        </is>
      </c>
      <c r="D68" s="6" t="inlineStr">
        <is>
          <t>Bond</t>
        </is>
      </c>
      <c r="E68" s="9" t="n">
        <v>22000</v>
      </c>
      <c r="F68" s="10" t="n">
        <v>99.949</v>
      </c>
      <c r="G68" s="11">
        <f>E68*F68</f>
        <v/>
      </c>
      <c r="H68" s="6">
        <f>A68&amp;"|"&amp;B68</f>
        <v/>
      </c>
    </row>
    <row r="69">
      <c r="A69" s="6" t="inlineStr">
        <is>
          <t>BALM</t>
        </is>
      </c>
      <c r="B69" s="6" t="inlineStr">
        <is>
          <t>EQ0002</t>
        </is>
      </c>
      <c r="C69" s="6" t="inlineStr">
        <is>
          <t>Microsoft Corp</t>
        </is>
      </c>
      <c r="D69" s="6" t="inlineStr">
        <is>
          <t>Equity</t>
        </is>
      </c>
      <c r="E69" s="9" t="n">
        <v>53774</v>
      </c>
      <c r="F69" s="10" t="n">
        <v>51.05</v>
      </c>
      <c r="G69" s="11">
        <f>E69*F69</f>
        <v/>
      </c>
      <c r="H69" s="6">
        <f>A69&amp;"|"&amp;B69</f>
        <v/>
      </c>
    </row>
    <row r="70">
      <c r="A70" s="6" t="inlineStr">
        <is>
          <t>BALM</t>
        </is>
      </c>
      <c r="B70" s="6" t="inlineStr">
        <is>
          <t>BD0066</t>
        </is>
      </c>
      <c r="C70" s="6" t="inlineStr">
        <is>
          <t>Corporate Note Series 06</t>
        </is>
      </c>
      <c r="D70" s="6" t="inlineStr">
        <is>
          <t>Bond</t>
        </is>
      </c>
      <c r="E70" s="9" t="n">
        <v>23000</v>
      </c>
      <c r="F70" s="10" t="n">
        <v>98.26300000000001</v>
      </c>
      <c r="G70" s="11">
        <f>E70*F70</f>
        <v/>
      </c>
      <c r="H70" s="6">
        <f>A70&amp;"|"&amp;B70</f>
        <v/>
      </c>
    </row>
    <row r="71">
      <c r="A71" s="6" t="inlineStr">
        <is>
          <t>BALM</t>
        </is>
      </c>
      <c r="B71" s="6" t="inlineStr">
        <is>
          <t>BD0076</t>
        </is>
      </c>
      <c r="C71" s="6" t="inlineStr">
        <is>
          <t>Corporate Note Series 16</t>
        </is>
      </c>
      <c r="D71" s="6" t="inlineStr">
        <is>
          <t>Bond</t>
        </is>
      </c>
      <c r="E71" s="9" t="n">
        <v>3000</v>
      </c>
      <c r="F71" s="10" t="n">
        <v>103.796</v>
      </c>
      <c r="G71" s="11">
        <f>E71*F71</f>
        <v/>
      </c>
      <c r="H71" s="6">
        <f>A71&amp;"|"&amp;B71</f>
        <v/>
      </c>
    </row>
    <row r="72">
      <c r="A72" s="6" t="inlineStr">
        <is>
          <t>BALM</t>
        </is>
      </c>
      <c r="B72" s="6" t="inlineStr">
        <is>
          <t>EQ0042</t>
        </is>
      </c>
      <c r="C72" s="6" t="inlineStr">
        <is>
          <t>Global Equity Holding 22</t>
        </is>
      </c>
      <c r="D72" s="6" t="inlineStr">
        <is>
          <t>Equity</t>
        </is>
      </c>
      <c r="E72" s="9" t="n">
        <v>33923</v>
      </c>
      <c r="F72" s="10" t="n">
        <v>431.84</v>
      </c>
      <c r="G72" s="11">
        <f>E72*F72</f>
        <v/>
      </c>
      <c r="H72" s="6">
        <f>A72&amp;"|"&amp;B72</f>
        <v/>
      </c>
    </row>
    <row r="73">
      <c r="A73" s="6" t="inlineStr">
        <is>
          <t>BALM</t>
        </is>
      </c>
      <c r="B73" s="6" t="inlineStr">
        <is>
          <t>BD0070</t>
        </is>
      </c>
      <c r="C73" s="6" t="inlineStr">
        <is>
          <t>Corporate Note Series 10</t>
        </is>
      </c>
      <c r="D73" s="6" t="inlineStr">
        <is>
          <t>Bond</t>
        </is>
      </c>
      <c r="E73" s="9" t="n">
        <v>24000</v>
      </c>
      <c r="F73" s="10" t="n">
        <v>98.381</v>
      </c>
      <c r="G73" s="11">
        <f>E73*F73</f>
        <v/>
      </c>
      <c r="H73" s="6">
        <f>A73&amp;"|"&amp;B73</f>
        <v/>
      </c>
    </row>
    <row r="74">
      <c r="A74" s="6" t="inlineStr">
        <is>
          <t>BALM</t>
        </is>
      </c>
      <c r="B74" s="6" t="inlineStr">
        <is>
          <t>EQ0037</t>
        </is>
      </c>
      <c r="C74" s="6" t="inlineStr">
        <is>
          <t>Global Equity Holding 17</t>
        </is>
      </c>
      <c r="D74" s="6" t="inlineStr">
        <is>
          <t>Equity</t>
        </is>
      </c>
      <c r="E74" s="9" t="n">
        <v>59120</v>
      </c>
      <c r="F74" s="10" t="n">
        <v>77.65000000000001</v>
      </c>
      <c r="G74" s="11">
        <f>E74*F74</f>
        <v/>
      </c>
      <c r="H74" s="6">
        <f>A74&amp;"|"&amp;B74</f>
        <v/>
      </c>
    </row>
    <row r="75">
      <c r="A75" s="6" t="inlineStr">
        <is>
          <t>BALM</t>
        </is>
      </c>
      <c r="B75" s="6" t="inlineStr">
        <is>
          <t>EQ0020</t>
        </is>
      </c>
      <c r="C75" s="6" t="inlineStr">
        <is>
          <t>Nvidia Corp</t>
        </is>
      </c>
      <c r="D75" s="6" t="inlineStr">
        <is>
          <t>Equity</t>
        </is>
      </c>
      <c r="E75" s="9" t="n">
        <v>3629</v>
      </c>
      <c r="F75" s="10" t="n">
        <v>358.34</v>
      </c>
      <c r="G75" s="11">
        <f>E75*F75</f>
        <v/>
      </c>
      <c r="H75" s="6">
        <f>A75&amp;"|"&amp;B75</f>
        <v/>
      </c>
    </row>
    <row r="76">
      <c r="A76" s="6" t="inlineStr">
        <is>
          <t>BALM</t>
        </is>
      </c>
      <c r="B76" s="6" t="inlineStr">
        <is>
          <t>EQ0001</t>
        </is>
      </c>
      <c r="C76" s="6" t="inlineStr">
        <is>
          <t>Apple Inc</t>
        </is>
      </c>
      <c r="D76" s="6" t="inlineStr">
        <is>
          <t>Equity</t>
        </is>
      </c>
      <c r="E76" s="9" t="n">
        <v>22567</v>
      </c>
      <c r="F76" s="10" t="n">
        <v>189.47</v>
      </c>
      <c r="G76" s="11">
        <f>E76*F76</f>
        <v/>
      </c>
      <c r="H76" s="6">
        <f>A76&amp;"|"&amp;B76</f>
        <v/>
      </c>
    </row>
    <row r="77">
      <c r="A77" s="6" t="inlineStr">
        <is>
          <t>BALM</t>
        </is>
      </c>
      <c r="B77" s="6" t="inlineStr">
        <is>
          <t>EQ0016</t>
        </is>
      </c>
      <c r="C77" s="6" t="inlineStr">
        <is>
          <t>TSMC ADR</t>
        </is>
      </c>
      <c r="D77" s="6" t="inlineStr">
        <is>
          <t>Equity</t>
        </is>
      </c>
      <c r="E77" s="9" t="n">
        <v>52653</v>
      </c>
      <c r="F77" s="10" t="n">
        <v>173.92</v>
      </c>
      <c r="G77" s="11">
        <f>E77*F77</f>
        <v/>
      </c>
      <c r="H77" s="6">
        <f>A77&amp;"|"&amp;B77</f>
        <v/>
      </c>
    </row>
    <row r="78">
      <c r="A78" s="6" t="inlineStr">
        <is>
          <t>BALM</t>
        </is>
      </c>
      <c r="B78" s="6" t="inlineStr">
        <is>
          <t>EQ0004</t>
        </is>
      </c>
      <c r="C78" s="6" t="inlineStr">
        <is>
          <t>Toyota Motor</t>
        </is>
      </c>
      <c r="D78" s="6" t="inlineStr">
        <is>
          <t>Equity</t>
        </is>
      </c>
      <c r="E78" s="9" t="n">
        <v>53394</v>
      </c>
      <c r="F78" s="10" t="n">
        <v>318.01</v>
      </c>
      <c r="G78" s="11">
        <f>E78*F78</f>
        <v/>
      </c>
      <c r="H78" s="6">
        <f>A78&amp;"|"&amp;B78</f>
        <v/>
      </c>
    </row>
    <row r="79">
      <c r="A79" s="6" t="inlineStr">
        <is>
          <t>BALM</t>
        </is>
      </c>
      <c r="B79" s="6" t="inlineStr">
        <is>
          <t>EQ0046</t>
        </is>
      </c>
      <c r="C79" s="6" t="inlineStr">
        <is>
          <t>Global Equity Holding 26</t>
        </is>
      </c>
      <c r="D79" s="6" t="inlineStr">
        <is>
          <t>Equity</t>
        </is>
      </c>
      <c r="E79" s="9" t="n">
        <v>20078</v>
      </c>
      <c r="F79" s="10" t="n">
        <v>52.09</v>
      </c>
      <c r="G79" s="11">
        <f>E79*F79</f>
        <v/>
      </c>
      <c r="H79" s="6">
        <f>A79&amp;"|"&amp;B79</f>
        <v/>
      </c>
    </row>
    <row r="80">
      <c r="A80" s="6" t="inlineStr">
        <is>
          <t>BALM</t>
        </is>
      </c>
      <c r="B80" s="6" t="inlineStr">
        <is>
          <t>EQ0036</t>
        </is>
      </c>
      <c r="C80" s="6" t="inlineStr">
        <is>
          <t>Global Equity Holding 16</t>
        </is>
      </c>
      <c r="D80" s="6" t="inlineStr">
        <is>
          <t>Equity</t>
        </is>
      </c>
      <c r="E80" s="9" t="n">
        <v>15084</v>
      </c>
      <c r="F80" s="10" t="n">
        <v>465.63</v>
      </c>
      <c r="G80" s="11">
        <f>E80*F80</f>
        <v/>
      </c>
      <c r="H80" s="6">
        <f>A80&amp;"|"&amp;B80</f>
        <v/>
      </c>
    </row>
    <row r="81">
      <c r="A81" s="6" t="inlineStr">
        <is>
          <t>BALM</t>
        </is>
      </c>
      <c r="B81" s="6" t="inlineStr">
        <is>
          <t>EQ0018</t>
        </is>
      </c>
      <c r="C81" s="6" t="inlineStr">
        <is>
          <t>Amazon.com</t>
        </is>
      </c>
      <c r="D81" s="6" t="inlineStr">
        <is>
          <t>Equity</t>
        </is>
      </c>
      <c r="E81" s="9" t="n">
        <v>24613</v>
      </c>
      <c r="F81" s="10" t="n">
        <v>97.81999999999999</v>
      </c>
      <c r="G81" s="11">
        <f>E81*F81</f>
        <v/>
      </c>
      <c r="H81" s="6">
        <f>A81&amp;"|"&amp;B81</f>
        <v/>
      </c>
    </row>
    <row r="82">
      <c r="A82" s="6" t="inlineStr">
        <is>
          <t>BALM</t>
        </is>
      </c>
      <c r="B82" s="6" t="inlineStr">
        <is>
          <t>ET0085</t>
        </is>
      </c>
      <c r="C82" s="6" t="inlineStr">
        <is>
          <t>iShares US Treasury</t>
        </is>
      </c>
      <c r="D82" s="6" t="inlineStr">
        <is>
          <t>ETF</t>
        </is>
      </c>
      <c r="E82" s="9" t="n">
        <v>18231</v>
      </c>
      <c r="F82" s="10" t="n">
        <v>110.76</v>
      </c>
      <c r="G82" s="11">
        <f>E82*F82</f>
        <v/>
      </c>
      <c r="H82" s="6">
        <f>A82&amp;"|"&amp;B82</f>
        <v/>
      </c>
    </row>
    <row r="83">
      <c r="A83" s="6" t="inlineStr">
        <is>
          <t>BALM</t>
        </is>
      </c>
      <c r="B83" s="6" t="inlineStr">
        <is>
          <t>BD0075</t>
        </is>
      </c>
      <c r="C83" s="6" t="inlineStr">
        <is>
          <t>Corporate Note Series 15</t>
        </is>
      </c>
      <c r="D83" s="6" t="inlineStr">
        <is>
          <t>Bond</t>
        </is>
      </c>
      <c r="E83" s="9" t="n">
        <v>8000</v>
      </c>
      <c r="F83" s="10" t="n">
        <v>104.112</v>
      </c>
      <c r="G83" s="11">
        <f>E83*F83</f>
        <v/>
      </c>
      <c r="H83" s="6">
        <f>A83&amp;"|"&amp;B83</f>
        <v/>
      </c>
    </row>
    <row r="84">
      <c r="A84" s="6" t="inlineStr">
        <is>
          <t>BALM</t>
        </is>
      </c>
      <c r="B84" s="6" t="inlineStr">
        <is>
          <t>EQ0041</t>
        </is>
      </c>
      <c r="C84" s="6" t="inlineStr">
        <is>
          <t>Global Equity Holding 21</t>
        </is>
      </c>
      <c r="D84" s="6" t="inlineStr">
        <is>
          <t>Equity</t>
        </is>
      </c>
      <c r="E84" s="9" t="n">
        <v>8524</v>
      </c>
      <c r="F84" s="10" t="n">
        <v>462.43</v>
      </c>
      <c r="G84" s="11">
        <f>E84*F84</f>
        <v/>
      </c>
      <c r="H84" s="6">
        <f>A84&amp;"|"&amp;B84</f>
        <v/>
      </c>
    </row>
    <row r="85">
      <c r="A85" s="6" t="inlineStr">
        <is>
          <t>BALM</t>
        </is>
      </c>
      <c r="B85" s="6" t="inlineStr">
        <is>
          <t>EQ0047</t>
        </is>
      </c>
      <c r="C85" s="6" t="inlineStr">
        <is>
          <t>Global Equity Holding 27</t>
        </is>
      </c>
      <c r="D85" s="6" t="inlineStr">
        <is>
          <t>Equity</t>
        </is>
      </c>
      <c r="E85" s="9" t="n">
        <v>27239</v>
      </c>
      <c r="F85" s="10" t="n">
        <v>44.64</v>
      </c>
      <c r="G85" s="11">
        <f>E85*F85</f>
        <v/>
      </c>
      <c r="H85" s="6">
        <f>A85&amp;"|"&amp;B85</f>
        <v/>
      </c>
    </row>
    <row r="86">
      <c r="A86" s="6" t="inlineStr">
        <is>
          <t>BALM</t>
        </is>
      </c>
      <c r="B86" s="6" t="inlineStr">
        <is>
          <t>EQ0015</t>
        </is>
      </c>
      <c r="C86" s="6" t="inlineStr">
        <is>
          <t>Sony Group</t>
        </is>
      </c>
      <c r="D86" s="6" t="inlineStr">
        <is>
          <t>Equity</t>
        </is>
      </c>
      <c r="E86" s="9" t="n">
        <v>55891</v>
      </c>
      <c r="F86" s="10" t="n">
        <v>187.99</v>
      </c>
      <c r="G86" s="11">
        <f>E86*F86</f>
        <v/>
      </c>
      <c r="H86" s="6">
        <f>A86&amp;"|"&amp;B86</f>
        <v/>
      </c>
    </row>
    <row r="87">
      <c r="A87" s="6" t="inlineStr">
        <is>
          <t>BALM</t>
        </is>
      </c>
      <c r="B87" s="6" t="inlineStr">
        <is>
          <t>ET0081</t>
        </is>
      </c>
      <c r="C87" s="6" t="inlineStr">
        <is>
          <t>iShares Core MSCI World</t>
        </is>
      </c>
      <c r="D87" s="6" t="inlineStr">
        <is>
          <t>ETF</t>
        </is>
      </c>
      <c r="E87" s="9" t="n">
        <v>44019</v>
      </c>
      <c r="F87" s="10" t="n">
        <v>76.18000000000001</v>
      </c>
      <c r="G87" s="11">
        <f>E87*F87</f>
        <v/>
      </c>
      <c r="H87" s="6">
        <f>A87&amp;"|"&amp;B87</f>
        <v/>
      </c>
    </row>
    <row r="88">
      <c r="A88" s="6" t="inlineStr">
        <is>
          <t>BALM</t>
        </is>
      </c>
      <c r="B88" s="6" t="inlineStr">
        <is>
          <t>EQ0024</t>
        </is>
      </c>
      <c r="C88" s="6" t="inlineStr">
        <is>
          <t>Global Equity Holding 04</t>
        </is>
      </c>
      <c r="D88" s="6" t="inlineStr">
        <is>
          <t>Equity</t>
        </is>
      </c>
      <c r="E88" s="9" t="n">
        <v>6008</v>
      </c>
      <c r="F88" s="10" t="n">
        <v>73.26000000000001</v>
      </c>
      <c r="G88" s="11">
        <f>E88*F88</f>
        <v/>
      </c>
      <c r="H88" s="6">
        <f>A88&amp;"|"&amp;B88</f>
        <v/>
      </c>
    </row>
    <row r="89">
      <c r="A89" s="6" t="inlineStr">
        <is>
          <t>BALM</t>
        </is>
      </c>
      <c r="B89" s="6" t="inlineStr">
        <is>
          <t>EQ0038</t>
        </is>
      </c>
      <c r="C89" s="6" t="inlineStr">
        <is>
          <t>Global Equity Holding 18</t>
        </is>
      </c>
      <c r="D89" s="6" t="inlineStr">
        <is>
          <t>Equity</t>
        </is>
      </c>
      <c r="E89" s="9" t="n">
        <v>9378</v>
      </c>
      <c r="F89" s="10" t="n">
        <v>98.34999999999999</v>
      </c>
      <c r="G89" s="11">
        <f>E89*F89</f>
        <v/>
      </c>
      <c r="H89" s="6">
        <f>A89&amp;"|"&amp;B89</f>
        <v/>
      </c>
    </row>
    <row r="90">
      <c r="A90" s="6" t="inlineStr">
        <is>
          <t>BALM</t>
        </is>
      </c>
      <c r="B90" s="6" t="inlineStr">
        <is>
          <t>EQ0010</t>
        </is>
      </c>
      <c r="C90" s="6" t="inlineStr">
        <is>
          <t>LVMH</t>
        </is>
      </c>
      <c r="D90" s="6" t="inlineStr">
        <is>
          <t>Equity</t>
        </is>
      </c>
      <c r="E90" s="9" t="n">
        <v>3638</v>
      </c>
      <c r="F90" s="10" t="n">
        <v>46.39</v>
      </c>
      <c r="G90" s="11">
        <f>E90*F90</f>
        <v/>
      </c>
      <c r="H90" s="6">
        <f>A90&amp;"|"&amp;B90</f>
        <v/>
      </c>
    </row>
    <row r="91">
      <c r="A91" s="6" t="inlineStr">
        <is>
          <t>BALM</t>
        </is>
      </c>
      <c r="B91" s="6" t="inlineStr">
        <is>
          <t>BD0061</t>
        </is>
      </c>
      <c r="C91" s="6" t="inlineStr">
        <is>
          <t>Corporate Note Series 01</t>
        </is>
      </c>
      <c r="D91" s="6" t="inlineStr">
        <is>
          <t>Bond</t>
        </is>
      </c>
      <c r="E91" s="9" t="n">
        <v>38000</v>
      </c>
      <c r="F91" s="10" t="n">
        <v>95.187</v>
      </c>
      <c r="G91" s="11">
        <f>E91*F91</f>
        <v/>
      </c>
      <c r="H91" s="6">
        <f>A91&amp;"|"&amp;B91</f>
        <v/>
      </c>
    </row>
    <row r="92">
      <c r="A92" s="6" t="inlineStr">
        <is>
          <t>BALM</t>
        </is>
      </c>
      <c r="B92" s="6" t="inlineStr">
        <is>
          <t>ET0084</t>
        </is>
      </c>
      <c r="C92" s="6" t="inlineStr">
        <is>
          <t>iShares EUR Corp Bond</t>
        </is>
      </c>
      <c r="D92" s="6" t="inlineStr">
        <is>
          <t>ETF</t>
        </is>
      </c>
      <c r="E92" s="9" t="n">
        <v>30746</v>
      </c>
      <c r="F92" s="10" t="n">
        <v>38.91</v>
      </c>
      <c r="G92" s="11">
        <f>E92*F92</f>
        <v/>
      </c>
      <c r="H92" s="6">
        <f>A92&amp;"|"&amp;B92</f>
        <v/>
      </c>
    </row>
    <row r="93">
      <c r="A93" s="6" t="inlineStr">
        <is>
          <t>BALM</t>
        </is>
      </c>
      <c r="B93" s="6" t="inlineStr">
        <is>
          <t>BD0058</t>
        </is>
      </c>
      <c r="C93" s="6" t="inlineStr">
        <is>
          <t>JPM 4.0% 2031</t>
        </is>
      </c>
      <c r="D93" s="6" t="inlineStr">
        <is>
          <t>Bond</t>
        </is>
      </c>
      <c r="E93" s="9" t="n">
        <v>10000</v>
      </c>
      <c r="F93" s="10" t="n">
        <v>104.284</v>
      </c>
      <c r="G93" s="11">
        <f>E93*F93</f>
        <v/>
      </c>
      <c r="H93" s="6">
        <f>A93&amp;"|"&amp;B93</f>
        <v/>
      </c>
    </row>
    <row r="94">
      <c r="A94" s="6" t="inlineStr">
        <is>
          <t>BALM</t>
        </is>
      </c>
      <c r="B94" s="6" t="inlineStr">
        <is>
          <t>EQ0028</t>
        </is>
      </c>
      <c r="C94" s="6" t="inlineStr">
        <is>
          <t>Global Equity Holding 08</t>
        </is>
      </c>
      <c r="D94" s="6" t="inlineStr">
        <is>
          <t>Equity</t>
        </is>
      </c>
      <c r="E94" s="9" t="n">
        <v>56319</v>
      </c>
      <c r="F94" s="10" t="n">
        <v>238.72</v>
      </c>
      <c r="G94" s="11">
        <f>E94*F94</f>
        <v/>
      </c>
      <c r="H94" s="6">
        <f>A94&amp;"|"&amp;B94</f>
        <v/>
      </c>
    </row>
    <row r="95">
      <c r="A95" s="6" t="inlineStr">
        <is>
          <t>BALM</t>
        </is>
      </c>
      <c r="B95" s="6" t="inlineStr">
        <is>
          <t>BD0080</t>
        </is>
      </c>
      <c r="C95" s="6" t="inlineStr">
        <is>
          <t>Corporate Note Series 20</t>
        </is>
      </c>
      <c r="D95" s="6" t="inlineStr">
        <is>
          <t>Bond</t>
        </is>
      </c>
      <c r="E95" s="9" t="n">
        <v>2000</v>
      </c>
      <c r="F95" s="10" t="n">
        <v>106.99</v>
      </c>
      <c r="G95" s="11">
        <f>E95*F95</f>
        <v/>
      </c>
      <c r="H95" s="6">
        <f>A95&amp;"|"&amp;B95</f>
        <v/>
      </c>
    </row>
    <row r="96">
      <c r="A96" s="6" t="inlineStr">
        <is>
          <t>BALM</t>
        </is>
      </c>
      <c r="B96" s="6" t="inlineStr">
        <is>
          <t>ET0083</t>
        </is>
      </c>
      <c r="C96" s="6" t="inlineStr">
        <is>
          <t>SPDR Gold Shares</t>
        </is>
      </c>
      <c r="D96" s="6" t="inlineStr">
        <is>
          <t>ETF</t>
        </is>
      </c>
      <c r="E96" s="9" t="n">
        <v>3342</v>
      </c>
      <c r="F96" s="10" t="n">
        <v>63.83</v>
      </c>
      <c r="G96" s="11">
        <f>E96*F96</f>
        <v/>
      </c>
      <c r="H96" s="6">
        <f>A96&amp;"|"&amp;B96</f>
        <v/>
      </c>
    </row>
    <row r="97">
      <c r="A97" s="6" t="inlineStr">
        <is>
          <t>BALM</t>
        </is>
      </c>
      <c r="B97" s="6" t="inlineStr">
        <is>
          <t>EQ0003</t>
        </is>
      </c>
      <c r="C97" s="6" t="inlineStr">
        <is>
          <t>Nestle SA</t>
        </is>
      </c>
      <c r="D97" s="6" t="inlineStr">
        <is>
          <t>Equity</t>
        </is>
      </c>
      <c r="E97" s="9" t="n">
        <v>32573</v>
      </c>
      <c r="F97" s="10" t="n">
        <v>430.74</v>
      </c>
      <c r="G97" s="11">
        <f>E97*F97</f>
        <v/>
      </c>
      <c r="H97" s="6">
        <f>A97&amp;"|"&amp;B97</f>
        <v/>
      </c>
    </row>
    <row r="98">
      <c r="A98" s="6" t="inlineStr">
        <is>
          <t>BALM</t>
        </is>
      </c>
      <c r="B98" s="6" t="inlineStr">
        <is>
          <t>EQ0014</t>
        </is>
      </c>
      <c r="C98" s="6" t="inlineStr">
        <is>
          <t>Siemens AG</t>
        </is>
      </c>
      <c r="D98" s="6" t="inlineStr">
        <is>
          <t>Equity</t>
        </is>
      </c>
      <c r="E98" s="9" t="n">
        <v>49475</v>
      </c>
      <c r="F98" s="10" t="n">
        <v>302.27</v>
      </c>
      <c r="G98" s="11">
        <f>E98*F98</f>
        <v/>
      </c>
      <c r="H98" s="6">
        <f>A98&amp;"|"&amp;B98</f>
        <v/>
      </c>
    </row>
    <row r="99">
      <c r="A99" s="6" t="inlineStr">
        <is>
          <t>BALM</t>
        </is>
      </c>
      <c r="B99" s="6" t="inlineStr">
        <is>
          <t>CASH_USD_BALM</t>
        </is>
      </c>
      <c r="C99" s="6" t="inlineStr">
        <is>
          <t>USD Cash</t>
        </is>
      </c>
      <c r="D99" s="6" t="inlineStr">
        <is>
          <t>Cash</t>
        </is>
      </c>
      <c r="E99" s="9" t="n">
        <v>4790216.04</v>
      </c>
      <c r="F99" s="10" t="n">
        <v>1</v>
      </c>
      <c r="G99" s="11">
        <f>E99*F99</f>
        <v/>
      </c>
      <c r="H99" s="6">
        <f>A99&amp;"|"&amp;B99</f>
        <v/>
      </c>
    </row>
    <row r="100">
      <c r="A100" s="6" t="inlineStr">
        <is>
          <t>MMUS</t>
        </is>
      </c>
      <c r="B100" s="6" t="inlineStr">
        <is>
          <t>ET0083</t>
        </is>
      </c>
      <c r="C100" s="6" t="inlineStr">
        <is>
          <t>SPDR Gold Shares</t>
        </is>
      </c>
      <c r="D100" s="6" t="inlineStr">
        <is>
          <t>ETF</t>
        </is>
      </c>
      <c r="E100" s="9" t="n">
        <v>25407</v>
      </c>
      <c r="F100" s="10" t="n">
        <v>79.64</v>
      </c>
      <c r="G100" s="11">
        <f>E100*F100</f>
        <v/>
      </c>
      <c r="H100" s="6">
        <f>A100&amp;"|"&amp;B100</f>
        <v/>
      </c>
    </row>
    <row r="101">
      <c r="A101" s="6" t="inlineStr">
        <is>
          <t>MMUS</t>
        </is>
      </c>
      <c r="B101" s="6" t="inlineStr">
        <is>
          <t>BD0065</t>
        </is>
      </c>
      <c r="C101" s="6" t="inlineStr">
        <is>
          <t>Corporate Note Series 05</t>
        </is>
      </c>
      <c r="D101" s="6" t="inlineStr">
        <is>
          <t>Bond</t>
        </is>
      </c>
      <c r="E101" s="9" t="n">
        <v>26000</v>
      </c>
      <c r="F101" s="10" t="n">
        <v>104.082</v>
      </c>
      <c r="G101" s="11">
        <f>E101*F101</f>
        <v/>
      </c>
      <c r="H101" s="6">
        <f>A101&amp;"|"&amp;B101</f>
        <v/>
      </c>
    </row>
    <row r="102">
      <c r="A102" s="6" t="inlineStr">
        <is>
          <t>MMUS</t>
        </is>
      </c>
      <c r="B102" s="6" t="inlineStr">
        <is>
          <t>BD0064</t>
        </is>
      </c>
      <c r="C102" s="6" t="inlineStr">
        <is>
          <t>Corporate Note Series 04</t>
        </is>
      </c>
      <c r="D102" s="6" t="inlineStr">
        <is>
          <t>Bond</t>
        </is>
      </c>
      <c r="E102" s="9" t="n">
        <v>20000</v>
      </c>
      <c r="F102" s="10" t="n">
        <v>99.834</v>
      </c>
      <c r="G102" s="11">
        <f>E102*F102</f>
        <v/>
      </c>
      <c r="H102" s="6">
        <f>A102&amp;"|"&amp;B102</f>
        <v/>
      </c>
    </row>
    <row r="103">
      <c r="A103" s="6" t="inlineStr">
        <is>
          <t>MMUS</t>
        </is>
      </c>
      <c r="B103" s="6" t="inlineStr">
        <is>
          <t>BD0052</t>
        </is>
      </c>
      <c r="C103" s="6" t="inlineStr">
        <is>
          <t>US Treasury 3.0% 2033</t>
        </is>
      </c>
      <c r="D103" s="6" t="inlineStr">
        <is>
          <t>Bond</t>
        </is>
      </c>
      <c r="E103" s="9" t="n">
        <v>23000</v>
      </c>
      <c r="F103" s="10" t="n">
        <v>94.535</v>
      </c>
      <c r="G103" s="11">
        <f>E103*F103</f>
        <v/>
      </c>
      <c r="H103" s="6">
        <f>A103&amp;"|"&amp;B103</f>
        <v/>
      </c>
    </row>
    <row r="104">
      <c r="A104" s="6" t="inlineStr">
        <is>
          <t>MMUS</t>
        </is>
      </c>
      <c r="B104" s="6" t="inlineStr">
        <is>
          <t>BD0080</t>
        </is>
      </c>
      <c r="C104" s="6" t="inlineStr">
        <is>
          <t>Corporate Note Series 20</t>
        </is>
      </c>
      <c r="D104" s="6" t="inlineStr">
        <is>
          <t>Bond</t>
        </is>
      </c>
      <c r="E104" s="9" t="n">
        <v>30000</v>
      </c>
      <c r="F104" s="10" t="n">
        <v>102.711</v>
      </c>
      <c r="G104" s="11">
        <f>E104*F104</f>
        <v/>
      </c>
      <c r="H104" s="6">
        <f>A104&amp;"|"&amp;B104</f>
        <v/>
      </c>
    </row>
    <row r="105">
      <c r="A105" s="6" t="inlineStr">
        <is>
          <t>MMUS</t>
        </is>
      </c>
      <c r="B105" s="6" t="inlineStr">
        <is>
          <t>BD0066</t>
        </is>
      </c>
      <c r="C105" s="6" t="inlineStr">
        <is>
          <t>Corporate Note Series 06</t>
        </is>
      </c>
      <c r="D105" s="6" t="inlineStr">
        <is>
          <t>Bond</t>
        </is>
      </c>
      <c r="E105" s="9" t="n">
        <v>11000</v>
      </c>
      <c r="F105" s="10" t="n">
        <v>105.826</v>
      </c>
      <c r="G105" s="11">
        <f>E105*F105</f>
        <v/>
      </c>
      <c r="H105" s="6">
        <f>A105&amp;"|"&amp;B105</f>
        <v/>
      </c>
    </row>
    <row r="106">
      <c r="A106" s="6" t="inlineStr">
        <is>
          <t>MMUS</t>
        </is>
      </c>
      <c r="B106" s="6" t="inlineStr">
        <is>
          <t>BD0078</t>
        </is>
      </c>
      <c r="C106" s="6" t="inlineStr">
        <is>
          <t>Corporate Note Series 18</t>
        </is>
      </c>
      <c r="D106" s="6" t="inlineStr">
        <is>
          <t>Bond</t>
        </is>
      </c>
      <c r="E106" s="9" t="n">
        <v>30000</v>
      </c>
      <c r="F106" s="10" t="n">
        <v>104.954</v>
      </c>
      <c r="G106" s="11">
        <f>E106*F106</f>
        <v/>
      </c>
      <c r="H106" s="6">
        <f>A106&amp;"|"&amp;B106</f>
        <v/>
      </c>
    </row>
    <row r="107">
      <c r="A107" s="6" t="inlineStr">
        <is>
          <t>MMUS</t>
        </is>
      </c>
      <c r="B107" s="6" t="inlineStr">
        <is>
          <t>BD0077</t>
        </is>
      </c>
      <c r="C107" s="6" t="inlineStr">
        <is>
          <t>Corporate Note Series 17</t>
        </is>
      </c>
      <c r="D107" s="6" t="inlineStr">
        <is>
          <t>Bond</t>
        </is>
      </c>
      <c r="E107" s="9" t="n">
        <v>35000</v>
      </c>
      <c r="F107" s="10" t="n">
        <v>100.637</v>
      </c>
      <c r="G107" s="11">
        <f>E107*F107</f>
        <v/>
      </c>
      <c r="H107" s="6">
        <f>A107&amp;"|"&amp;B107</f>
        <v/>
      </c>
    </row>
    <row r="108">
      <c r="A108" s="6" t="inlineStr">
        <is>
          <t>MMUS</t>
        </is>
      </c>
      <c r="B108" s="6" t="inlineStr">
        <is>
          <t>BD0063</t>
        </is>
      </c>
      <c r="C108" s="6" t="inlineStr">
        <is>
          <t>Corporate Note Series 03</t>
        </is>
      </c>
      <c r="D108" s="6" t="inlineStr">
        <is>
          <t>Bond</t>
        </is>
      </c>
      <c r="E108" s="9" t="n">
        <v>19000</v>
      </c>
      <c r="F108" s="10" t="n">
        <v>105.687</v>
      </c>
      <c r="G108" s="11">
        <f>E108*F108</f>
        <v/>
      </c>
      <c r="H108" s="6">
        <f>A108&amp;"|"&amp;B108</f>
        <v/>
      </c>
    </row>
    <row r="109">
      <c r="A109" s="6" t="inlineStr">
        <is>
          <t>MMUS</t>
        </is>
      </c>
      <c r="B109" s="6" t="inlineStr">
        <is>
          <t>BD0069</t>
        </is>
      </c>
      <c r="C109" s="6" t="inlineStr">
        <is>
          <t>Corporate Note Series 09</t>
        </is>
      </c>
      <c r="D109" s="6" t="inlineStr">
        <is>
          <t>Bond</t>
        </is>
      </c>
      <c r="E109" s="9" t="n">
        <v>13000</v>
      </c>
      <c r="F109" s="10" t="n">
        <v>101.938</v>
      </c>
      <c r="G109" s="11">
        <f>E109*F109</f>
        <v/>
      </c>
      <c r="H109" s="6">
        <f>A109&amp;"|"&amp;B109</f>
        <v/>
      </c>
    </row>
    <row r="110">
      <c r="A110" s="6" t="inlineStr">
        <is>
          <t>MMUS</t>
        </is>
      </c>
      <c r="B110" s="6" t="inlineStr">
        <is>
          <t>BD0051</t>
        </is>
      </c>
      <c r="C110" s="6" t="inlineStr">
        <is>
          <t>US Treasury 2.5% 2030</t>
        </is>
      </c>
      <c r="D110" s="6" t="inlineStr">
        <is>
          <t>Bond</t>
        </is>
      </c>
      <c r="E110" s="9" t="n">
        <v>18000</v>
      </c>
      <c r="F110" s="10" t="n">
        <v>94.798</v>
      </c>
      <c r="G110" s="11">
        <f>E110*F110</f>
        <v/>
      </c>
      <c r="H110" s="6">
        <f>A110&amp;"|"&amp;B110</f>
        <v/>
      </c>
    </row>
    <row r="111">
      <c r="A111" s="6" t="inlineStr">
        <is>
          <t>MMUS</t>
        </is>
      </c>
      <c r="B111" s="6" t="inlineStr">
        <is>
          <t>BD0054</t>
        </is>
      </c>
      <c r="C111" s="6" t="inlineStr">
        <is>
          <t>UK Gilt 4.25% 2032</t>
        </is>
      </c>
      <c r="D111" s="6" t="inlineStr">
        <is>
          <t>Bond</t>
        </is>
      </c>
      <c r="E111" s="9" t="n">
        <v>38000</v>
      </c>
      <c r="F111" s="10" t="n">
        <v>99.488</v>
      </c>
      <c r="G111" s="11">
        <f>E111*F111</f>
        <v/>
      </c>
      <c r="H111" s="6">
        <f>A111&amp;"|"&amp;B111</f>
        <v/>
      </c>
    </row>
    <row r="112">
      <c r="A112" s="6" t="inlineStr">
        <is>
          <t>MMUS</t>
        </is>
      </c>
      <c r="B112" s="6" t="inlineStr">
        <is>
          <t>BD0076</t>
        </is>
      </c>
      <c r="C112" s="6" t="inlineStr">
        <is>
          <t>Corporate Note Series 16</t>
        </is>
      </c>
      <c r="D112" s="6" t="inlineStr">
        <is>
          <t>Bond</t>
        </is>
      </c>
      <c r="E112" s="9" t="n">
        <v>23000</v>
      </c>
      <c r="F112" s="10" t="n">
        <v>98.366</v>
      </c>
      <c r="G112" s="11">
        <f>E112*F112</f>
        <v/>
      </c>
      <c r="H112" s="6">
        <f>A112&amp;"|"&amp;B112</f>
        <v/>
      </c>
    </row>
    <row r="113">
      <c r="A113" s="6" t="inlineStr">
        <is>
          <t>MMUS</t>
        </is>
      </c>
      <c r="B113" s="6" t="inlineStr">
        <is>
          <t>BD0056</t>
        </is>
      </c>
      <c r="C113" s="6" t="inlineStr">
        <is>
          <t>Microsoft 2.9% 2030</t>
        </is>
      </c>
      <c r="D113" s="6" t="inlineStr">
        <is>
          <t>Bond</t>
        </is>
      </c>
      <c r="E113" s="9" t="n">
        <v>32000</v>
      </c>
      <c r="F113" s="10" t="n">
        <v>94.03400000000001</v>
      </c>
      <c r="G113" s="11">
        <f>E113*F113</f>
        <v/>
      </c>
      <c r="H113" s="6">
        <f>A113&amp;"|"&amp;B113</f>
        <v/>
      </c>
    </row>
    <row r="114">
      <c r="A114" s="6" t="inlineStr">
        <is>
          <t>MMUS</t>
        </is>
      </c>
      <c r="B114" s="6" t="inlineStr">
        <is>
          <t>BD0071</t>
        </is>
      </c>
      <c r="C114" s="6" t="inlineStr">
        <is>
          <t>Corporate Note Series 11</t>
        </is>
      </c>
      <c r="D114" s="6" t="inlineStr">
        <is>
          <t>Bond</t>
        </is>
      </c>
      <c r="E114" s="9" t="n">
        <v>34000</v>
      </c>
      <c r="F114" s="10" t="n">
        <v>99.81999999999999</v>
      </c>
      <c r="G114" s="11">
        <f>E114*F114</f>
        <v/>
      </c>
      <c r="H114" s="6">
        <f>A114&amp;"|"&amp;B114</f>
        <v/>
      </c>
    </row>
    <row r="115">
      <c r="A115" s="6" t="inlineStr">
        <is>
          <t>MMUS</t>
        </is>
      </c>
      <c r="B115" s="6" t="inlineStr">
        <is>
          <t>ET0082</t>
        </is>
      </c>
      <c r="C115" s="6" t="inlineStr">
        <is>
          <t>Vanguard S&amp;P 500</t>
        </is>
      </c>
      <c r="D115" s="6" t="inlineStr">
        <is>
          <t>ETF</t>
        </is>
      </c>
      <c r="E115" s="9" t="n">
        <v>29852</v>
      </c>
      <c r="F115" s="10" t="n">
        <v>53.82</v>
      </c>
      <c r="G115" s="11">
        <f>E115*F115</f>
        <v/>
      </c>
      <c r="H115" s="6">
        <f>A115&amp;"|"&amp;B115</f>
        <v/>
      </c>
    </row>
    <row r="116">
      <c r="A116" s="6" t="inlineStr">
        <is>
          <t>MMUS</t>
        </is>
      </c>
      <c r="B116" s="6" t="inlineStr">
        <is>
          <t>ET0084</t>
        </is>
      </c>
      <c r="C116" s="6" t="inlineStr">
        <is>
          <t>iShares EUR Corp Bond</t>
        </is>
      </c>
      <c r="D116" s="6" t="inlineStr">
        <is>
          <t>ETF</t>
        </is>
      </c>
      <c r="E116" s="9" t="n">
        <v>52720</v>
      </c>
      <c r="F116" s="10" t="n">
        <v>66.29000000000001</v>
      </c>
      <c r="G116" s="11">
        <f>E116*F116</f>
        <v/>
      </c>
      <c r="H116" s="6">
        <f>A116&amp;"|"&amp;B116</f>
        <v/>
      </c>
    </row>
    <row r="117">
      <c r="A117" s="6" t="inlineStr">
        <is>
          <t>MMUS</t>
        </is>
      </c>
      <c r="B117" s="6" t="inlineStr">
        <is>
          <t>BD0067</t>
        </is>
      </c>
      <c r="C117" s="6" t="inlineStr">
        <is>
          <t>Corporate Note Series 07</t>
        </is>
      </c>
      <c r="D117" s="6" t="inlineStr">
        <is>
          <t>Bond</t>
        </is>
      </c>
      <c r="E117" s="9" t="n">
        <v>38000</v>
      </c>
      <c r="F117" s="10" t="n">
        <v>99.108</v>
      </c>
      <c r="G117" s="11">
        <f>E117*F117</f>
        <v/>
      </c>
      <c r="H117" s="6">
        <f>A117&amp;"|"&amp;B117</f>
        <v/>
      </c>
    </row>
    <row r="118">
      <c r="A118" s="6" t="inlineStr">
        <is>
          <t>MMUS</t>
        </is>
      </c>
      <c r="B118" s="6" t="inlineStr">
        <is>
          <t>BD0057</t>
        </is>
      </c>
      <c r="C118" s="6" t="inlineStr">
        <is>
          <t>Shell 2.5% 2028</t>
        </is>
      </c>
      <c r="D118" s="6" t="inlineStr">
        <is>
          <t>Bond</t>
        </is>
      </c>
      <c r="E118" s="9" t="n">
        <v>4000</v>
      </c>
      <c r="F118" s="10" t="n">
        <v>96.738</v>
      </c>
      <c r="G118" s="11">
        <f>E118*F118</f>
        <v/>
      </c>
      <c r="H118" s="6">
        <f>A118&amp;"|"&amp;B118</f>
        <v/>
      </c>
    </row>
    <row r="119">
      <c r="A119" s="6" t="inlineStr">
        <is>
          <t>MMUS</t>
        </is>
      </c>
      <c r="B119" s="6" t="inlineStr">
        <is>
          <t>BD0059</t>
        </is>
      </c>
      <c r="C119" s="6" t="inlineStr">
        <is>
          <t>Toyota 2.1% 2027</t>
        </is>
      </c>
      <c r="D119" s="6" t="inlineStr">
        <is>
          <t>Bond</t>
        </is>
      </c>
      <c r="E119" s="9" t="n">
        <v>26000</v>
      </c>
      <c r="F119" s="10" t="n">
        <v>106.949</v>
      </c>
      <c r="G119" s="11">
        <f>E119*F119</f>
        <v/>
      </c>
      <c r="H119" s="6">
        <f>A119&amp;"|"&amp;B119</f>
        <v/>
      </c>
    </row>
    <row r="120">
      <c r="A120" s="6" t="inlineStr">
        <is>
          <t>MMUS</t>
        </is>
      </c>
      <c r="B120" s="6" t="inlineStr">
        <is>
          <t>BD0061</t>
        </is>
      </c>
      <c r="C120" s="6" t="inlineStr">
        <is>
          <t>Corporate Note Series 01</t>
        </is>
      </c>
      <c r="D120" s="6" t="inlineStr">
        <is>
          <t>Bond</t>
        </is>
      </c>
      <c r="E120" s="9" t="n">
        <v>5000</v>
      </c>
      <c r="F120" s="10" t="n">
        <v>99.179</v>
      </c>
      <c r="G120" s="11">
        <f>E120*F120</f>
        <v/>
      </c>
      <c r="H120" s="6">
        <f>A120&amp;"|"&amp;B120</f>
        <v/>
      </c>
    </row>
    <row r="121">
      <c r="A121" s="6" t="inlineStr">
        <is>
          <t>MMUS</t>
        </is>
      </c>
      <c r="B121" s="6" t="inlineStr">
        <is>
          <t>BD0060</t>
        </is>
      </c>
      <c r="C121" s="6" t="inlineStr">
        <is>
          <t>France OAT 2.0% 2032</t>
        </is>
      </c>
      <c r="D121" s="6" t="inlineStr">
        <is>
          <t>Bond</t>
        </is>
      </c>
      <c r="E121" s="9" t="n">
        <v>2000</v>
      </c>
      <c r="F121" s="10" t="n">
        <v>100.206</v>
      </c>
      <c r="G121" s="11">
        <f>E121*F121</f>
        <v/>
      </c>
      <c r="H121" s="6">
        <f>A121&amp;"|"&amp;B121</f>
        <v/>
      </c>
    </row>
    <row r="122">
      <c r="A122" s="6" t="inlineStr">
        <is>
          <t>MMUS</t>
        </is>
      </c>
      <c r="B122" s="6" t="inlineStr">
        <is>
          <t>BD0058</t>
        </is>
      </c>
      <c r="C122" s="6" t="inlineStr">
        <is>
          <t>JPM 4.0% 2031</t>
        </is>
      </c>
      <c r="D122" s="6" t="inlineStr">
        <is>
          <t>Bond</t>
        </is>
      </c>
      <c r="E122" s="9" t="n">
        <v>12000</v>
      </c>
      <c r="F122" s="10" t="n">
        <v>106.985</v>
      </c>
      <c r="G122" s="11">
        <f>E122*F122</f>
        <v/>
      </c>
      <c r="H122" s="6">
        <f>A122&amp;"|"&amp;B122</f>
        <v/>
      </c>
    </row>
    <row r="123">
      <c r="A123" s="6" t="inlineStr">
        <is>
          <t>MMUS</t>
        </is>
      </c>
      <c r="B123" s="6" t="inlineStr">
        <is>
          <t>CASH_USD_MMUS</t>
        </is>
      </c>
      <c r="C123" s="6" t="inlineStr">
        <is>
          <t>USD Cash</t>
        </is>
      </c>
      <c r="D123" s="6" t="inlineStr">
        <is>
          <t>Cash</t>
        </is>
      </c>
      <c r="E123" s="9" t="n">
        <v>2444128.88</v>
      </c>
      <c r="F123" s="10" t="n">
        <v>1</v>
      </c>
      <c r="G123" s="11">
        <f>E123*F123</f>
        <v/>
      </c>
      <c r="H123" s="6">
        <f>A123&amp;"|"&amp;B123</f>
        <v/>
      </c>
    </row>
    <row r="124">
      <c r="A124" s="6" t="inlineStr">
        <is>
          <t>BALM</t>
        </is>
      </c>
      <c r="B124" s="6" t="inlineStr">
        <is>
          <t>EQ0005</t>
        </is>
      </c>
      <c r="C124" s="6" t="inlineStr">
        <is>
          <t>HSBC Holdings</t>
        </is>
      </c>
      <c r="D124" s="6" t="inlineStr">
        <is>
          <t>Equity</t>
        </is>
      </c>
      <c r="E124" s="9" t="n">
        <v>35135</v>
      </c>
      <c r="F124" s="10" t="n">
        <v>462.68</v>
      </c>
      <c r="G124" s="11">
        <f>E124*F124</f>
        <v/>
      </c>
      <c r="H124" s="6">
        <f>A124&amp;"|"&amp;B124</f>
        <v/>
      </c>
    </row>
    <row r="125">
      <c r="A125" s="6" t="inlineStr">
        <is>
          <t>EQGL</t>
        </is>
      </c>
      <c r="B125" s="6" t="inlineStr">
        <is>
          <t>EQ0001</t>
        </is>
      </c>
      <c r="C125" s="6" t="inlineStr">
        <is>
          <t>Apple Inc</t>
        </is>
      </c>
      <c r="D125" s="6" t="inlineStr">
        <is>
          <t>Equity</t>
        </is>
      </c>
      <c r="E125" s="9" t="n">
        <v>56458</v>
      </c>
      <c r="F125" s="10" t="n">
        <v>69.42</v>
      </c>
      <c r="G125" s="11">
        <f>E125*F125</f>
        <v/>
      </c>
      <c r="H125" s="6">
        <f>A125&amp;"|"&amp;B125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34" customWidth="1" min="4" max="4"/>
  </cols>
  <sheetData>
    <row r="1">
      <c r="A1" s="5" t="inlineStr">
        <is>
          <t>Key</t>
        </is>
      </c>
      <c r="B1" s="5" t="inlineStr">
        <is>
          <t>FirstIdentified</t>
        </is>
      </c>
      <c r="C1" s="5" t="inlineStr">
        <is>
          <t>Status</t>
        </is>
      </c>
      <c r="D1" s="5" t="inlineStr">
        <is>
          <t>Comment</t>
        </is>
      </c>
    </row>
    <row r="2">
      <c r="A2" s="6" t="inlineStr">
        <is>
          <t>EQGL|ET0081</t>
        </is>
      </c>
      <c r="B2" s="7" t="n">
        <v>46199</v>
      </c>
      <c r="C2" s="8" t="inlineStr">
        <is>
          <t>Open</t>
        </is>
      </c>
      <c r="D2" s="6" t="inlineStr">
        <is>
          <t>Unsettled trade - qty mismatch</t>
        </is>
      </c>
    </row>
    <row r="3">
      <c r="A3" s="6" t="inlineStr">
        <is>
          <t>BALM|EQ0047</t>
        </is>
      </c>
      <c r="B3" s="7" t="n">
        <v>46194</v>
      </c>
      <c r="C3" s="8" t="inlineStr">
        <is>
          <t>Investigating</t>
        </is>
      </c>
      <c r="D3" s="6" t="inlineStr">
        <is>
          <t>Unsettled trade - qty mismatch</t>
        </is>
      </c>
    </row>
    <row r="4">
      <c r="A4" s="6" t="inlineStr">
        <is>
          <t>FIIG|BD0053</t>
        </is>
      </c>
      <c r="B4" s="7" t="n">
        <v>46197</v>
      </c>
      <c r="C4" s="8" t="inlineStr">
        <is>
          <t>Open</t>
        </is>
      </c>
      <c r="D4" s="6" t="inlineStr">
        <is>
          <t>Stale price - custodian vs vendor</t>
        </is>
      </c>
    </row>
    <row r="5">
      <c r="A5" s="6" t="inlineStr">
        <is>
          <t>BALM|BD0058</t>
        </is>
      </c>
      <c r="B5" s="7" t="n">
        <v>46188</v>
      </c>
      <c r="C5" s="8" t="inlineStr">
        <is>
          <t>Investigating</t>
        </is>
      </c>
      <c r="D5" s="6" t="inlineStr">
        <is>
          <t>Stale price - custodian vs vendor</t>
        </is>
      </c>
    </row>
    <row r="6">
      <c r="A6" s="6" t="inlineStr">
        <is>
          <t>EQGL|EQ0034</t>
        </is>
      </c>
      <c r="B6" s="7" t="n">
        <v>46201</v>
      </c>
      <c r="C6" s="8" t="inlineStr">
        <is>
          <t>Open</t>
        </is>
      </c>
      <c r="D6" s="6" t="inlineStr">
        <is>
          <t>Position missing at custodian</t>
        </is>
      </c>
    </row>
    <row r="7">
      <c r="A7" s="6" t="inlineStr">
        <is>
          <t>MMUS|BD0068</t>
        </is>
      </c>
      <c r="B7" s="7" t="n">
        <v>46170</v>
      </c>
      <c r="C7" s="8" t="inlineStr">
        <is>
          <t>Investigating</t>
        </is>
      </c>
      <c r="D7" s="6" t="inlineStr">
        <is>
          <t>Position missing at custodian</t>
        </is>
      </c>
    </row>
    <row r="8">
      <c r="A8" s="6" t="inlineStr">
        <is>
          <t>BALM|EQ0005</t>
        </is>
      </c>
      <c r="B8" s="7" t="n">
        <v>46200</v>
      </c>
      <c r="C8" s="8" t="inlineStr">
        <is>
          <t>Open</t>
        </is>
      </c>
      <c r="D8" s="6" t="inlineStr">
        <is>
          <t>Unbooked position - internal missing</t>
        </is>
      </c>
    </row>
    <row r="9">
      <c r="A9" s="6" t="inlineStr">
        <is>
          <t>EQGL|EQ0001</t>
        </is>
      </c>
      <c r="B9" s="7" t="n">
        <v>46191</v>
      </c>
      <c r="C9" s="8" t="inlineStr">
        <is>
          <t>Open</t>
        </is>
      </c>
      <c r="D9" s="6" t="inlineStr">
        <is>
          <t>Unbooked position - internal missing</t>
        </is>
      </c>
    </row>
    <row r="10">
      <c r="A10" s="6" t="inlineStr">
        <is>
          <t>FIIG|CASH_USD_FIIG</t>
        </is>
      </c>
      <c r="B10" s="7" t="n">
        <v>46198</v>
      </c>
      <c r="C10" s="8" t="inlineStr">
        <is>
          <t>Open</t>
        </is>
      </c>
      <c r="D10" s="6" t="inlineStr">
        <is>
          <t>Unreconciled cash movement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1" customWidth="1" min="4" max="4"/>
    <col width="16" customWidth="1" min="5" max="5"/>
    <col width="11" customWidth="1" min="6" max="6"/>
    <col width="11" customWidth="1" min="7" max="7"/>
    <col width="14" customWidth="1" min="8" max="8"/>
    <col width="11" customWidth="1" min="9" max="9"/>
    <col width="11" customWidth="1" min="10" max="10"/>
    <col width="14" customWidth="1" min="11" max="11"/>
    <col width="11" customWidth="1" min="12" max="12"/>
    <col width="14" customWidth="1" min="13" max="13"/>
    <col width="13" customWidth="1" min="14" max="14"/>
    <col width="11" customWidth="1" min="15" max="15"/>
    <col width="12" customWidth="1" min="16" max="16"/>
    <col width="20" customWidth="1" min="17" max="17"/>
    <col width="15" customWidth="1" min="18" max="18"/>
    <col width="11" customWidth="1" min="19" max="19"/>
    <col width="12" customWidth="1" min="20" max="20"/>
    <col width="14" customWidth="1" min="21" max="21"/>
    <col width="14" customWidth="1" min="22" max="22"/>
    <col width="9" customWidth="1" min="23" max="23"/>
  </cols>
  <sheetData>
    <row r="1">
      <c r="A1" s="5" t="inlineStr">
        <is>
          <t>Fund</t>
        </is>
      </c>
      <c r="B1" s="5" t="inlineStr">
        <is>
          <t>SecurityID</t>
        </is>
      </c>
      <c r="C1" s="5" t="inlineStr">
        <is>
          <t>SecurityName</t>
        </is>
      </c>
      <c r="D1" s="5" t="inlineStr">
        <is>
          <t>AssetClass</t>
        </is>
      </c>
      <c r="E1" s="5" t="inlineStr">
        <is>
          <t>Key</t>
        </is>
      </c>
      <c r="F1" s="5" t="inlineStr">
        <is>
          <t>IntQty</t>
        </is>
      </c>
      <c r="G1" s="5" t="inlineStr">
        <is>
          <t>IntPrice</t>
        </is>
      </c>
      <c r="H1" s="5" t="inlineStr">
        <is>
          <t>IntMV</t>
        </is>
      </c>
      <c r="I1" s="5" t="inlineStr">
        <is>
          <t>CustQty</t>
        </is>
      </c>
      <c r="J1" s="5" t="inlineStr">
        <is>
          <t>CustPrice</t>
        </is>
      </c>
      <c r="K1" s="5" t="inlineStr">
        <is>
          <t>CustMV</t>
        </is>
      </c>
      <c r="L1" s="5" t="inlineStr">
        <is>
          <t>QtyDiff</t>
        </is>
      </c>
      <c r="M1" s="5" t="inlineStr">
        <is>
          <t>MVDiff</t>
        </is>
      </c>
      <c r="N1" s="5" t="inlineStr">
        <is>
          <t>PriceDiffBps</t>
        </is>
      </c>
      <c r="O1" s="5" t="inlineStr">
        <is>
          <t>InInternal</t>
        </is>
      </c>
      <c r="P1" s="5" t="inlineStr">
        <is>
          <t>InCustodian</t>
        </is>
      </c>
      <c r="Q1" s="5" t="inlineStr">
        <is>
          <t>BreakType</t>
        </is>
      </c>
      <c r="R1" s="5" t="inlineStr">
        <is>
          <t>FirstIdentified</t>
        </is>
      </c>
      <c r="S1" s="5" t="inlineStr">
        <is>
          <t>DaysOpen</t>
        </is>
      </c>
      <c r="T1" s="5" t="inlineStr">
        <is>
          <t>AgeBucket</t>
        </is>
      </c>
      <c r="U1" s="5" t="inlineStr">
        <is>
          <t>Status</t>
        </is>
      </c>
      <c r="V1" s="5" t="inlineStr">
        <is>
          <t>AbsMVDiff</t>
        </is>
      </c>
      <c r="W1" s="5" t="inlineStr">
        <is>
          <t>IsBreak</t>
        </is>
      </c>
    </row>
    <row r="2">
      <c r="A2" s="6" t="inlineStr">
        <is>
          <t>BALM</t>
        </is>
      </c>
      <c r="B2" s="6" t="inlineStr">
        <is>
          <t>BD0052</t>
        </is>
      </c>
      <c r="C2" s="6" t="inlineStr">
        <is>
          <t>US Treasury 3.0% 2033</t>
        </is>
      </c>
      <c r="D2" s="6" t="inlineStr">
        <is>
          <t>Bond</t>
        </is>
      </c>
      <c r="E2" s="6">
        <f>A2&amp;"|"&amp;B2</f>
        <v/>
      </c>
      <c r="F2" s="12">
        <f>IFERROR(INDEX('Internal Book'!$E$2:$E$125,MATCH(E2,'Internal Book'!$H$2:$H$125,0)),0)</f>
        <v/>
      </c>
      <c r="G2" s="13">
        <f>IFERROR(INDEX('Internal Book'!$F$2:$F$125,MATCH(E2,'Internal Book'!$H$2:$H$125,0)),0)</f>
        <v/>
      </c>
      <c r="H2" s="11">
        <f>IFERROR(INDEX('Internal Book'!$G$2:$G$125,MATCH(E2,'Internal Book'!$H$2:$H$125,0)),0)</f>
        <v/>
      </c>
      <c r="I2" s="12">
        <f>IFERROR(INDEX('Custodian Statement'!$E$2:$E$125,MATCH(E2,'Custodian Statement'!$H$2:$H$125,0)),0)</f>
        <v/>
      </c>
      <c r="J2" s="13">
        <f>IFERROR(INDEX('Custodian Statement'!$F$2:$F$125,MATCH(E2,'Custodian Statement'!$H$2:$H$125,0)),0)</f>
        <v/>
      </c>
      <c r="K2" s="11">
        <f>IFERROR(INDEX('Custodian Statement'!$G$2:$G$125,MATCH(E2,'Custodian Statement'!$H$2:$H$125,0)),0)</f>
        <v/>
      </c>
      <c r="L2" s="12">
        <f>F2-I2</f>
        <v/>
      </c>
      <c r="M2" s="11">
        <f>H2-K2</f>
        <v/>
      </c>
      <c r="N2" s="12">
        <f>IFERROR((G2-J2)/J2*10000,0)</f>
        <v/>
      </c>
      <c r="O2" s="6">
        <f>COUNTIF('Internal Book'!$H$2:$H$125,E2)</f>
        <v/>
      </c>
      <c r="P2" s="6">
        <f>COUNTIF('Custodian Statement'!$H$2:$H$125,E2)</f>
        <v/>
      </c>
      <c r="Q2" s="6">
        <f>IF(O2=0,"MISSING IN INTERNAL",IF(P2=0,"MISSING IN CUSTODIAN",IF(AND(D2="Cash",ABS(M2)&gt;Parameters!$B$4),"CASH BREAK",IF(L2&lt;&gt;0,"QUANTITY BREAK",IF(ABS(N2)&gt;Parameters!$B$3,"PRICE BREAK",IF(ABS(M2)&gt;Parameters!$B$4,"MV BREAK","MATCHED"))))))</f>
        <v/>
      </c>
      <c r="R2" s="14">
        <f>IFERROR(INDEX('Break Register'!$B$2:$B$10,MATCH(E2,'Break Register'!$A$2:$A$10,0)),"")</f>
        <v/>
      </c>
      <c r="S2" s="12">
        <f>IF(R2="","",Parameters!$B$2-R2)</f>
        <v/>
      </c>
      <c r="T2" s="6">
        <f>IF(S2="","",IF(S2&lt;=2,"0-2 days",IF(S2&lt;=5,"3-5 days",IF(S2&lt;=10,"6-10 days",IF(S2&lt;=30,"11-30 days","30+ days")))))</f>
        <v/>
      </c>
      <c r="U2" s="6">
        <f>IFERROR(INDEX('Break Register'!$C$2:$C$10,MATCH(E2,'Break Register'!$A$2:$A$10,0)),"")</f>
        <v/>
      </c>
      <c r="V2" s="11">
        <f>ABS(M2)</f>
        <v/>
      </c>
      <c r="W2" s="6">
        <f>IF(Q2="MATCHED",0,1)</f>
        <v/>
      </c>
    </row>
    <row r="3">
      <c r="A3" s="6" t="inlineStr">
        <is>
          <t>BALM</t>
        </is>
      </c>
      <c r="B3" s="6" t="inlineStr">
        <is>
          <t>BD0055</t>
        </is>
      </c>
      <c r="C3" s="6" t="inlineStr">
        <is>
          <t>Apple 3.35% 2029</t>
        </is>
      </c>
      <c r="D3" s="6" t="inlineStr">
        <is>
          <t>Bond</t>
        </is>
      </c>
      <c r="E3" s="6">
        <f>A3&amp;"|"&amp;B3</f>
        <v/>
      </c>
      <c r="F3" s="12">
        <f>IFERROR(INDEX('Internal Book'!$E$2:$E$125,MATCH(E3,'Internal Book'!$H$2:$H$125,0)),0)</f>
        <v/>
      </c>
      <c r="G3" s="13">
        <f>IFERROR(INDEX('Internal Book'!$F$2:$F$125,MATCH(E3,'Internal Book'!$H$2:$H$125,0)),0)</f>
        <v/>
      </c>
      <c r="H3" s="11">
        <f>IFERROR(INDEX('Internal Book'!$G$2:$G$125,MATCH(E3,'Internal Book'!$H$2:$H$125,0)),0)</f>
        <v/>
      </c>
      <c r="I3" s="12">
        <f>IFERROR(INDEX('Custodian Statement'!$E$2:$E$125,MATCH(E3,'Custodian Statement'!$H$2:$H$125,0)),0)</f>
        <v/>
      </c>
      <c r="J3" s="13">
        <f>IFERROR(INDEX('Custodian Statement'!$F$2:$F$125,MATCH(E3,'Custodian Statement'!$H$2:$H$125,0)),0)</f>
        <v/>
      </c>
      <c r="K3" s="11">
        <f>IFERROR(INDEX('Custodian Statement'!$G$2:$G$125,MATCH(E3,'Custodian Statement'!$H$2:$H$125,0)),0)</f>
        <v/>
      </c>
      <c r="L3" s="12">
        <f>F3-I3</f>
        <v/>
      </c>
      <c r="M3" s="11">
        <f>H3-K3</f>
        <v/>
      </c>
      <c r="N3" s="12">
        <f>IFERROR((G3-J3)/J3*10000,0)</f>
        <v/>
      </c>
      <c r="O3" s="6">
        <f>COUNTIF('Internal Book'!$H$2:$H$125,E3)</f>
        <v/>
      </c>
      <c r="P3" s="6">
        <f>COUNTIF('Custodian Statement'!$H$2:$H$125,E3)</f>
        <v/>
      </c>
      <c r="Q3" s="6">
        <f>IF(O3=0,"MISSING IN INTERNAL",IF(P3=0,"MISSING IN CUSTODIAN",IF(AND(D3="Cash",ABS(M3)&gt;Parameters!$B$4),"CASH BREAK",IF(L3&lt;&gt;0,"QUANTITY BREAK",IF(ABS(N3)&gt;Parameters!$B$3,"PRICE BREAK",IF(ABS(M3)&gt;Parameters!$B$4,"MV BREAK","MATCHED"))))))</f>
        <v/>
      </c>
      <c r="R3" s="14">
        <f>IFERROR(INDEX('Break Register'!$B$2:$B$10,MATCH(E3,'Break Register'!$A$2:$A$10,0)),"")</f>
        <v/>
      </c>
      <c r="S3" s="12">
        <f>IF(R3="","",Parameters!$B$2-R3)</f>
        <v/>
      </c>
      <c r="T3" s="6">
        <f>IF(S3="","",IF(S3&lt;=2,"0-2 days",IF(S3&lt;=5,"3-5 days",IF(S3&lt;=10,"6-10 days",IF(S3&lt;=30,"11-30 days","30+ days")))))</f>
        <v/>
      </c>
      <c r="U3" s="6">
        <f>IFERROR(INDEX('Break Register'!$C$2:$C$10,MATCH(E3,'Break Register'!$A$2:$A$10,0)),"")</f>
        <v/>
      </c>
      <c r="V3" s="11">
        <f>ABS(M3)</f>
        <v/>
      </c>
      <c r="W3" s="6">
        <f>IF(Q3="MATCHED",0,1)</f>
        <v/>
      </c>
    </row>
    <row r="4">
      <c r="A4" s="6" t="inlineStr">
        <is>
          <t>BALM</t>
        </is>
      </c>
      <c r="B4" s="6" t="inlineStr">
        <is>
          <t>BD0058</t>
        </is>
      </c>
      <c r="C4" s="6" t="inlineStr">
        <is>
          <t>JPM 4.0% 2031</t>
        </is>
      </c>
      <c r="D4" s="6" t="inlineStr">
        <is>
          <t>Bond</t>
        </is>
      </c>
      <c r="E4" s="6">
        <f>A4&amp;"|"&amp;B4</f>
        <v/>
      </c>
      <c r="F4" s="12">
        <f>IFERROR(INDEX('Internal Book'!$E$2:$E$125,MATCH(E4,'Internal Book'!$H$2:$H$125,0)),0)</f>
        <v/>
      </c>
      <c r="G4" s="13">
        <f>IFERROR(INDEX('Internal Book'!$F$2:$F$125,MATCH(E4,'Internal Book'!$H$2:$H$125,0)),0)</f>
        <v/>
      </c>
      <c r="H4" s="11">
        <f>IFERROR(INDEX('Internal Book'!$G$2:$G$125,MATCH(E4,'Internal Book'!$H$2:$H$125,0)),0)</f>
        <v/>
      </c>
      <c r="I4" s="12">
        <f>IFERROR(INDEX('Custodian Statement'!$E$2:$E$125,MATCH(E4,'Custodian Statement'!$H$2:$H$125,0)),0)</f>
        <v/>
      </c>
      <c r="J4" s="13">
        <f>IFERROR(INDEX('Custodian Statement'!$F$2:$F$125,MATCH(E4,'Custodian Statement'!$H$2:$H$125,0)),0)</f>
        <v/>
      </c>
      <c r="K4" s="11">
        <f>IFERROR(INDEX('Custodian Statement'!$G$2:$G$125,MATCH(E4,'Custodian Statement'!$H$2:$H$125,0)),0)</f>
        <v/>
      </c>
      <c r="L4" s="12">
        <f>F4-I4</f>
        <v/>
      </c>
      <c r="M4" s="11">
        <f>H4-K4</f>
        <v/>
      </c>
      <c r="N4" s="12">
        <f>IFERROR((G4-J4)/J4*10000,0)</f>
        <v/>
      </c>
      <c r="O4" s="6">
        <f>COUNTIF('Internal Book'!$H$2:$H$125,E4)</f>
        <v/>
      </c>
      <c r="P4" s="6">
        <f>COUNTIF('Custodian Statement'!$H$2:$H$125,E4)</f>
        <v/>
      </c>
      <c r="Q4" s="6">
        <f>IF(O4=0,"MISSING IN INTERNAL",IF(P4=0,"MISSING IN CUSTODIAN",IF(AND(D4="Cash",ABS(M4)&gt;Parameters!$B$4),"CASH BREAK",IF(L4&lt;&gt;0,"QUANTITY BREAK",IF(ABS(N4)&gt;Parameters!$B$3,"PRICE BREAK",IF(ABS(M4)&gt;Parameters!$B$4,"MV BREAK","MATCHED"))))))</f>
        <v/>
      </c>
      <c r="R4" s="14">
        <f>IFERROR(INDEX('Break Register'!$B$2:$B$10,MATCH(E4,'Break Register'!$A$2:$A$10,0)),"")</f>
        <v/>
      </c>
      <c r="S4" s="12">
        <f>IF(R4="","",Parameters!$B$2-R4)</f>
        <v/>
      </c>
      <c r="T4" s="6">
        <f>IF(S4="","",IF(S4&lt;=2,"0-2 days",IF(S4&lt;=5,"3-5 days",IF(S4&lt;=10,"6-10 days",IF(S4&lt;=30,"11-30 days","30+ days")))))</f>
        <v/>
      </c>
      <c r="U4" s="6">
        <f>IFERROR(INDEX('Break Register'!$C$2:$C$10,MATCH(E4,'Break Register'!$A$2:$A$10,0)),"")</f>
        <v/>
      </c>
      <c r="V4" s="11">
        <f>ABS(M4)</f>
        <v/>
      </c>
      <c r="W4" s="6">
        <f>IF(Q4="MATCHED",0,1)</f>
        <v/>
      </c>
    </row>
    <row r="5">
      <c r="A5" s="6" t="inlineStr">
        <is>
          <t>BALM</t>
        </is>
      </c>
      <c r="B5" s="6" t="inlineStr">
        <is>
          <t>BD0059</t>
        </is>
      </c>
      <c r="C5" s="6" t="inlineStr">
        <is>
          <t>Toyota 2.1% 2027</t>
        </is>
      </c>
      <c r="D5" s="6" t="inlineStr">
        <is>
          <t>Bond</t>
        </is>
      </c>
      <c r="E5" s="6">
        <f>A5&amp;"|"&amp;B5</f>
        <v/>
      </c>
      <c r="F5" s="12">
        <f>IFERROR(INDEX('Internal Book'!$E$2:$E$125,MATCH(E5,'Internal Book'!$H$2:$H$125,0)),0)</f>
        <v/>
      </c>
      <c r="G5" s="13">
        <f>IFERROR(INDEX('Internal Book'!$F$2:$F$125,MATCH(E5,'Internal Book'!$H$2:$H$125,0)),0)</f>
        <v/>
      </c>
      <c r="H5" s="11">
        <f>IFERROR(INDEX('Internal Book'!$G$2:$G$125,MATCH(E5,'Internal Book'!$H$2:$H$125,0)),0)</f>
        <v/>
      </c>
      <c r="I5" s="12">
        <f>IFERROR(INDEX('Custodian Statement'!$E$2:$E$125,MATCH(E5,'Custodian Statement'!$H$2:$H$125,0)),0)</f>
        <v/>
      </c>
      <c r="J5" s="13">
        <f>IFERROR(INDEX('Custodian Statement'!$F$2:$F$125,MATCH(E5,'Custodian Statement'!$H$2:$H$125,0)),0)</f>
        <v/>
      </c>
      <c r="K5" s="11">
        <f>IFERROR(INDEX('Custodian Statement'!$G$2:$G$125,MATCH(E5,'Custodian Statement'!$H$2:$H$125,0)),0)</f>
        <v/>
      </c>
      <c r="L5" s="12">
        <f>F5-I5</f>
        <v/>
      </c>
      <c r="M5" s="11">
        <f>H5-K5</f>
        <v/>
      </c>
      <c r="N5" s="12">
        <f>IFERROR((G5-J5)/J5*10000,0)</f>
        <v/>
      </c>
      <c r="O5" s="6">
        <f>COUNTIF('Internal Book'!$H$2:$H$125,E5)</f>
        <v/>
      </c>
      <c r="P5" s="6">
        <f>COUNTIF('Custodian Statement'!$H$2:$H$125,E5)</f>
        <v/>
      </c>
      <c r="Q5" s="6">
        <f>IF(O5=0,"MISSING IN INTERNAL",IF(P5=0,"MISSING IN CUSTODIAN",IF(AND(D5="Cash",ABS(M5)&gt;Parameters!$B$4),"CASH BREAK",IF(L5&lt;&gt;0,"QUANTITY BREAK",IF(ABS(N5)&gt;Parameters!$B$3,"PRICE BREAK",IF(ABS(M5)&gt;Parameters!$B$4,"MV BREAK","MATCHED"))))))</f>
        <v/>
      </c>
      <c r="R5" s="14">
        <f>IFERROR(INDEX('Break Register'!$B$2:$B$10,MATCH(E5,'Break Register'!$A$2:$A$10,0)),"")</f>
        <v/>
      </c>
      <c r="S5" s="12">
        <f>IF(R5="","",Parameters!$B$2-R5)</f>
        <v/>
      </c>
      <c r="T5" s="6">
        <f>IF(S5="","",IF(S5&lt;=2,"0-2 days",IF(S5&lt;=5,"3-5 days",IF(S5&lt;=10,"6-10 days",IF(S5&lt;=30,"11-30 days","30+ days")))))</f>
        <v/>
      </c>
      <c r="U5" s="6">
        <f>IFERROR(INDEX('Break Register'!$C$2:$C$10,MATCH(E5,'Break Register'!$A$2:$A$10,0)),"")</f>
        <v/>
      </c>
      <c r="V5" s="11">
        <f>ABS(M5)</f>
        <v/>
      </c>
      <c r="W5" s="6">
        <f>IF(Q5="MATCHED",0,1)</f>
        <v/>
      </c>
    </row>
    <row r="6">
      <c r="A6" s="6" t="inlineStr">
        <is>
          <t>BALM</t>
        </is>
      </c>
      <c r="B6" s="6" t="inlineStr">
        <is>
          <t>BD0061</t>
        </is>
      </c>
      <c r="C6" s="6" t="inlineStr">
        <is>
          <t>Corporate Note Series 01</t>
        </is>
      </c>
      <c r="D6" s="6" t="inlineStr">
        <is>
          <t>Bond</t>
        </is>
      </c>
      <c r="E6" s="6">
        <f>A6&amp;"|"&amp;B6</f>
        <v/>
      </c>
      <c r="F6" s="12">
        <f>IFERROR(INDEX('Internal Book'!$E$2:$E$125,MATCH(E6,'Internal Book'!$H$2:$H$125,0)),0)</f>
        <v/>
      </c>
      <c r="G6" s="13">
        <f>IFERROR(INDEX('Internal Book'!$F$2:$F$125,MATCH(E6,'Internal Book'!$H$2:$H$125,0)),0)</f>
        <v/>
      </c>
      <c r="H6" s="11">
        <f>IFERROR(INDEX('Internal Book'!$G$2:$G$125,MATCH(E6,'Internal Book'!$H$2:$H$125,0)),0)</f>
        <v/>
      </c>
      <c r="I6" s="12">
        <f>IFERROR(INDEX('Custodian Statement'!$E$2:$E$125,MATCH(E6,'Custodian Statement'!$H$2:$H$125,0)),0)</f>
        <v/>
      </c>
      <c r="J6" s="13">
        <f>IFERROR(INDEX('Custodian Statement'!$F$2:$F$125,MATCH(E6,'Custodian Statement'!$H$2:$H$125,0)),0)</f>
        <v/>
      </c>
      <c r="K6" s="11">
        <f>IFERROR(INDEX('Custodian Statement'!$G$2:$G$125,MATCH(E6,'Custodian Statement'!$H$2:$H$125,0)),0)</f>
        <v/>
      </c>
      <c r="L6" s="12">
        <f>F6-I6</f>
        <v/>
      </c>
      <c r="M6" s="11">
        <f>H6-K6</f>
        <v/>
      </c>
      <c r="N6" s="12">
        <f>IFERROR((G6-J6)/J6*10000,0)</f>
        <v/>
      </c>
      <c r="O6" s="6">
        <f>COUNTIF('Internal Book'!$H$2:$H$125,E6)</f>
        <v/>
      </c>
      <c r="P6" s="6">
        <f>COUNTIF('Custodian Statement'!$H$2:$H$125,E6)</f>
        <v/>
      </c>
      <c r="Q6" s="6">
        <f>IF(O6=0,"MISSING IN INTERNAL",IF(P6=0,"MISSING IN CUSTODIAN",IF(AND(D6="Cash",ABS(M6)&gt;Parameters!$B$4),"CASH BREAK",IF(L6&lt;&gt;0,"QUANTITY BREAK",IF(ABS(N6)&gt;Parameters!$B$3,"PRICE BREAK",IF(ABS(M6)&gt;Parameters!$B$4,"MV BREAK","MATCHED"))))))</f>
        <v/>
      </c>
      <c r="R6" s="14">
        <f>IFERROR(INDEX('Break Register'!$B$2:$B$10,MATCH(E6,'Break Register'!$A$2:$A$10,0)),"")</f>
        <v/>
      </c>
      <c r="S6" s="12">
        <f>IF(R6="","",Parameters!$B$2-R6)</f>
        <v/>
      </c>
      <c r="T6" s="6">
        <f>IF(S6="","",IF(S6&lt;=2,"0-2 days",IF(S6&lt;=5,"3-5 days",IF(S6&lt;=10,"6-10 days",IF(S6&lt;=30,"11-30 days","30+ days")))))</f>
        <v/>
      </c>
      <c r="U6" s="6">
        <f>IFERROR(INDEX('Break Register'!$C$2:$C$10,MATCH(E6,'Break Register'!$A$2:$A$10,0)),"")</f>
        <v/>
      </c>
      <c r="V6" s="11">
        <f>ABS(M6)</f>
        <v/>
      </c>
      <c r="W6" s="6">
        <f>IF(Q6="MATCHED",0,1)</f>
        <v/>
      </c>
    </row>
    <row r="7">
      <c r="A7" s="6" t="inlineStr">
        <is>
          <t>BALM</t>
        </is>
      </c>
      <c r="B7" s="6" t="inlineStr">
        <is>
          <t>BD0064</t>
        </is>
      </c>
      <c r="C7" s="6" t="inlineStr">
        <is>
          <t>Corporate Note Series 04</t>
        </is>
      </c>
      <c r="D7" s="6" t="inlineStr">
        <is>
          <t>Bond</t>
        </is>
      </c>
      <c r="E7" s="6">
        <f>A7&amp;"|"&amp;B7</f>
        <v/>
      </c>
      <c r="F7" s="12">
        <f>IFERROR(INDEX('Internal Book'!$E$2:$E$125,MATCH(E7,'Internal Book'!$H$2:$H$125,0)),0)</f>
        <v/>
      </c>
      <c r="G7" s="13">
        <f>IFERROR(INDEX('Internal Book'!$F$2:$F$125,MATCH(E7,'Internal Book'!$H$2:$H$125,0)),0)</f>
        <v/>
      </c>
      <c r="H7" s="11">
        <f>IFERROR(INDEX('Internal Book'!$G$2:$G$125,MATCH(E7,'Internal Book'!$H$2:$H$125,0)),0)</f>
        <v/>
      </c>
      <c r="I7" s="12">
        <f>IFERROR(INDEX('Custodian Statement'!$E$2:$E$125,MATCH(E7,'Custodian Statement'!$H$2:$H$125,0)),0)</f>
        <v/>
      </c>
      <c r="J7" s="13">
        <f>IFERROR(INDEX('Custodian Statement'!$F$2:$F$125,MATCH(E7,'Custodian Statement'!$H$2:$H$125,0)),0)</f>
        <v/>
      </c>
      <c r="K7" s="11">
        <f>IFERROR(INDEX('Custodian Statement'!$G$2:$G$125,MATCH(E7,'Custodian Statement'!$H$2:$H$125,0)),0)</f>
        <v/>
      </c>
      <c r="L7" s="12">
        <f>F7-I7</f>
        <v/>
      </c>
      <c r="M7" s="11">
        <f>H7-K7</f>
        <v/>
      </c>
      <c r="N7" s="12">
        <f>IFERROR((G7-J7)/J7*10000,0)</f>
        <v/>
      </c>
      <c r="O7" s="6">
        <f>COUNTIF('Internal Book'!$H$2:$H$125,E7)</f>
        <v/>
      </c>
      <c r="P7" s="6">
        <f>COUNTIF('Custodian Statement'!$H$2:$H$125,E7)</f>
        <v/>
      </c>
      <c r="Q7" s="6">
        <f>IF(O7=0,"MISSING IN INTERNAL",IF(P7=0,"MISSING IN CUSTODIAN",IF(AND(D7="Cash",ABS(M7)&gt;Parameters!$B$4),"CASH BREAK",IF(L7&lt;&gt;0,"QUANTITY BREAK",IF(ABS(N7)&gt;Parameters!$B$3,"PRICE BREAK",IF(ABS(M7)&gt;Parameters!$B$4,"MV BREAK","MATCHED"))))))</f>
        <v/>
      </c>
      <c r="R7" s="14">
        <f>IFERROR(INDEX('Break Register'!$B$2:$B$10,MATCH(E7,'Break Register'!$A$2:$A$10,0)),"")</f>
        <v/>
      </c>
      <c r="S7" s="12">
        <f>IF(R7="","",Parameters!$B$2-R7)</f>
        <v/>
      </c>
      <c r="T7" s="6">
        <f>IF(S7="","",IF(S7&lt;=2,"0-2 days",IF(S7&lt;=5,"3-5 days",IF(S7&lt;=10,"6-10 days",IF(S7&lt;=30,"11-30 days","30+ days")))))</f>
        <v/>
      </c>
      <c r="U7" s="6">
        <f>IFERROR(INDEX('Break Register'!$C$2:$C$10,MATCH(E7,'Break Register'!$A$2:$A$10,0)),"")</f>
        <v/>
      </c>
      <c r="V7" s="11">
        <f>ABS(M7)</f>
        <v/>
      </c>
      <c r="W7" s="6">
        <f>IF(Q7="MATCHED",0,1)</f>
        <v/>
      </c>
    </row>
    <row r="8">
      <c r="A8" s="6" t="inlineStr">
        <is>
          <t>BALM</t>
        </is>
      </c>
      <c r="B8" s="6" t="inlineStr">
        <is>
          <t>BD0066</t>
        </is>
      </c>
      <c r="C8" s="6" t="inlineStr">
        <is>
          <t>Corporate Note Series 06</t>
        </is>
      </c>
      <c r="D8" s="6" t="inlineStr">
        <is>
          <t>Bond</t>
        </is>
      </c>
      <c r="E8" s="6">
        <f>A8&amp;"|"&amp;B8</f>
        <v/>
      </c>
      <c r="F8" s="12">
        <f>IFERROR(INDEX('Internal Book'!$E$2:$E$125,MATCH(E8,'Internal Book'!$H$2:$H$125,0)),0)</f>
        <v/>
      </c>
      <c r="G8" s="13">
        <f>IFERROR(INDEX('Internal Book'!$F$2:$F$125,MATCH(E8,'Internal Book'!$H$2:$H$125,0)),0)</f>
        <v/>
      </c>
      <c r="H8" s="11">
        <f>IFERROR(INDEX('Internal Book'!$G$2:$G$125,MATCH(E8,'Internal Book'!$H$2:$H$125,0)),0)</f>
        <v/>
      </c>
      <c r="I8" s="12">
        <f>IFERROR(INDEX('Custodian Statement'!$E$2:$E$125,MATCH(E8,'Custodian Statement'!$H$2:$H$125,0)),0)</f>
        <v/>
      </c>
      <c r="J8" s="13">
        <f>IFERROR(INDEX('Custodian Statement'!$F$2:$F$125,MATCH(E8,'Custodian Statement'!$H$2:$H$125,0)),0)</f>
        <v/>
      </c>
      <c r="K8" s="11">
        <f>IFERROR(INDEX('Custodian Statement'!$G$2:$G$125,MATCH(E8,'Custodian Statement'!$H$2:$H$125,0)),0)</f>
        <v/>
      </c>
      <c r="L8" s="12">
        <f>F8-I8</f>
        <v/>
      </c>
      <c r="M8" s="11">
        <f>H8-K8</f>
        <v/>
      </c>
      <c r="N8" s="12">
        <f>IFERROR((G8-J8)/J8*10000,0)</f>
        <v/>
      </c>
      <c r="O8" s="6">
        <f>COUNTIF('Internal Book'!$H$2:$H$125,E8)</f>
        <v/>
      </c>
      <c r="P8" s="6">
        <f>COUNTIF('Custodian Statement'!$H$2:$H$125,E8)</f>
        <v/>
      </c>
      <c r="Q8" s="6">
        <f>IF(O8=0,"MISSING IN INTERNAL",IF(P8=0,"MISSING IN CUSTODIAN",IF(AND(D8="Cash",ABS(M8)&gt;Parameters!$B$4),"CASH BREAK",IF(L8&lt;&gt;0,"QUANTITY BREAK",IF(ABS(N8)&gt;Parameters!$B$3,"PRICE BREAK",IF(ABS(M8)&gt;Parameters!$B$4,"MV BREAK","MATCHED"))))))</f>
        <v/>
      </c>
      <c r="R8" s="14">
        <f>IFERROR(INDEX('Break Register'!$B$2:$B$10,MATCH(E8,'Break Register'!$A$2:$A$10,0)),"")</f>
        <v/>
      </c>
      <c r="S8" s="12">
        <f>IF(R8="","",Parameters!$B$2-R8)</f>
        <v/>
      </c>
      <c r="T8" s="6">
        <f>IF(S8="","",IF(S8&lt;=2,"0-2 days",IF(S8&lt;=5,"3-5 days",IF(S8&lt;=10,"6-10 days",IF(S8&lt;=30,"11-30 days","30+ days")))))</f>
        <v/>
      </c>
      <c r="U8" s="6">
        <f>IFERROR(INDEX('Break Register'!$C$2:$C$10,MATCH(E8,'Break Register'!$A$2:$A$10,0)),"")</f>
        <v/>
      </c>
      <c r="V8" s="11">
        <f>ABS(M8)</f>
        <v/>
      </c>
      <c r="W8" s="6">
        <f>IF(Q8="MATCHED",0,1)</f>
        <v/>
      </c>
    </row>
    <row r="9">
      <c r="A9" s="6" t="inlineStr">
        <is>
          <t>BALM</t>
        </is>
      </c>
      <c r="B9" s="6" t="inlineStr">
        <is>
          <t>BD0070</t>
        </is>
      </c>
      <c r="C9" s="6" t="inlineStr">
        <is>
          <t>Corporate Note Series 10</t>
        </is>
      </c>
      <c r="D9" s="6" t="inlineStr">
        <is>
          <t>Bond</t>
        </is>
      </c>
      <c r="E9" s="6">
        <f>A9&amp;"|"&amp;B9</f>
        <v/>
      </c>
      <c r="F9" s="12">
        <f>IFERROR(INDEX('Internal Book'!$E$2:$E$125,MATCH(E9,'Internal Book'!$H$2:$H$125,0)),0)</f>
        <v/>
      </c>
      <c r="G9" s="13">
        <f>IFERROR(INDEX('Internal Book'!$F$2:$F$125,MATCH(E9,'Internal Book'!$H$2:$H$125,0)),0)</f>
        <v/>
      </c>
      <c r="H9" s="11">
        <f>IFERROR(INDEX('Internal Book'!$G$2:$G$125,MATCH(E9,'Internal Book'!$H$2:$H$125,0)),0)</f>
        <v/>
      </c>
      <c r="I9" s="12">
        <f>IFERROR(INDEX('Custodian Statement'!$E$2:$E$125,MATCH(E9,'Custodian Statement'!$H$2:$H$125,0)),0)</f>
        <v/>
      </c>
      <c r="J9" s="13">
        <f>IFERROR(INDEX('Custodian Statement'!$F$2:$F$125,MATCH(E9,'Custodian Statement'!$H$2:$H$125,0)),0)</f>
        <v/>
      </c>
      <c r="K9" s="11">
        <f>IFERROR(INDEX('Custodian Statement'!$G$2:$G$125,MATCH(E9,'Custodian Statement'!$H$2:$H$125,0)),0)</f>
        <v/>
      </c>
      <c r="L9" s="12">
        <f>F9-I9</f>
        <v/>
      </c>
      <c r="M9" s="11">
        <f>H9-K9</f>
        <v/>
      </c>
      <c r="N9" s="12">
        <f>IFERROR((G9-J9)/J9*10000,0)</f>
        <v/>
      </c>
      <c r="O9" s="6">
        <f>COUNTIF('Internal Book'!$H$2:$H$125,E9)</f>
        <v/>
      </c>
      <c r="P9" s="6">
        <f>COUNTIF('Custodian Statement'!$H$2:$H$125,E9)</f>
        <v/>
      </c>
      <c r="Q9" s="6">
        <f>IF(O9=0,"MISSING IN INTERNAL",IF(P9=0,"MISSING IN CUSTODIAN",IF(AND(D9="Cash",ABS(M9)&gt;Parameters!$B$4),"CASH BREAK",IF(L9&lt;&gt;0,"QUANTITY BREAK",IF(ABS(N9)&gt;Parameters!$B$3,"PRICE BREAK",IF(ABS(M9)&gt;Parameters!$B$4,"MV BREAK","MATCHED"))))))</f>
        <v/>
      </c>
      <c r="R9" s="14">
        <f>IFERROR(INDEX('Break Register'!$B$2:$B$10,MATCH(E9,'Break Register'!$A$2:$A$10,0)),"")</f>
        <v/>
      </c>
      <c r="S9" s="12">
        <f>IF(R9="","",Parameters!$B$2-R9)</f>
        <v/>
      </c>
      <c r="T9" s="6">
        <f>IF(S9="","",IF(S9&lt;=2,"0-2 days",IF(S9&lt;=5,"3-5 days",IF(S9&lt;=10,"6-10 days",IF(S9&lt;=30,"11-30 days","30+ days")))))</f>
        <v/>
      </c>
      <c r="U9" s="6">
        <f>IFERROR(INDEX('Break Register'!$C$2:$C$10,MATCH(E9,'Break Register'!$A$2:$A$10,0)),"")</f>
        <v/>
      </c>
      <c r="V9" s="11">
        <f>ABS(M9)</f>
        <v/>
      </c>
      <c r="W9" s="6">
        <f>IF(Q9="MATCHED",0,1)</f>
        <v/>
      </c>
    </row>
    <row r="10">
      <c r="A10" s="6" t="inlineStr">
        <is>
          <t>BALM</t>
        </is>
      </c>
      <c r="B10" s="6" t="inlineStr">
        <is>
          <t>BD0074</t>
        </is>
      </c>
      <c r="C10" s="6" t="inlineStr">
        <is>
          <t>Corporate Note Series 14</t>
        </is>
      </c>
      <c r="D10" s="6" t="inlineStr">
        <is>
          <t>Bond</t>
        </is>
      </c>
      <c r="E10" s="6">
        <f>A10&amp;"|"&amp;B10</f>
        <v/>
      </c>
      <c r="F10" s="12">
        <f>IFERROR(INDEX('Internal Book'!$E$2:$E$125,MATCH(E10,'Internal Book'!$H$2:$H$125,0)),0)</f>
        <v/>
      </c>
      <c r="G10" s="13">
        <f>IFERROR(INDEX('Internal Book'!$F$2:$F$125,MATCH(E10,'Internal Book'!$H$2:$H$125,0)),0)</f>
        <v/>
      </c>
      <c r="H10" s="11">
        <f>IFERROR(INDEX('Internal Book'!$G$2:$G$125,MATCH(E10,'Internal Book'!$H$2:$H$125,0)),0)</f>
        <v/>
      </c>
      <c r="I10" s="12">
        <f>IFERROR(INDEX('Custodian Statement'!$E$2:$E$125,MATCH(E10,'Custodian Statement'!$H$2:$H$125,0)),0)</f>
        <v/>
      </c>
      <c r="J10" s="13">
        <f>IFERROR(INDEX('Custodian Statement'!$F$2:$F$125,MATCH(E10,'Custodian Statement'!$H$2:$H$125,0)),0)</f>
        <v/>
      </c>
      <c r="K10" s="11">
        <f>IFERROR(INDEX('Custodian Statement'!$G$2:$G$125,MATCH(E10,'Custodian Statement'!$H$2:$H$125,0)),0)</f>
        <v/>
      </c>
      <c r="L10" s="12">
        <f>F10-I10</f>
        <v/>
      </c>
      <c r="M10" s="11">
        <f>H10-K10</f>
        <v/>
      </c>
      <c r="N10" s="12">
        <f>IFERROR((G10-J10)/J10*10000,0)</f>
        <v/>
      </c>
      <c r="O10" s="6">
        <f>COUNTIF('Internal Book'!$H$2:$H$125,E10)</f>
        <v/>
      </c>
      <c r="P10" s="6">
        <f>COUNTIF('Custodian Statement'!$H$2:$H$125,E10)</f>
        <v/>
      </c>
      <c r="Q10" s="6">
        <f>IF(O10=0,"MISSING IN INTERNAL",IF(P10=0,"MISSING IN CUSTODIAN",IF(AND(D10="Cash",ABS(M10)&gt;Parameters!$B$4),"CASH BREAK",IF(L10&lt;&gt;0,"QUANTITY BREAK",IF(ABS(N10)&gt;Parameters!$B$3,"PRICE BREAK",IF(ABS(M10)&gt;Parameters!$B$4,"MV BREAK","MATCHED"))))))</f>
        <v/>
      </c>
      <c r="R10" s="14">
        <f>IFERROR(INDEX('Break Register'!$B$2:$B$10,MATCH(E10,'Break Register'!$A$2:$A$10,0)),"")</f>
        <v/>
      </c>
      <c r="S10" s="12">
        <f>IF(R10="","",Parameters!$B$2-R10)</f>
        <v/>
      </c>
      <c r="T10" s="6">
        <f>IF(S10="","",IF(S10&lt;=2,"0-2 days",IF(S10&lt;=5,"3-5 days",IF(S10&lt;=10,"6-10 days",IF(S10&lt;=30,"11-30 days","30+ days")))))</f>
        <v/>
      </c>
      <c r="U10" s="6">
        <f>IFERROR(INDEX('Break Register'!$C$2:$C$10,MATCH(E10,'Break Register'!$A$2:$A$10,0)),"")</f>
        <v/>
      </c>
      <c r="V10" s="11">
        <f>ABS(M10)</f>
        <v/>
      </c>
      <c r="W10" s="6">
        <f>IF(Q10="MATCHED",0,1)</f>
        <v/>
      </c>
    </row>
    <row r="11">
      <c r="A11" s="6" t="inlineStr">
        <is>
          <t>BALM</t>
        </is>
      </c>
      <c r="B11" s="6" t="inlineStr">
        <is>
          <t>BD0075</t>
        </is>
      </c>
      <c r="C11" s="6" t="inlineStr">
        <is>
          <t>Corporate Note Series 15</t>
        </is>
      </c>
      <c r="D11" s="6" t="inlineStr">
        <is>
          <t>Bond</t>
        </is>
      </c>
      <c r="E11" s="6">
        <f>A11&amp;"|"&amp;B11</f>
        <v/>
      </c>
      <c r="F11" s="12">
        <f>IFERROR(INDEX('Internal Book'!$E$2:$E$125,MATCH(E11,'Internal Book'!$H$2:$H$125,0)),0)</f>
        <v/>
      </c>
      <c r="G11" s="13">
        <f>IFERROR(INDEX('Internal Book'!$F$2:$F$125,MATCH(E11,'Internal Book'!$H$2:$H$125,0)),0)</f>
        <v/>
      </c>
      <c r="H11" s="11">
        <f>IFERROR(INDEX('Internal Book'!$G$2:$G$125,MATCH(E11,'Internal Book'!$H$2:$H$125,0)),0)</f>
        <v/>
      </c>
      <c r="I11" s="12">
        <f>IFERROR(INDEX('Custodian Statement'!$E$2:$E$125,MATCH(E11,'Custodian Statement'!$H$2:$H$125,0)),0)</f>
        <v/>
      </c>
      <c r="J11" s="13">
        <f>IFERROR(INDEX('Custodian Statement'!$F$2:$F$125,MATCH(E11,'Custodian Statement'!$H$2:$H$125,0)),0)</f>
        <v/>
      </c>
      <c r="K11" s="11">
        <f>IFERROR(INDEX('Custodian Statement'!$G$2:$G$125,MATCH(E11,'Custodian Statement'!$H$2:$H$125,0)),0)</f>
        <v/>
      </c>
      <c r="L11" s="12">
        <f>F11-I11</f>
        <v/>
      </c>
      <c r="M11" s="11">
        <f>H11-K11</f>
        <v/>
      </c>
      <c r="N11" s="12">
        <f>IFERROR((G11-J11)/J11*10000,0)</f>
        <v/>
      </c>
      <c r="O11" s="6">
        <f>COUNTIF('Internal Book'!$H$2:$H$125,E11)</f>
        <v/>
      </c>
      <c r="P11" s="6">
        <f>COUNTIF('Custodian Statement'!$H$2:$H$125,E11)</f>
        <v/>
      </c>
      <c r="Q11" s="6">
        <f>IF(O11=0,"MISSING IN INTERNAL",IF(P11=0,"MISSING IN CUSTODIAN",IF(AND(D11="Cash",ABS(M11)&gt;Parameters!$B$4),"CASH BREAK",IF(L11&lt;&gt;0,"QUANTITY BREAK",IF(ABS(N11)&gt;Parameters!$B$3,"PRICE BREAK",IF(ABS(M11)&gt;Parameters!$B$4,"MV BREAK","MATCHED"))))))</f>
        <v/>
      </c>
      <c r="R11" s="14">
        <f>IFERROR(INDEX('Break Register'!$B$2:$B$10,MATCH(E11,'Break Register'!$A$2:$A$10,0)),"")</f>
        <v/>
      </c>
      <c r="S11" s="12">
        <f>IF(R11="","",Parameters!$B$2-R11)</f>
        <v/>
      </c>
      <c r="T11" s="6">
        <f>IF(S11="","",IF(S11&lt;=2,"0-2 days",IF(S11&lt;=5,"3-5 days",IF(S11&lt;=10,"6-10 days",IF(S11&lt;=30,"11-30 days","30+ days")))))</f>
        <v/>
      </c>
      <c r="U11" s="6">
        <f>IFERROR(INDEX('Break Register'!$C$2:$C$10,MATCH(E11,'Break Register'!$A$2:$A$10,0)),"")</f>
        <v/>
      </c>
      <c r="V11" s="11">
        <f>ABS(M11)</f>
        <v/>
      </c>
      <c r="W11" s="6">
        <f>IF(Q11="MATCHED",0,1)</f>
        <v/>
      </c>
    </row>
    <row r="12">
      <c r="A12" s="6" t="inlineStr">
        <is>
          <t>BALM</t>
        </is>
      </c>
      <c r="B12" s="6" t="inlineStr">
        <is>
          <t>BD0076</t>
        </is>
      </c>
      <c r="C12" s="6" t="inlineStr">
        <is>
          <t>Corporate Note Series 16</t>
        </is>
      </c>
      <c r="D12" s="6" t="inlineStr">
        <is>
          <t>Bond</t>
        </is>
      </c>
      <c r="E12" s="6">
        <f>A12&amp;"|"&amp;B12</f>
        <v/>
      </c>
      <c r="F12" s="12">
        <f>IFERROR(INDEX('Internal Book'!$E$2:$E$125,MATCH(E12,'Internal Book'!$H$2:$H$125,0)),0)</f>
        <v/>
      </c>
      <c r="G12" s="13">
        <f>IFERROR(INDEX('Internal Book'!$F$2:$F$125,MATCH(E12,'Internal Book'!$H$2:$H$125,0)),0)</f>
        <v/>
      </c>
      <c r="H12" s="11">
        <f>IFERROR(INDEX('Internal Book'!$G$2:$G$125,MATCH(E12,'Internal Book'!$H$2:$H$125,0)),0)</f>
        <v/>
      </c>
      <c r="I12" s="12">
        <f>IFERROR(INDEX('Custodian Statement'!$E$2:$E$125,MATCH(E12,'Custodian Statement'!$H$2:$H$125,0)),0)</f>
        <v/>
      </c>
      <c r="J12" s="13">
        <f>IFERROR(INDEX('Custodian Statement'!$F$2:$F$125,MATCH(E12,'Custodian Statement'!$H$2:$H$125,0)),0)</f>
        <v/>
      </c>
      <c r="K12" s="11">
        <f>IFERROR(INDEX('Custodian Statement'!$G$2:$G$125,MATCH(E12,'Custodian Statement'!$H$2:$H$125,0)),0)</f>
        <v/>
      </c>
      <c r="L12" s="12">
        <f>F12-I12</f>
        <v/>
      </c>
      <c r="M12" s="11">
        <f>H12-K12</f>
        <v/>
      </c>
      <c r="N12" s="12">
        <f>IFERROR((G12-J12)/J12*10000,0)</f>
        <v/>
      </c>
      <c r="O12" s="6">
        <f>COUNTIF('Internal Book'!$H$2:$H$125,E12)</f>
        <v/>
      </c>
      <c r="P12" s="6">
        <f>COUNTIF('Custodian Statement'!$H$2:$H$125,E12)</f>
        <v/>
      </c>
      <c r="Q12" s="6">
        <f>IF(O12=0,"MISSING IN INTERNAL",IF(P12=0,"MISSING IN CUSTODIAN",IF(AND(D12="Cash",ABS(M12)&gt;Parameters!$B$4),"CASH BREAK",IF(L12&lt;&gt;0,"QUANTITY BREAK",IF(ABS(N12)&gt;Parameters!$B$3,"PRICE BREAK",IF(ABS(M12)&gt;Parameters!$B$4,"MV BREAK","MATCHED"))))))</f>
        <v/>
      </c>
      <c r="R12" s="14">
        <f>IFERROR(INDEX('Break Register'!$B$2:$B$10,MATCH(E12,'Break Register'!$A$2:$A$10,0)),"")</f>
        <v/>
      </c>
      <c r="S12" s="12">
        <f>IF(R12="","",Parameters!$B$2-R12)</f>
        <v/>
      </c>
      <c r="T12" s="6">
        <f>IF(S12="","",IF(S12&lt;=2,"0-2 days",IF(S12&lt;=5,"3-5 days",IF(S12&lt;=10,"6-10 days",IF(S12&lt;=30,"11-30 days","30+ days")))))</f>
        <v/>
      </c>
      <c r="U12" s="6">
        <f>IFERROR(INDEX('Break Register'!$C$2:$C$10,MATCH(E12,'Break Register'!$A$2:$A$10,0)),"")</f>
        <v/>
      </c>
      <c r="V12" s="11">
        <f>ABS(M12)</f>
        <v/>
      </c>
      <c r="W12" s="6">
        <f>IF(Q12="MATCHED",0,1)</f>
        <v/>
      </c>
    </row>
    <row r="13">
      <c r="A13" s="6" t="inlineStr">
        <is>
          <t>BALM</t>
        </is>
      </c>
      <c r="B13" s="6" t="inlineStr">
        <is>
          <t>BD0080</t>
        </is>
      </c>
      <c r="C13" s="6" t="inlineStr">
        <is>
          <t>Corporate Note Series 20</t>
        </is>
      </c>
      <c r="D13" s="6" t="inlineStr">
        <is>
          <t>Bond</t>
        </is>
      </c>
      <c r="E13" s="6">
        <f>A13&amp;"|"&amp;B13</f>
        <v/>
      </c>
      <c r="F13" s="12">
        <f>IFERROR(INDEX('Internal Book'!$E$2:$E$125,MATCH(E13,'Internal Book'!$H$2:$H$125,0)),0)</f>
        <v/>
      </c>
      <c r="G13" s="13">
        <f>IFERROR(INDEX('Internal Book'!$F$2:$F$125,MATCH(E13,'Internal Book'!$H$2:$H$125,0)),0)</f>
        <v/>
      </c>
      <c r="H13" s="11">
        <f>IFERROR(INDEX('Internal Book'!$G$2:$G$125,MATCH(E13,'Internal Book'!$H$2:$H$125,0)),0)</f>
        <v/>
      </c>
      <c r="I13" s="12">
        <f>IFERROR(INDEX('Custodian Statement'!$E$2:$E$125,MATCH(E13,'Custodian Statement'!$H$2:$H$125,0)),0)</f>
        <v/>
      </c>
      <c r="J13" s="13">
        <f>IFERROR(INDEX('Custodian Statement'!$F$2:$F$125,MATCH(E13,'Custodian Statement'!$H$2:$H$125,0)),0)</f>
        <v/>
      </c>
      <c r="K13" s="11">
        <f>IFERROR(INDEX('Custodian Statement'!$G$2:$G$125,MATCH(E13,'Custodian Statement'!$H$2:$H$125,0)),0)</f>
        <v/>
      </c>
      <c r="L13" s="12">
        <f>F13-I13</f>
        <v/>
      </c>
      <c r="M13" s="11">
        <f>H13-K13</f>
        <v/>
      </c>
      <c r="N13" s="12">
        <f>IFERROR((G13-J13)/J13*10000,0)</f>
        <v/>
      </c>
      <c r="O13" s="6">
        <f>COUNTIF('Internal Book'!$H$2:$H$125,E13)</f>
        <v/>
      </c>
      <c r="P13" s="6">
        <f>COUNTIF('Custodian Statement'!$H$2:$H$125,E13)</f>
        <v/>
      </c>
      <c r="Q13" s="6">
        <f>IF(O13=0,"MISSING IN INTERNAL",IF(P13=0,"MISSING IN CUSTODIAN",IF(AND(D13="Cash",ABS(M13)&gt;Parameters!$B$4),"CASH BREAK",IF(L13&lt;&gt;0,"QUANTITY BREAK",IF(ABS(N13)&gt;Parameters!$B$3,"PRICE BREAK",IF(ABS(M13)&gt;Parameters!$B$4,"MV BREAK","MATCHED"))))))</f>
        <v/>
      </c>
      <c r="R13" s="14">
        <f>IFERROR(INDEX('Break Register'!$B$2:$B$10,MATCH(E13,'Break Register'!$A$2:$A$10,0)),"")</f>
        <v/>
      </c>
      <c r="S13" s="12">
        <f>IF(R13="","",Parameters!$B$2-R13)</f>
        <v/>
      </c>
      <c r="T13" s="6">
        <f>IF(S13="","",IF(S13&lt;=2,"0-2 days",IF(S13&lt;=5,"3-5 days",IF(S13&lt;=10,"6-10 days",IF(S13&lt;=30,"11-30 days","30+ days")))))</f>
        <v/>
      </c>
      <c r="U13" s="6">
        <f>IFERROR(INDEX('Break Register'!$C$2:$C$10,MATCH(E13,'Break Register'!$A$2:$A$10,0)),"")</f>
        <v/>
      </c>
      <c r="V13" s="11">
        <f>ABS(M13)</f>
        <v/>
      </c>
      <c r="W13" s="6">
        <f>IF(Q13="MATCHED",0,1)</f>
        <v/>
      </c>
    </row>
    <row r="14">
      <c r="A14" s="6" t="inlineStr">
        <is>
          <t>BALM</t>
        </is>
      </c>
      <c r="B14" s="6" t="inlineStr">
        <is>
          <t>CASH_USD_BALM</t>
        </is>
      </c>
      <c r="C14" s="6" t="inlineStr">
        <is>
          <t>USD Cash</t>
        </is>
      </c>
      <c r="D14" s="6" t="inlineStr">
        <is>
          <t>Cash</t>
        </is>
      </c>
      <c r="E14" s="6">
        <f>A14&amp;"|"&amp;B14</f>
        <v/>
      </c>
      <c r="F14" s="12">
        <f>IFERROR(INDEX('Internal Book'!$E$2:$E$125,MATCH(E14,'Internal Book'!$H$2:$H$125,0)),0)</f>
        <v/>
      </c>
      <c r="G14" s="13">
        <f>IFERROR(INDEX('Internal Book'!$F$2:$F$125,MATCH(E14,'Internal Book'!$H$2:$H$125,0)),0)</f>
        <v/>
      </c>
      <c r="H14" s="11">
        <f>IFERROR(INDEX('Internal Book'!$G$2:$G$125,MATCH(E14,'Internal Book'!$H$2:$H$125,0)),0)</f>
        <v/>
      </c>
      <c r="I14" s="12">
        <f>IFERROR(INDEX('Custodian Statement'!$E$2:$E$125,MATCH(E14,'Custodian Statement'!$H$2:$H$125,0)),0)</f>
        <v/>
      </c>
      <c r="J14" s="13">
        <f>IFERROR(INDEX('Custodian Statement'!$F$2:$F$125,MATCH(E14,'Custodian Statement'!$H$2:$H$125,0)),0)</f>
        <v/>
      </c>
      <c r="K14" s="11">
        <f>IFERROR(INDEX('Custodian Statement'!$G$2:$G$125,MATCH(E14,'Custodian Statement'!$H$2:$H$125,0)),0)</f>
        <v/>
      </c>
      <c r="L14" s="12">
        <f>F14-I14</f>
        <v/>
      </c>
      <c r="M14" s="11">
        <f>H14-K14</f>
        <v/>
      </c>
      <c r="N14" s="12">
        <f>IFERROR((G14-J14)/J14*10000,0)</f>
        <v/>
      </c>
      <c r="O14" s="6">
        <f>COUNTIF('Internal Book'!$H$2:$H$125,E14)</f>
        <v/>
      </c>
      <c r="P14" s="6">
        <f>COUNTIF('Custodian Statement'!$H$2:$H$125,E14)</f>
        <v/>
      </c>
      <c r="Q14" s="6">
        <f>IF(O14=0,"MISSING IN INTERNAL",IF(P14=0,"MISSING IN CUSTODIAN",IF(AND(D14="Cash",ABS(M14)&gt;Parameters!$B$4),"CASH BREAK",IF(L14&lt;&gt;0,"QUANTITY BREAK",IF(ABS(N14)&gt;Parameters!$B$3,"PRICE BREAK",IF(ABS(M14)&gt;Parameters!$B$4,"MV BREAK","MATCHED"))))))</f>
        <v/>
      </c>
      <c r="R14" s="14">
        <f>IFERROR(INDEX('Break Register'!$B$2:$B$10,MATCH(E14,'Break Register'!$A$2:$A$10,0)),"")</f>
        <v/>
      </c>
      <c r="S14" s="12">
        <f>IF(R14="","",Parameters!$B$2-R14)</f>
        <v/>
      </c>
      <c r="T14" s="6">
        <f>IF(S14="","",IF(S14&lt;=2,"0-2 days",IF(S14&lt;=5,"3-5 days",IF(S14&lt;=10,"6-10 days",IF(S14&lt;=30,"11-30 days","30+ days")))))</f>
        <v/>
      </c>
      <c r="U14" s="6">
        <f>IFERROR(INDEX('Break Register'!$C$2:$C$10,MATCH(E14,'Break Register'!$A$2:$A$10,0)),"")</f>
        <v/>
      </c>
      <c r="V14" s="11">
        <f>ABS(M14)</f>
        <v/>
      </c>
      <c r="W14" s="6">
        <f>IF(Q14="MATCHED",0,1)</f>
        <v/>
      </c>
    </row>
    <row r="15">
      <c r="A15" s="6" t="inlineStr">
        <is>
          <t>BALM</t>
        </is>
      </c>
      <c r="B15" s="6" t="inlineStr">
        <is>
          <t>EQ0001</t>
        </is>
      </c>
      <c r="C15" s="6" t="inlineStr">
        <is>
          <t>Apple Inc</t>
        </is>
      </c>
      <c r="D15" s="6" t="inlineStr">
        <is>
          <t>Equity</t>
        </is>
      </c>
      <c r="E15" s="6">
        <f>A15&amp;"|"&amp;B15</f>
        <v/>
      </c>
      <c r="F15" s="12">
        <f>IFERROR(INDEX('Internal Book'!$E$2:$E$125,MATCH(E15,'Internal Book'!$H$2:$H$125,0)),0)</f>
        <v/>
      </c>
      <c r="G15" s="13">
        <f>IFERROR(INDEX('Internal Book'!$F$2:$F$125,MATCH(E15,'Internal Book'!$H$2:$H$125,0)),0)</f>
        <v/>
      </c>
      <c r="H15" s="11">
        <f>IFERROR(INDEX('Internal Book'!$G$2:$G$125,MATCH(E15,'Internal Book'!$H$2:$H$125,0)),0)</f>
        <v/>
      </c>
      <c r="I15" s="12">
        <f>IFERROR(INDEX('Custodian Statement'!$E$2:$E$125,MATCH(E15,'Custodian Statement'!$H$2:$H$125,0)),0)</f>
        <v/>
      </c>
      <c r="J15" s="13">
        <f>IFERROR(INDEX('Custodian Statement'!$F$2:$F$125,MATCH(E15,'Custodian Statement'!$H$2:$H$125,0)),0)</f>
        <v/>
      </c>
      <c r="K15" s="11">
        <f>IFERROR(INDEX('Custodian Statement'!$G$2:$G$125,MATCH(E15,'Custodian Statement'!$H$2:$H$125,0)),0)</f>
        <v/>
      </c>
      <c r="L15" s="12">
        <f>F15-I15</f>
        <v/>
      </c>
      <c r="M15" s="11">
        <f>H15-K15</f>
        <v/>
      </c>
      <c r="N15" s="12">
        <f>IFERROR((G15-J15)/J15*10000,0)</f>
        <v/>
      </c>
      <c r="O15" s="6">
        <f>COUNTIF('Internal Book'!$H$2:$H$125,E15)</f>
        <v/>
      </c>
      <c r="P15" s="6">
        <f>COUNTIF('Custodian Statement'!$H$2:$H$125,E15)</f>
        <v/>
      </c>
      <c r="Q15" s="6">
        <f>IF(O15=0,"MISSING IN INTERNAL",IF(P15=0,"MISSING IN CUSTODIAN",IF(AND(D15="Cash",ABS(M15)&gt;Parameters!$B$4),"CASH BREAK",IF(L15&lt;&gt;0,"QUANTITY BREAK",IF(ABS(N15)&gt;Parameters!$B$3,"PRICE BREAK",IF(ABS(M15)&gt;Parameters!$B$4,"MV BREAK","MATCHED"))))))</f>
        <v/>
      </c>
      <c r="R15" s="14">
        <f>IFERROR(INDEX('Break Register'!$B$2:$B$10,MATCH(E15,'Break Register'!$A$2:$A$10,0)),"")</f>
        <v/>
      </c>
      <c r="S15" s="12">
        <f>IF(R15="","",Parameters!$B$2-R15)</f>
        <v/>
      </c>
      <c r="T15" s="6">
        <f>IF(S15="","",IF(S15&lt;=2,"0-2 days",IF(S15&lt;=5,"3-5 days",IF(S15&lt;=10,"6-10 days",IF(S15&lt;=30,"11-30 days","30+ days")))))</f>
        <v/>
      </c>
      <c r="U15" s="6">
        <f>IFERROR(INDEX('Break Register'!$C$2:$C$10,MATCH(E15,'Break Register'!$A$2:$A$10,0)),"")</f>
        <v/>
      </c>
      <c r="V15" s="11">
        <f>ABS(M15)</f>
        <v/>
      </c>
      <c r="W15" s="6">
        <f>IF(Q15="MATCHED",0,1)</f>
        <v/>
      </c>
    </row>
    <row r="16">
      <c r="A16" s="6" t="inlineStr">
        <is>
          <t>BALM</t>
        </is>
      </c>
      <c r="B16" s="6" t="inlineStr">
        <is>
          <t>EQ0002</t>
        </is>
      </c>
      <c r="C16" s="6" t="inlineStr">
        <is>
          <t>Microsoft Corp</t>
        </is>
      </c>
      <c r="D16" s="6" t="inlineStr">
        <is>
          <t>Equity</t>
        </is>
      </c>
      <c r="E16" s="6">
        <f>A16&amp;"|"&amp;B16</f>
        <v/>
      </c>
      <c r="F16" s="12">
        <f>IFERROR(INDEX('Internal Book'!$E$2:$E$125,MATCH(E16,'Internal Book'!$H$2:$H$125,0)),0)</f>
        <v/>
      </c>
      <c r="G16" s="13">
        <f>IFERROR(INDEX('Internal Book'!$F$2:$F$125,MATCH(E16,'Internal Book'!$H$2:$H$125,0)),0)</f>
        <v/>
      </c>
      <c r="H16" s="11">
        <f>IFERROR(INDEX('Internal Book'!$G$2:$G$125,MATCH(E16,'Internal Book'!$H$2:$H$125,0)),0)</f>
        <v/>
      </c>
      <c r="I16" s="12">
        <f>IFERROR(INDEX('Custodian Statement'!$E$2:$E$125,MATCH(E16,'Custodian Statement'!$H$2:$H$125,0)),0)</f>
        <v/>
      </c>
      <c r="J16" s="13">
        <f>IFERROR(INDEX('Custodian Statement'!$F$2:$F$125,MATCH(E16,'Custodian Statement'!$H$2:$H$125,0)),0)</f>
        <v/>
      </c>
      <c r="K16" s="11">
        <f>IFERROR(INDEX('Custodian Statement'!$G$2:$G$125,MATCH(E16,'Custodian Statement'!$H$2:$H$125,0)),0)</f>
        <v/>
      </c>
      <c r="L16" s="12">
        <f>F16-I16</f>
        <v/>
      </c>
      <c r="M16" s="11">
        <f>H16-K16</f>
        <v/>
      </c>
      <c r="N16" s="12">
        <f>IFERROR((G16-J16)/J16*10000,0)</f>
        <v/>
      </c>
      <c r="O16" s="6">
        <f>COUNTIF('Internal Book'!$H$2:$H$125,E16)</f>
        <v/>
      </c>
      <c r="P16" s="6">
        <f>COUNTIF('Custodian Statement'!$H$2:$H$125,E16)</f>
        <v/>
      </c>
      <c r="Q16" s="6">
        <f>IF(O16=0,"MISSING IN INTERNAL",IF(P16=0,"MISSING IN CUSTODIAN",IF(AND(D16="Cash",ABS(M16)&gt;Parameters!$B$4),"CASH BREAK",IF(L16&lt;&gt;0,"QUANTITY BREAK",IF(ABS(N16)&gt;Parameters!$B$3,"PRICE BREAK",IF(ABS(M16)&gt;Parameters!$B$4,"MV BREAK","MATCHED"))))))</f>
        <v/>
      </c>
      <c r="R16" s="14">
        <f>IFERROR(INDEX('Break Register'!$B$2:$B$10,MATCH(E16,'Break Register'!$A$2:$A$10,0)),"")</f>
        <v/>
      </c>
      <c r="S16" s="12">
        <f>IF(R16="","",Parameters!$B$2-R16)</f>
        <v/>
      </c>
      <c r="T16" s="6">
        <f>IF(S16="","",IF(S16&lt;=2,"0-2 days",IF(S16&lt;=5,"3-5 days",IF(S16&lt;=10,"6-10 days",IF(S16&lt;=30,"11-30 days","30+ days")))))</f>
        <v/>
      </c>
      <c r="U16" s="6">
        <f>IFERROR(INDEX('Break Register'!$C$2:$C$10,MATCH(E16,'Break Register'!$A$2:$A$10,0)),"")</f>
        <v/>
      </c>
      <c r="V16" s="11">
        <f>ABS(M16)</f>
        <v/>
      </c>
      <c r="W16" s="6">
        <f>IF(Q16="MATCHED",0,1)</f>
        <v/>
      </c>
    </row>
    <row r="17">
      <c r="A17" s="6" t="inlineStr">
        <is>
          <t>BALM</t>
        </is>
      </c>
      <c r="B17" s="6" t="inlineStr">
        <is>
          <t>EQ0003</t>
        </is>
      </c>
      <c r="C17" s="6" t="inlineStr">
        <is>
          <t>Nestle SA</t>
        </is>
      </c>
      <c r="D17" s="6" t="inlineStr">
        <is>
          <t>Equity</t>
        </is>
      </c>
      <c r="E17" s="6">
        <f>A17&amp;"|"&amp;B17</f>
        <v/>
      </c>
      <c r="F17" s="12">
        <f>IFERROR(INDEX('Internal Book'!$E$2:$E$125,MATCH(E17,'Internal Book'!$H$2:$H$125,0)),0)</f>
        <v/>
      </c>
      <c r="G17" s="13">
        <f>IFERROR(INDEX('Internal Book'!$F$2:$F$125,MATCH(E17,'Internal Book'!$H$2:$H$125,0)),0)</f>
        <v/>
      </c>
      <c r="H17" s="11">
        <f>IFERROR(INDEX('Internal Book'!$G$2:$G$125,MATCH(E17,'Internal Book'!$H$2:$H$125,0)),0)</f>
        <v/>
      </c>
      <c r="I17" s="12">
        <f>IFERROR(INDEX('Custodian Statement'!$E$2:$E$125,MATCH(E17,'Custodian Statement'!$H$2:$H$125,0)),0)</f>
        <v/>
      </c>
      <c r="J17" s="13">
        <f>IFERROR(INDEX('Custodian Statement'!$F$2:$F$125,MATCH(E17,'Custodian Statement'!$H$2:$H$125,0)),0)</f>
        <v/>
      </c>
      <c r="K17" s="11">
        <f>IFERROR(INDEX('Custodian Statement'!$G$2:$G$125,MATCH(E17,'Custodian Statement'!$H$2:$H$125,0)),0)</f>
        <v/>
      </c>
      <c r="L17" s="12">
        <f>F17-I17</f>
        <v/>
      </c>
      <c r="M17" s="11">
        <f>H17-K17</f>
        <v/>
      </c>
      <c r="N17" s="12">
        <f>IFERROR((G17-J17)/J17*10000,0)</f>
        <v/>
      </c>
      <c r="O17" s="6">
        <f>COUNTIF('Internal Book'!$H$2:$H$125,E17)</f>
        <v/>
      </c>
      <c r="P17" s="6">
        <f>COUNTIF('Custodian Statement'!$H$2:$H$125,E17)</f>
        <v/>
      </c>
      <c r="Q17" s="6">
        <f>IF(O17=0,"MISSING IN INTERNAL",IF(P17=0,"MISSING IN CUSTODIAN",IF(AND(D17="Cash",ABS(M17)&gt;Parameters!$B$4),"CASH BREAK",IF(L17&lt;&gt;0,"QUANTITY BREAK",IF(ABS(N17)&gt;Parameters!$B$3,"PRICE BREAK",IF(ABS(M17)&gt;Parameters!$B$4,"MV BREAK","MATCHED"))))))</f>
        <v/>
      </c>
      <c r="R17" s="14">
        <f>IFERROR(INDEX('Break Register'!$B$2:$B$10,MATCH(E17,'Break Register'!$A$2:$A$10,0)),"")</f>
        <v/>
      </c>
      <c r="S17" s="12">
        <f>IF(R17="","",Parameters!$B$2-R17)</f>
        <v/>
      </c>
      <c r="T17" s="6">
        <f>IF(S17="","",IF(S17&lt;=2,"0-2 days",IF(S17&lt;=5,"3-5 days",IF(S17&lt;=10,"6-10 days",IF(S17&lt;=30,"11-30 days","30+ days")))))</f>
        <v/>
      </c>
      <c r="U17" s="6">
        <f>IFERROR(INDEX('Break Register'!$C$2:$C$10,MATCH(E17,'Break Register'!$A$2:$A$10,0)),"")</f>
        <v/>
      </c>
      <c r="V17" s="11">
        <f>ABS(M17)</f>
        <v/>
      </c>
      <c r="W17" s="6">
        <f>IF(Q17="MATCHED",0,1)</f>
        <v/>
      </c>
    </row>
    <row r="18">
      <c r="A18" s="6" t="inlineStr">
        <is>
          <t>BALM</t>
        </is>
      </c>
      <c r="B18" s="6" t="inlineStr">
        <is>
          <t>EQ0004</t>
        </is>
      </c>
      <c r="C18" s="6" t="inlineStr">
        <is>
          <t>Toyota Motor</t>
        </is>
      </c>
      <c r="D18" s="6" t="inlineStr">
        <is>
          <t>Equity</t>
        </is>
      </c>
      <c r="E18" s="6">
        <f>A18&amp;"|"&amp;B18</f>
        <v/>
      </c>
      <c r="F18" s="12">
        <f>IFERROR(INDEX('Internal Book'!$E$2:$E$125,MATCH(E18,'Internal Book'!$H$2:$H$125,0)),0)</f>
        <v/>
      </c>
      <c r="G18" s="13">
        <f>IFERROR(INDEX('Internal Book'!$F$2:$F$125,MATCH(E18,'Internal Book'!$H$2:$H$125,0)),0)</f>
        <v/>
      </c>
      <c r="H18" s="11">
        <f>IFERROR(INDEX('Internal Book'!$G$2:$G$125,MATCH(E18,'Internal Book'!$H$2:$H$125,0)),0)</f>
        <v/>
      </c>
      <c r="I18" s="12">
        <f>IFERROR(INDEX('Custodian Statement'!$E$2:$E$125,MATCH(E18,'Custodian Statement'!$H$2:$H$125,0)),0)</f>
        <v/>
      </c>
      <c r="J18" s="13">
        <f>IFERROR(INDEX('Custodian Statement'!$F$2:$F$125,MATCH(E18,'Custodian Statement'!$H$2:$H$125,0)),0)</f>
        <v/>
      </c>
      <c r="K18" s="11">
        <f>IFERROR(INDEX('Custodian Statement'!$G$2:$G$125,MATCH(E18,'Custodian Statement'!$H$2:$H$125,0)),0)</f>
        <v/>
      </c>
      <c r="L18" s="12">
        <f>F18-I18</f>
        <v/>
      </c>
      <c r="M18" s="11">
        <f>H18-K18</f>
        <v/>
      </c>
      <c r="N18" s="12">
        <f>IFERROR((G18-J18)/J18*10000,0)</f>
        <v/>
      </c>
      <c r="O18" s="6">
        <f>COUNTIF('Internal Book'!$H$2:$H$125,E18)</f>
        <v/>
      </c>
      <c r="P18" s="6">
        <f>COUNTIF('Custodian Statement'!$H$2:$H$125,E18)</f>
        <v/>
      </c>
      <c r="Q18" s="6">
        <f>IF(O18=0,"MISSING IN INTERNAL",IF(P18=0,"MISSING IN CUSTODIAN",IF(AND(D18="Cash",ABS(M18)&gt;Parameters!$B$4),"CASH BREAK",IF(L18&lt;&gt;0,"QUANTITY BREAK",IF(ABS(N18)&gt;Parameters!$B$3,"PRICE BREAK",IF(ABS(M18)&gt;Parameters!$B$4,"MV BREAK","MATCHED"))))))</f>
        <v/>
      </c>
      <c r="R18" s="14">
        <f>IFERROR(INDEX('Break Register'!$B$2:$B$10,MATCH(E18,'Break Register'!$A$2:$A$10,0)),"")</f>
        <v/>
      </c>
      <c r="S18" s="12">
        <f>IF(R18="","",Parameters!$B$2-R18)</f>
        <v/>
      </c>
      <c r="T18" s="6">
        <f>IF(S18="","",IF(S18&lt;=2,"0-2 days",IF(S18&lt;=5,"3-5 days",IF(S18&lt;=10,"6-10 days",IF(S18&lt;=30,"11-30 days","30+ days")))))</f>
        <v/>
      </c>
      <c r="U18" s="6">
        <f>IFERROR(INDEX('Break Register'!$C$2:$C$10,MATCH(E18,'Break Register'!$A$2:$A$10,0)),"")</f>
        <v/>
      </c>
      <c r="V18" s="11">
        <f>ABS(M18)</f>
        <v/>
      </c>
      <c r="W18" s="6">
        <f>IF(Q18="MATCHED",0,1)</f>
        <v/>
      </c>
    </row>
    <row r="19">
      <c r="A19" s="6" t="inlineStr">
        <is>
          <t>BALM</t>
        </is>
      </c>
      <c r="B19" s="6" t="inlineStr">
        <is>
          <t>EQ0005</t>
        </is>
      </c>
      <c r="C19" s="6" t="inlineStr">
        <is>
          <t>HSBC Holdings</t>
        </is>
      </c>
      <c r="D19" s="6" t="inlineStr">
        <is>
          <t>Equity</t>
        </is>
      </c>
      <c r="E19" s="6">
        <f>A19&amp;"|"&amp;B19</f>
        <v/>
      </c>
      <c r="F19" s="12">
        <f>IFERROR(INDEX('Internal Book'!$E$2:$E$125,MATCH(E19,'Internal Book'!$H$2:$H$125,0)),0)</f>
        <v/>
      </c>
      <c r="G19" s="13">
        <f>IFERROR(INDEX('Internal Book'!$F$2:$F$125,MATCH(E19,'Internal Book'!$H$2:$H$125,0)),0)</f>
        <v/>
      </c>
      <c r="H19" s="11">
        <f>IFERROR(INDEX('Internal Book'!$G$2:$G$125,MATCH(E19,'Internal Book'!$H$2:$H$125,0)),0)</f>
        <v/>
      </c>
      <c r="I19" s="12">
        <f>IFERROR(INDEX('Custodian Statement'!$E$2:$E$125,MATCH(E19,'Custodian Statement'!$H$2:$H$125,0)),0)</f>
        <v/>
      </c>
      <c r="J19" s="13">
        <f>IFERROR(INDEX('Custodian Statement'!$F$2:$F$125,MATCH(E19,'Custodian Statement'!$H$2:$H$125,0)),0)</f>
        <v/>
      </c>
      <c r="K19" s="11">
        <f>IFERROR(INDEX('Custodian Statement'!$G$2:$G$125,MATCH(E19,'Custodian Statement'!$H$2:$H$125,0)),0)</f>
        <v/>
      </c>
      <c r="L19" s="12">
        <f>F19-I19</f>
        <v/>
      </c>
      <c r="M19" s="11">
        <f>H19-K19</f>
        <v/>
      </c>
      <c r="N19" s="12">
        <f>IFERROR((G19-J19)/J19*10000,0)</f>
        <v/>
      </c>
      <c r="O19" s="6">
        <f>COUNTIF('Internal Book'!$H$2:$H$125,E19)</f>
        <v/>
      </c>
      <c r="P19" s="6">
        <f>COUNTIF('Custodian Statement'!$H$2:$H$125,E19)</f>
        <v/>
      </c>
      <c r="Q19" s="6">
        <f>IF(O19=0,"MISSING IN INTERNAL",IF(P19=0,"MISSING IN CUSTODIAN",IF(AND(D19="Cash",ABS(M19)&gt;Parameters!$B$4),"CASH BREAK",IF(L19&lt;&gt;0,"QUANTITY BREAK",IF(ABS(N19)&gt;Parameters!$B$3,"PRICE BREAK",IF(ABS(M19)&gt;Parameters!$B$4,"MV BREAK","MATCHED"))))))</f>
        <v/>
      </c>
      <c r="R19" s="14">
        <f>IFERROR(INDEX('Break Register'!$B$2:$B$10,MATCH(E19,'Break Register'!$A$2:$A$10,0)),"")</f>
        <v/>
      </c>
      <c r="S19" s="12">
        <f>IF(R19="","",Parameters!$B$2-R19)</f>
        <v/>
      </c>
      <c r="T19" s="6">
        <f>IF(S19="","",IF(S19&lt;=2,"0-2 days",IF(S19&lt;=5,"3-5 days",IF(S19&lt;=10,"6-10 days",IF(S19&lt;=30,"11-30 days","30+ days")))))</f>
        <v/>
      </c>
      <c r="U19" s="6">
        <f>IFERROR(INDEX('Break Register'!$C$2:$C$10,MATCH(E19,'Break Register'!$A$2:$A$10,0)),"")</f>
        <v/>
      </c>
      <c r="V19" s="11">
        <f>ABS(M19)</f>
        <v/>
      </c>
      <c r="W19" s="6">
        <f>IF(Q19="MATCHED",0,1)</f>
        <v/>
      </c>
    </row>
    <row r="20">
      <c r="A20" s="6" t="inlineStr">
        <is>
          <t>BALM</t>
        </is>
      </c>
      <c r="B20" s="6" t="inlineStr">
        <is>
          <t>EQ0010</t>
        </is>
      </c>
      <c r="C20" s="6" t="inlineStr">
        <is>
          <t>LVMH</t>
        </is>
      </c>
      <c r="D20" s="6" t="inlineStr">
        <is>
          <t>Equity</t>
        </is>
      </c>
      <c r="E20" s="6">
        <f>A20&amp;"|"&amp;B20</f>
        <v/>
      </c>
      <c r="F20" s="12">
        <f>IFERROR(INDEX('Internal Book'!$E$2:$E$125,MATCH(E20,'Internal Book'!$H$2:$H$125,0)),0)</f>
        <v/>
      </c>
      <c r="G20" s="13">
        <f>IFERROR(INDEX('Internal Book'!$F$2:$F$125,MATCH(E20,'Internal Book'!$H$2:$H$125,0)),0)</f>
        <v/>
      </c>
      <c r="H20" s="11">
        <f>IFERROR(INDEX('Internal Book'!$G$2:$G$125,MATCH(E20,'Internal Book'!$H$2:$H$125,0)),0)</f>
        <v/>
      </c>
      <c r="I20" s="12">
        <f>IFERROR(INDEX('Custodian Statement'!$E$2:$E$125,MATCH(E20,'Custodian Statement'!$H$2:$H$125,0)),0)</f>
        <v/>
      </c>
      <c r="J20" s="13">
        <f>IFERROR(INDEX('Custodian Statement'!$F$2:$F$125,MATCH(E20,'Custodian Statement'!$H$2:$H$125,0)),0)</f>
        <v/>
      </c>
      <c r="K20" s="11">
        <f>IFERROR(INDEX('Custodian Statement'!$G$2:$G$125,MATCH(E20,'Custodian Statement'!$H$2:$H$125,0)),0)</f>
        <v/>
      </c>
      <c r="L20" s="12">
        <f>F20-I20</f>
        <v/>
      </c>
      <c r="M20" s="11">
        <f>H20-K20</f>
        <v/>
      </c>
      <c r="N20" s="12">
        <f>IFERROR((G20-J20)/J20*10000,0)</f>
        <v/>
      </c>
      <c r="O20" s="6">
        <f>COUNTIF('Internal Book'!$H$2:$H$125,E20)</f>
        <v/>
      </c>
      <c r="P20" s="6">
        <f>COUNTIF('Custodian Statement'!$H$2:$H$125,E20)</f>
        <v/>
      </c>
      <c r="Q20" s="6">
        <f>IF(O20=0,"MISSING IN INTERNAL",IF(P20=0,"MISSING IN CUSTODIAN",IF(AND(D20="Cash",ABS(M20)&gt;Parameters!$B$4),"CASH BREAK",IF(L20&lt;&gt;0,"QUANTITY BREAK",IF(ABS(N20)&gt;Parameters!$B$3,"PRICE BREAK",IF(ABS(M20)&gt;Parameters!$B$4,"MV BREAK","MATCHED"))))))</f>
        <v/>
      </c>
      <c r="R20" s="14">
        <f>IFERROR(INDEX('Break Register'!$B$2:$B$10,MATCH(E20,'Break Register'!$A$2:$A$10,0)),"")</f>
        <v/>
      </c>
      <c r="S20" s="12">
        <f>IF(R20="","",Parameters!$B$2-R20)</f>
        <v/>
      </c>
      <c r="T20" s="6">
        <f>IF(S20="","",IF(S20&lt;=2,"0-2 days",IF(S20&lt;=5,"3-5 days",IF(S20&lt;=10,"6-10 days",IF(S20&lt;=30,"11-30 days","30+ days")))))</f>
        <v/>
      </c>
      <c r="U20" s="6">
        <f>IFERROR(INDEX('Break Register'!$C$2:$C$10,MATCH(E20,'Break Register'!$A$2:$A$10,0)),"")</f>
        <v/>
      </c>
      <c r="V20" s="11">
        <f>ABS(M20)</f>
        <v/>
      </c>
      <c r="W20" s="6">
        <f>IF(Q20="MATCHED",0,1)</f>
        <v/>
      </c>
    </row>
    <row r="21">
      <c r="A21" s="6" t="inlineStr">
        <is>
          <t>BALM</t>
        </is>
      </c>
      <c r="B21" s="6" t="inlineStr">
        <is>
          <t>EQ0011</t>
        </is>
      </c>
      <c r="C21" s="6" t="inlineStr">
        <is>
          <t>SAP SE</t>
        </is>
      </c>
      <c r="D21" s="6" t="inlineStr">
        <is>
          <t>Equity</t>
        </is>
      </c>
      <c r="E21" s="6">
        <f>A21&amp;"|"&amp;B21</f>
        <v/>
      </c>
      <c r="F21" s="12">
        <f>IFERROR(INDEX('Internal Book'!$E$2:$E$125,MATCH(E21,'Internal Book'!$H$2:$H$125,0)),0)</f>
        <v/>
      </c>
      <c r="G21" s="13">
        <f>IFERROR(INDEX('Internal Book'!$F$2:$F$125,MATCH(E21,'Internal Book'!$H$2:$H$125,0)),0)</f>
        <v/>
      </c>
      <c r="H21" s="11">
        <f>IFERROR(INDEX('Internal Book'!$G$2:$G$125,MATCH(E21,'Internal Book'!$H$2:$H$125,0)),0)</f>
        <v/>
      </c>
      <c r="I21" s="12">
        <f>IFERROR(INDEX('Custodian Statement'!$E$2:$E$125,MATCH(E21,'Custodian Statement'!$H$2:$H$125,0)),0)</f>
        <v/>
      </c>
      <c r="J21" s="13">
        <f>IFERROR(INDEX('Custodian Statement'!$F$2:$F$125,MATCH(E21,'Custodian Statement'!$H$2:$H$125,0)),0)</f>
        <v/>
      </c>
      <c r="K21" s="11">
        <f>IFERROR(INDEX('Custodian Statement'!$G$2:$G$125,MATCH(E21,'Custodian Statement'!$H$2:$H$125,0)),0)</f>
        <v/>
      </c>
      <c r="L21" s="12">
        <f>F21-I21</f>
        <v/>
      </c>
      <c r="M21" s="11">
        <f>H21-K21</f>
        <v/>
      </c>
      <c r="N21" s="12">
        <f>IFERROR((G21-J21)/J21*10000,0)</f>
        <v/>
      </c>
      <c r="O21" s="6">
        <f>COUNTIF('Internal Book'!$H$2:$H$125,E21)</f>
        <v/>
      </c>
      <c r="P21" s="6">
        <f>COUNTIF('Custodian Statement'!$H$2:$H$125,E21)</f>
        <v/>
      </c>
      <c r="Q21" s="6">
        <f>IF(O21=0,"MISSING IN INTERNAL",IF(P21=0,"MISSING IN CUSTODIAN",IF(AND(D21="Cash",ABS(M21)&gt;Parameters!$B$4),"CASH BREAK",IF(L21&lt;&gt;0,"QUANTITY BREAK",IF(ABS(N21)&gt;Parameters!$B$3,"PRICE BREAK",IF(ABS(M21)&gt;Parameters!$B$4,"MV BREAK","MATCHED"))))))</f>
        <v/>
      </c>
      <c r="R21" s="14">
        <f>IFERROR(INDEX('Break Register'!$B$2:$B$10,MATCH(E21,'Break Register'!$A$2:$A$10,0)),"")</f>
        <v/>
      </c>
      <c r="S21" s="12">
        <f>IF(R21="","",Parameters!$B$2-R21)</f>
        <v/>
      </c>
      <c r="T21" s="6">
        <f>IF(S21="","",IF(S21&lt;=2,"0-2 days",IF(S21&lt;=5,"3-5 days",IF(S21&lt;=10,"6-10 days",IF(S21&lt;=30,"11-30 days","30+ days")))))</f>
        <v/>
      </c>
      <c r="U21" s="6">
        <f>IFERROR(INDEX('Break Register'!$C$2:$C$10,MATCH(E21,'Break Register'!$A$2:$A$10,0)),"")</f>
        <v/>
      </c>
      <c r="V21" s="11">
        <f>ABS(M21)</f>
        <v/>
      </c>
      <c r="W21" s="6">
        <f>IF(Q21="MATCHED",0,1)</f>
        <v/>
      </c>
    </row>
    <row r="22">
      <c r="A22" s="6" t="inlineStr">
        <is>
          <t>BALM</t>
        </is>
      </c>
      <c r="B22" s="6" t="inlineStr">
        <is>
          <t>EQ0012</t>
        </is>
      </c>
      <c r="C22" s="6" t="inlineStr">
        <is>
          <t>Unilever PLC</t>
        </is>
      </c>
      <c r="D22" s="6" t="inlineStr">
        <is>
          <t>Equity</t>
        </is>
      </c>
      <c r="E22" s="6">
        <f>A22&amp;"|"&amp;B22</f>
        <v/>
      </c>
      <c r="F22" s="12">
        <f>IFERROR(INDEX('Internal Book'!$E$2:$E$125,MATCH(E22,'Internal Book'!$H$2:$H$125,0)),0)</f>
        <v/>
      </c>
      <c r="G22" s="13">
        <f>IFERROR(INDEX('Internal Book'!$F$2:$F$125,MATCH(E22,'Internal Book'!$H$2:$H$125,0)),0)</f>
        <v/>
      </c>
      <c r="H22" s="11">
        <f>IFERROR(INDEX('Internal Book'!$G$2:$G$125,MATCH(E22,'Internal Book'!$H$2:$H$125,0)),0)</f>
        <v/>
      </c>
      <c r="I22" s="12">
        <f>IFERROR(INDEX('Custodian Statement'!$E$2:$E$125,MATCH(E22,'Custodian Statement'!$H$2:$H$125,0)),0)</f>
        <v/>
      </c>
      <c r="J22" s="13">
        <f>IFERROR(INDEX('Custodian Statement'!$F$2:$F$125,MATCH(E22,'Custodian Statement'!$H$2:$H$125,0)),0)</f>
        <v/>
      </c>
      <c r="K22" s="11">
        <f>IFERROR(INDEX('Custodian Statement'!$G$2:$G$125,MATCH(E22,'Custodian Statement'!$H$2:$H$125,0)),0)</f>
        <v/>
      </c>
      <c r="L22" s="12">
        <f>F22-I22</f>
        <v/>
      </c>
      <c r="M22" s="11">
        <f>H22-K22</f>
        <v/>
      </c>
      <c r="N22" s="12">
        <f>IFERROR((G22-J22)/J22*10000,0)</f>
        <v/>
      </c>
      <c r="O22" s="6">
        <f>COUNTIF('Internal Book'!$H$2:$H$125,E22)</f>
        <v/>
      </c>
      <c r="P22" s="6">
        <f>COUNTIF('Custodian Statement'!$H$2:$H$125,E22)</f>
        <v/>
      </c>
      <c r="Q22" s="6">
        <f>IF(O22=0,"MISSING IN INTERNAL",IF(P22=0,"MISSING IN CUSTODIAN",IF(AND(D22="Cash",ABS(M22)&gt;Parameters!$B$4),"CASH BREAK",IF(L22&lt;&gt;0,"QUANTITY BREAK",IF(ABS(N22)&gt;Parameters!$B$3,"PRICE BREAK",IF(ABS(M22)&gt;Parameters!$B$4,"MV BREAK","MATCHED"))))))</f>
        <v/>
      </c>
      <c r="R22" s="14">
        <f>IFERROR(INDEX('Break Register'!$B$2:$B$10,MATCH(E22,'Break Register'!$A$2:$A$10,0)),"")</f>
        <v/>
      </c>
      <c r="S22" s="12">
        <f>IF(R22="","",Parameters!$B$2-R22)</f>
        <v/>
      </c>
      <c r="T22" s="6">
        <f>IF(S22="","",IF(S22&lt;=2,"0-2 days",IF(S22&lt;=5,"3-5 days",IF(S22&lt;=10,"6-10 days",IF(S22&lt;=30,"11-30 days","30+ days")))))</f>
        <v/>
      </c>
      <c r="U22" s="6">
        <f>IFERROR(INDEX('Break Register'!$C$2:$C$10,MATCH(E22,'Break Register'!$A$2:$A$10,0)),"")</f>
        <v/>
      </c>
      <c r="V22" s="11">
        <f>ABS(M22)</f>
        <v/>
      </c>
      <c r="W22" s="6">
        <f>IF(Q22="MATCHED",0,1)</f>
        <v/>
      </c>
    </row>
    <row r="23">
      <c r="A23" s="6" t="inlineStr">
        <is>
          <t>BALM</t>
        </is>
      </c>
      <c r="B23" s="6" t="inlineStr">
        <is>
          <t>EQ0014</t>
        </is>
      </c>
      <c r="C23" s="6" t="inlineStr">
        <is>
          <t>Siemens AG</t>
        </is>
      </c>
      <c r="D23" s="6" t="inlineStr">
        <is>
          <t>Equity</t>
        </is>
      </c>
      <c r="E23" s="6">
        <f>A23&amp;"|"&amp;B23</f>
        <v/>
      </c>
      <c r="F23" s="12">
        <f>IFERROR(INDEX('Internal Book'!$E$2:$E$125,MATCH(E23,'Internal Book'!$H$2:$H$125,0)),0)</f>
        <v/>
      </c>
      <c r="G23" s="13">
        <f>IFERROR(INDEX('Internal Book'!$F$2:$F$125,MATCH(E23,'Internal Book'!$H$2:$H$125,0)),0)</f>
        <v/>
      </c>
      <c r="H23" s="11">
        <f>IFERROR(INDEX('Internal Book'!$G$2:$G$125,MATCH(E23,'Internal Book'!$H$2:$H$125,0)),0)</f>
        <v/>
      </c>
      <c r="I23" s="12">
        <f>IFERROR(INDEX('Custodian Statement'!$E$2:$E$125,MATCH(E23,'Custodian Statement'!$H$2:$H$125,0)),0)</f>
        <v/>
      </c>
      <c r="J23" s="13">
        <f>IFERROR(INDEX('Custodian Statement'!$F$2:$F$125,MATCH(E23,'Custodian Statement'!$H$2:$H$125,0)),0)</f>
        <v/>
      </c>
      <c r="K23" s="11">
        <f>IFERROR(INDEX('Custodian Statement'!$G$2:$G$125,MATCH(E23,'Custodian Statement'!$H$2:$H$125,0)),0)</f>
        <v/>
      </c>
      <c r="L23" s="12">
        <f>F23-I23</f>
        <v/>
      </c>
      <c r="M23" s="11">
        <f>H23-K23</f>
        <v/>
      </c>
      <c r="N23" s="12">
        <f>IFERROR((G23-J23)/J23*10000,0)</f>
        <v/>
      </c>
      <c r="O23" s="6">
        <f>COUNTIF('Internal Book'!$H$2:$H$125,E23)</f>
        <v/>
      </c>
      <c r="P23" s="6">
        <f>COUNTIF('Custodian Statement'!$H$2:$H$125,E23)</f>
        <v/>
      </c>
      <c r="Q23" s="6">
        <f>IF(O23=0,"MISSING IN INTERNAL",IF(P23=0,"MISSING IN CUSTODIAN",IF(AND(D23="Cash",ABS(M23)&gt;Parameters!$B$4),"CASH BREAK",IF(L23&lt;&gt;0,"QUANTITY BREAK",IF(ABS(N23)&gt;Parameters!$B$3,"PRICE BREAK",IF(ABS(M23)&gt;Parameters!$B$4,"MV BREAK","MATCHED"))))))</f>
        <v/>
      </c>
      <c r="R23" s="14">
        <f>IFERROR(INDEX('Break Register'!$B$2:$B$10,MATCH(E23,'Break Register'!$A$2:$A$10,0)),"")</f>
        <v/>
      </c>
      <c r="S23" s="12">
        <f>IF(R23="","",Parameters!$B$2-R23)</f>
        <v/>
      </c>
      <c r="T23" s="6">
        <f>IF(S23="","",IF(S23&lt;=2,"0-2 days",IF(S23&lt;=5,"3-5 days",IF(S23&lt;=10,"6-10 days",IF(S23&lt;=30,"11-30 days","30+ days")))))</f>
        <v/>
      </c>
      <c r="U23" s="6">
        <f>IFERROR(INDEX('Break Register'!$C$2:$C$10,MATCH(E23,'Break Register'!$A$2:$A$10,0)),"")</f>
        <v/>
      </c>
      <c r="V23" s="11">
        <f>ABS(M23)</f>
        <v/>
      </c>
      <c r="W23" s="6">
        <f>IF(Q23="MATCHED",0,1)</f>
        <v/>
      </c>
    </row>
    <row r="24">
      <c r="A24" s="6" t="inlineStr">
        <is>
          <t>BALM</t>
        </is>
      </c>
      <c r="B24" s="6" t="inlineStr">
        <is>
          <t>EQ0015</t>
        </is>
      </c>
      <c r="C24" s="6" t="inlineStr">
        <is>
          <t>Sony Group</t>
        </is>
      </c>
      <c r="D24" s="6" t="inlineStr">
        <is>
          <t>Equity</t>
        </is>
      </c>
      <c r="E24" s="6">
        <f>A24&amp;"|"&amp;B24</f>
        <v/>
      </c>
      <c r="F24" s="12">
        <f>IFERROR(INDEX('Internal Book'!$E$2:$E$125,MATCH(E24,'Internal Book'!$H$2:$H$125,0)),0)</f>
        <v/>
      </c>
      <c r="G24" s="13">
        <f>IFERROR(INDEX('Internal Book'!$F$2:$F$125,MATCH(E24,'Internal Book'!$H$2:$H$125,0)),0)</f>
        <v/>
      </c>
      <c r="H24" s="11">
        <f>IFERROR(INDEX('Internal Book'!$G$2:$G$125,MATCH(E24,'Internal Book'!$H$2:$H$125,0)),0)</f>
        <v/>
      </c>
      <c r="I24" s="12">
        <f>IFERROR(INDEX('Custodian Statement'!$E$2:$E$125,MATCH(E24,'Custodian Statement'!$H$2:$H$125,0)),0)</f>
        <v/>
      </c>
      <c r="J24" s="13">
        <f>IFERROR(INDEX('Custodian Statement'!$F$2:$F$125,MATCH(E24,'Custodian Statement'!$H$2:$H$125,0)),0)</f>
        <v/>
      </c>
      <c r="K24" s="11">
        <f>IFERROR(INDEX('Custodian Statement'!$G$2:$G$125,MATCH(E24,'Custodian Statement'!$H$2:$H$125,0)),0)</f>
        <v/>
      </c>
      <c r="L24" s="12">
        <f>F24-I24</f>
        <v/>
      </c>
      <c r="M24" s="11">
        <f>H24-K24</f>
        <v/>
      </c>
      <c r="N24" s="12">
        <f>IFERROR((G24-J24)/J24*10000,0)</f>
        <v/>
      </c>
      <c r="O24" s="6">
        <f>COUNTIF('Internal Book'!$H$2:$H$125,E24)</f>
        <v/>
      </c>
      <c r="P24" s="6">
        <f>COUNTIF('Custodian Statement'!$H$2:$H$125,E24)</f>
        <v/>
      </c>
      <c r="Q24" s="6">
        <f>IF(O24=0,"MISSING IN INTERNAL",IF(P24=0,"MISSING IN CUSTODIAN",IF(AND(D24="Cash",ABS(M24)&gt;Parameters!$B$4),"CASH BREAK",IF(L24&lt;&gt;0,"QUANTITY BREAK",IF(ABS(N24)&gt;Parameters!$B$3,"PRICE BREAK",IF(ABS(M24)&gt;Parameters!$B$4,"MV BREAK","MATCHED"))))))</f>
        <v/>
      </c>
      <c r="R24" s="14">
        <f>IFERROR(INDEX('Break Register'!$B$2:$B$10,MATCH(E24,'Break Register'!$A$2:$A$10,0)),"")</f>
        <v/>
      </c>
      <c r="S24" s="12">
        <f>IF(R24="","",Parameters!$B$2-R24)</f>
        <v/>
      </c>
      <c r="T24" s="6">
        <f>IF(S24="","",IF(S24&lt;=2,"0-2 days",IF(S24&lt;=5,"3-5 days",IF(S24&lt;=10,"6-10 days",IF(S24&lt;=30,"11-30 days","30+ days")))))</f>
        <v/>
      </c>
      <c r="U24" s="6">
        <f>IFERROR(INDEX('Break Register'!$C$2:$C$10,MATCH(E24,'Break Register'!$A$2:$A$10,0)),"")</f>
        <v/>
      </c>
      <c r="V24" s="11">
        <f>ABS(M24)</f>
        <v/>
      </c>
      <c r="W24" s="6">
        <f>IF(Q24="MATCHED",0,1)</f>
        <v/>
      </c>
    </row>
    <row r="25">
      <c r="A25" s="6" t="inlineStr">
        <is>
          <t>BALM</t>
        </is>
      </c>
      <c r="B25" s="6" t="inlineStr">
        <is>
          <t>EQ0016</t>
        </is>
      </c>
      <c r="C25" s="6" t="inlineStr">
        <is>
          <t>TSMC ADR</t>
        </is>
      </c>
      <c r="D25" s="6" t="inlineStr">
        <is>
          <t>Equity</t>
        </is>
      </c>
      <c r="E25" s="6">
        <f>A25&amp;"|"&amp;B25</f>
        <v/>
      </c>
      <c r="F25" s="12">
        <f>IFERROR(INDEX('Internal Book'!$E$2:$E$125,MATCH(E25,'Internal Book'!$H$2:$H$125,0)),0)</f>
        <v/>
      </c>
      <c r="G25" s="13">
        <f>IFERROR(INDEX('Internal Book'!$F$2:$F$125,MATCH(E25,'Internal Book'!$H$2:$H$125,0)),0)</f>
        <v/>
      </c>
      <c r="H25" s="11">
        <f>IFERROR(INDEX('Internal Book'!$G$2:$G$125,MATCH(E25,'Internal Book'!$H$2:$H$125,0)),0)</f>
        <v/>
      </c>
      <c r="I25" s="12">
        <f>IFERROR(INDEX('Custodian Statement'!$E$2:$E$125,MATCH(E25,'Custodian Statement'!$H$2:$H$125,0)),0)</f>
        <v/>
      </c>
      <c r="J25" s="13">
        <f>IFERROR(INDEX('Custodian Statement'!$F$2:$F$125,MATCH(E25,'Custodian Statement'!$H$2:$H$125,0)),0)</f>
        <v/>
      </c>
      <c r="K25" s="11">
        <f>IFERROR(INDEX('Custodian Statement'!$G$2:$G$125,MATCH(E25,'Custodian Statement'!$H$2:$H$125,0)),0)</f>
        <v/>
      </c>
      <c r="L25" s="12">
        <f>F25-I25</f>
        <v/>
      </c>
      <c r="M25" s="11">
        <f>H25-K25</f>
        <v/>
      </c>
      <c r="N25" s="12">
        <f>IFERROR((G25-J25)/J25*10000,0)</f>
        <v/>
      </c>
      <c r="O25" s="6">
        <f>COUNTIF('Internal Book'!$H$2:$H$125,E25)</f>
        <v/>
      </c>
      <c r="P25" s="6">
        <f>COUNTIF('Custodian Statement'!$H$2:$H$125,E25)</f>
        <v/>
      </c>
      <c r="Q25" s="6">
        <f>IF(O25=0,"MISSING IN INTERNAL",IF(P25=0,"MISSING IN CUSTODIAN",IF(AND(D25="Cash",ABS(M25)&gt;Parameters!$B$4),"CASH BREAK",IF(L25&lt;&gt;0,"QUANTITY BREAK",IF(ABS(N25)&gt;Parameters!$B$3,"PRICE BREAK",IF(ABS(M25)&gt;Parameters!$B$4,"MV BREAK","MATCHED"))))))</f>
        <v/>
      </c>
      <c r="R25" s="14">
        <f>IFERROR(INDEX('Break Register'!$B$2:$B$10,MATCH(E25,'Break Register'!$A$2:$A$10,0)),"")</f>
        <v/>
      </c>
      <c r="S25" s="12">
        <f>IF(R25="","",Parameters!$B$2-R25)</f>
        <v/>
      </c>
      <c r="T25" s="6">
        <f>IF(S25="","",IF(S25&lt;=2,"0-2 days",IF(S25&lt;=5,"3-5 days",IF(S25&lt;=10,"6-10 days",IF(S25&lt;=30,"11-30 days","30+ days")))))</f>
        <v/>
      </c>
      <c r="U25" s="6">
        <f>IFERROR(INDEX('Break Register'!$C$2:$C$10,MATCH(E25,'Break Register'!$A$2:$A$10,0)),"")</f>
        <v/>
      </c>
      <c r="V25" s="11">
        <f>ABS(M25)</f>
        <v/>
      </c>
      <c r="W25" s="6">
        <f>IF(Q25="MATCHED",0,1)</f>
        <v/>
      </c>
    </row>
    <row r="26">
      <c r="A26" s="6" t="inlineStr">
        <is>
          <t>BALM</t>
        </is>
      </c>
      <c r="B26" s="6" t="inlineStr">
        <is>
          <t>EQ0018</t>
        </is>
      </c>
      <c r="C26" s="6" t="inlineStr">
        <is>
          <t>Amazon.com</t>
        </is>
      </c>
      <c r="D26" s="6" t="inlineStr">
        <is>
          <t>Equity</t>
        </is>
      </c>
      <c r="E26" s="6">
        <f>A26&amp;"|"&amp;B26</f>
        <v/>
      </c>
      <c r="F26" s="12">
        <f>IFERROR(INDEX('Internal Book'!$E$2:$E$125,MATCH(E26,'Internal Book'!$H$2:$H$125,0)),0)</f>
        <v/>
      </c>
      <c r="G26" s="13">
        <f>IFERROR(INDEX('Internal Book'!$F$2:$F$125,MATCH(E26,'Internal Book'!$H$2:$H$125,0)),0)</f>
        <v/>
      </c>
      <c r="H26" s="11">
        <f>IFERROR(INDEX('Internal Book'!$G$2:$G$125,MATCH(E26,'Internal Book'!$H$2:$H$125,0)),0)</f>
        <v/>
      </c>
      <c r="I26" s="12">
        <f>IFERROR(INDEX('Custodian Statement'!$E$2:$E$125,MATCH(E26,'Custodian Statement'!$H$2:$H$125,0)),0)</f>
        <v/>
      </c>
      <c r="J26" s="13">
        <f>IFERROR(INDEX('Custodian Statement'!$F$2:$F$125,MATCH(E26,'Custodian Statement'!$H$2:$H$125,0)),0)</f>
        <v/>
      </c>
      <c r="K26" s="11">
        <f>IFERROR(INDEX('Custodian Statement'!$G$2:$G$125,MATCH(E26,'Custodian Statement'!$H$2:$H$125,0)),0)</f>
        <v/>
      </c>
      <c r="L26" s="12">
        <f>F26-I26</f>
        <v/>
      </c>
      <c r="M26" s="11">
        <f>H26-K26</f>
        <v/>
      </c>
      <c r="N26" s="12">
        <f>IFERROR((G26-J26)/J26*10000,0)</f>
        <v/>
      </c>
      <c r="O26" s="6">
        <f>COUNTIF('Internal Book'!$H$2:$H$125,E26)</f>
        <v/>
      </c>
      <c r="P26" s="6">
        <f>COUNTIF('Custodian Statement'!$H$2:$H$125,E26)</f>
        <v/>
      </c>
      <c r="Q26" s="6">
        <f>IF(O26=0,"MISSING IN INTERNAL",IF(P26=0,"MISSING IN CUSTODIAN",IF(AND(D26="Cash",ABS(M26)&gt;Parameters!$B$4),"CASH BREAK",IF(L26&lt;&gt;0,"QUANTITY BREAK",IF(ABS(N26)&gt;Parameters!$B$3,"PRICE BREAK",IF(ABS(M26)&gt;Parameters!$B$4,"MV BREAK","MATCHED"))))))</f>
        <v/>
      </c>
      <c r="R26" s="14">
        <f>IFERROR(INDEX('Break Register'!$B$2:$B$10,MATCH(E26,'Break Register'!$A$2:$A$10,0)),"")</f>
        <v/>
      </c>
      <c r="S26" s="12">
        <f>IF(R26="","",Parameters!$B$2-R26)</f>
        <v/>
      </c>
      <c r="T26" s="6">
        <f>IF(S26="","",IF(S26&lt;=2,"0-2 days",IF(S26&lt;=5,"3-5 days",IF(S26&lt;=10,"6-10 days",IF(S26&lt;=30,"11-30 days","30+ days")))))</f>
        <v/>
      </c>
      <c r="U26" s="6">
        <f>IFERROR(INDEX('Break Register'!$C$2:$C$10,MATCH(E26,'Break Register'!$A$2:$A$10,0)),"")</f>
        <v/>
      </c>
      <c r="V26" s="11">
        <f>ABS(M26)</f>
        <v/>
      </c>
      <c r="W26" s="6">
        <f>IF(Q26="MATCHED",0,1)</f>
        <v/>
      </c>
    </row>
    <row r="27">
      <c r="A27" s="6" t="inlineStr">
        <is>
          <t>BALM</t>
        </is>
      </c>
      <c r="B27" s="6" t="inlineStr">
        <is>
          <t>EQ0020</t>
        </is>
      </c>
      <c r="C27" s="6" t="inlineStr">
        <is>
          <t>Nvidia Corp</t>
        </is>
      </c>
      <c r="D27" s="6" t="inlineStr">
        <is>
          <t>Equity</t>
        </is>
      </c>
      <c r="E27" s="6">
        <f>A27&amp;"|"&amp;B27</f>
        <v/>
      </c>
      <c r="F27" s="12">
        <f>IFERROR(INDEX('Internal Book'!$E$2:$E$125,MATCH(E27,'Internal Book'!$H$2:$H$125,0)),0)</f>
        <v/>
      </c>
      <c r="G27" s="13">
        <f>IFERROR(INDEX('Internal Book'!$F$2:$F$125,MATCH(E27,'Internal Book'!$H$2:$H$125,0)),0)</f>
        <v/>
      </c>
      <c r="H27" s="11">
        <f>IFERROR(INDEX('Internal Book'!$G$2:$G$125,MATCH(E27,'Internal Book'!$H$2:$H$125,0)),0)</f>
        <v/>
      </c>
      <c r="I27" s="12">
        <f>IFERROR(INDEX('Custodian Statement'!$E$2:$E$125,MATCH(E27,'Custodian Statement'!$H$2:$H$125,0)),0)</f>
        <v/>
      </c>
      <c r="J27" s="13">
        <f>IFERROR(INDEX('Custodian Statement'!$F$2:$F$125,MATCH(E27,'Custodian Statement'!$H$2:$H$125,0)),0)</f>
        <v/>
      </c>
      <c r="K27" s="11">
        <f>IFERROR(INDEX('Custodian Statement'!$G$2:$G$125,MATCH(E27,'Custodian Statement'!$H$2:$H$125,0)),0)</f>
        <v/>
      </c>
      <c r="L27" s="12">
        <f>F27-I27</f>
        <v/>
      </c>
      <c r="M27" s="11">
        <f>H27-K27</f>
        <v/>
      </c>
      <c r="N27" s="12">
        <f>IFERROR((G27-J27)/J27*10000,0)</f>
        <v/>
      </c>
      <c r="O27" s="6">
        <f>COUNTIF('Internal Book'!$H$2:$H$125,E27)</f>
        <v/>
      </c>
      <c r="P27" s="6">
        <f>COUNTIF('Custodian Statement'!$H$2:$H$125,E27)</f>
        <v/>
      </c>
      <c r="Q27" s="6">
        <f>IF(O27=0,"MISSING IN INTERNAL",IF(P27=0,"MISSING IN CUSTODIAN",IF(AND(D27="Cash",ABS(M27)&gt;Parameters!$B$4),"CASH BREAK",IF(L27&lt;&gt;0,"QUANTITY BREAK",IF(ABS(N27)&gt;Parameters!$B$3,"PRICE BREAK",IF(ABS(M27)&gt;Parameters!$B$4,"MV BREAK","MATCHED"))))))</f>
        <v/>
      </c>
      <c r="R27" s="14">
        <f>IFERROR(INDEX('Break Register'!$B$2:$B$10,MATCH(E27,'Break Register'!$A$2:$A$10,0)),"")</f>
        <v/>
      </c>
      <c r="S27" s="12">
        <f>IF(R27="","",Parameters!$B$2-R27)</f>
        <v/>
      </c>
      <c r="T27" s="6">
        <f>IF(S27="","",IF(S27&lt;=2,"0-2 days",IF(S27&lt;=5,"3-5 days",IF(S27&lt;=10,"6-10 days",IF(S27&lt;=30,"11-30 days","30+ days")))))</f>
        <v/>
      </c>
      <c r="U27" s="6">
        <f>IFERROR(INDEX('Break Register'!$C$2:$C$10,MATCH(E27,'Break Register'!$A$2:$A$10,0)),"")</f>
        <v/>
      </c>
      <c r="V27" s="11">
        <f>ABS(M27)</f>
        <v/>
      </c>
      <c r="W27" s="6">
        <f>IF(Q27="MATCHED",0,1)</f>
        <v/>
      </c>
    </row>
    <row r="28">
      <c r="A28" s="6" t="inlineStr">
        <is>
          <t>BALM</t>
        </is>
      </c>
      <c r="B28" s="6" t="inlineStr">
        <is>
          <t>EQ0024</t>
        </is>
      </c>
      <c r="C28" s="6" t="inlineStr">
        <is>
          <t>Global Equity Holding 04</t>
        </is>
      </c>
      <c r="D28" s="6" t="inlineStr">
        <is>
          <t>Equity</t>
        </is>
      </c>
      <c r="E28" s="6">
        <f>A28&amp;"|"&amp;B28</f>
        <v/>
      </c>
      <c r="F28" s="12">
        <f>IFERROR(INDEX('Internal Book'!$E$2:$E$125,MATCH(E28,'Internal Book'!$H$2:$H$125,0)),0)</f>
        <v/>
      </c>
      <c r="G28" s="13">
        <f>IFERROR(INDEX('Internal Book'!$F$2:$F$125,MATCH(E28,'Internal Book'!$H$2:$H$125,0)),0)</f>
        <v/>
      </c>
      <c r="H28" s="11">
        <f>IFERROR(INDEX('Internal Book'!$G$2:$G$125,MATCH(E28,'Internal Book'!$H$2:$H$125,0)),0)</f>
        <v/>
      </c>
      <c r="I28" s="12">
        <f>IFERROR(INDEX('Custodian Statement'!$E$2:$E$125,MATCH(E28,'Custodian Statement'!$H$2:$H$125,0)),0)</f>
        <v/>
      </c>
      <c r="J28" s="13">
        <f>IFERROR(INDEX('Custodian Statement'!$F$2:$F$125,MATCH(E28,'Custodian Statement'!$H$2:$H$125,0)),0)</f>
        <v/>
      </c>
      <c r="K28" s="11">
        <f>IFERROR(INDEX('Custodian Statement'!$G$2:$G$125,MATCH(E28,'Custodian Statement'!$H$2:$H$125,0)),0)</f>
        <v/>
      </c>
      <c r="L28" s="12">
        <f>F28-I28</f>
        <v/>
      </c>
      <c r="M28" s="11">
        <f>H28-K28</f>
        <v/>
      </c>
      <c r="N28" s="12">
        <f>IFERROR((G28-J28)/J28*10000,0)</f>
        <v/>
      </c>
      <c r="O28" s="6">
        <f>COUNTIF('Internal Book'!$H$2:$H$125,E28)</f>
        <v/>
      </c>
      <c r="P28" s="6">
        <f>COUNTIF('Custodian Statement'!$H$2:$H$125,E28)</f>
        <v/>
      </c>
      <c r="Q28" s="6">
        <f>IF(O28=0,"MISSING IN INTERNAL",IF(P28=0,"MISSING IN CUSTODIAN",IF(AND(D28="Cash",ABS(M28)&gt;Parameters!$B$4),"CASH BREAK",IF(L28&lt;&gt;0,"QUANTITY BREAK",IF(ABS(N28)&gt;Parameters!$B$3,"PRICE BREAK",IF(ABS(M28)&gt;Parameters!$B$4,"MV BREAK","MATCHED"))))))</f>
        <v/>
      </c>
      <c r="R28" s="14">
        <f>IFERROR(INDEX('Break Register'!$B$2:$B$10,MATCH(E28,'Break Register'!$A$2:$A$10,0)),"")</f>
        <v/>
      </c>
      <c r="S28" s="12">
        <f>IF(R28="","",Parameters!$B$2-R28)</f>
        <v/>
      </c>
      <c r="T28" s="6">
        <f>IF(S28="","",IF(S28&lt;=2,"0-2 days",IF(S28&lt;=5,"3-5 days",IF(S28&lt;=10,"6-10 days",IF(S28&lt;=30,"11-30 days","30+ days")))))</f>
        <v/>
      </c>
      <c r="U28" s="6">
        <f>IFERROR(INDEX('Break Register'!$C$2:$C$10,MATCH(E28,'Break Register'!$A$2:$A$10,0)),"")</f>
        <v/>
      </c>
      <c r="V28" s="11">
        <f>ABS(M28)</f>
        <v/>
      </c>
      <c r="W28" s="6">
        <f>IF(Q28="MATCHED",0,1)</f>
        <v/>
      </c>
    </row>
    <row r="29">
      <c r="A29" s="6" t="inlineStr">
        <is>
          <t>BALM</t>
        </is>
      </c>
      <c r="B29" s="6" t="inlineStr">
        <is>
          <t>EQ0026</t>
        </is>
      </c>
      <c r="C29" s="6" t="inlineStr">
        <is>
          <t>Global Equity Holding 06</t>
        </is>
      </c>
      <c r="D29" s="6" t="inlineStr">
        <is>
          <t>Equity</t>
        </is>
      </c>
      <c r="E29" s="6">
        <f>A29&amp;"|"&amp;B29</f>
        <v/>
      </c>
      <c r="F29" s="12">
        <f>IFERROR(INDEX('Internal Book'!$E$2:$E$125,MATCH(E29,'Internal Book'!$H$2:$H$125,0)),0)</f>
        <v/>
      </c>
      <c r="G29" s="13">
        <f>IFERROR(INDEX('Internal Book'!$F$2:$F$125,MATCH(E29,'Internal Book'!$H$2:$H$125,0)),0)</f>
        <v/>
      </c>
      <c r="H29" s="11">
        <f>IFERROR(INDEX('Internal Book'!$G$2:$G$125,MATCH(E29,'Internal Book'!$H$2:$H$125,0)),0)</f>
        <v/>
      </c>
      <c r="I29" s="12">
        <f>IFERROR(INDEX('Custodian Statement'!$E$2:$E$125,MATCH(E29,'Custodian Statement'!$H$2:$H$125,0)),0)</f>
        <v/>
      </c>
      <c r="J29" s="13">
        <f>IFERROR(INDEX('Custodian Statement'!$F$2:$F$125,MATCH(E29,'Custodian Statement'!$H$2:$H$125,0)),0)</f>
        <v/>
      </c>
      <c r="K29" s="11">
        <f>IFERROR(INDEX('Custodian Statement'!$G$2:$G$125,MATCH(E29,'Custodian Statement'!$H$2:$H$125,0)),0)</f>
        <v/>
      </c>
      <c r="L29" s="12">
        <f>F29-I29</f>
        <v/>
      </c>
      <c r="M29" s="11">
        <f>H29-K29</f>
        <v/>
      </c>
      <c r="N29" s="12">
        <f>IFERROR((G29-J29)/J29*10000,0)</f>
        <v/>
      </c>
      <c r="O29" s="6">
        <f>COUNTIF('Internal Book'!$H$2:$H$125,E29)</f>
        <v/>
      </c>
      <c r="P29" s="6">
        <f>COUNTIF('Custodian Statement'!$H$2:$H$125,E29)</f>
        <v/>
      </c>
      <c r="Q29" s="6">
        <f>IF(O29=0,"MISSING IN INTERNAL",IF(P29=0,"MISSING IN CUSTODIAN",IF(AND(D29="Cash",ABS(M29)&gt;Parameters!$B$4),"CASH BREAK",IF(L29&lt;&gt;0,"QUANTITY BREAK",IF(ABS(N29)&gt;Parameters!$B$3,"PRICE BREAK",IF(ABS(M29)&gt;Parameters!$B$4,"MV BREAK","MATCHED"))))))</f>
        <v/>
      </c>
      <c r="R29" s="14">
        <f>IFERROR(INDEX('Break Register'!$B$2:$B$10,MATCH(E29,'Break Register'!$A$2:$A$10,0)),"")</f>
        <v/>
      </c>
      <c r="S29" s="12">
        <f>IF(R29="","",Parameters!$B$2-R29)</f>
        <v/>
      </c>
      <c r="T29" s="6">
        <f>IF(S29="","",IF(S29&lt;=2,"0-2 days",IF(S29&lt;=5,"3-5 days",IF(S29&lt;=10,"6-10 days",IF(S29&lt;=30,"11-30 days","30+ days")))))</f>
        <v/>
      </c>
      <c r="U29" s="6">
        <f>IFERROR(INDEX('Break Register'!$C$2:$C$10,MATCH(E29,'Break Register'!$A$2:$A$10,0)),"")</f>
        <v/>
      </c>
      <c r="V29" s="11">
        <f>ABS(M29)</f>
        <v/>
      </c>
      <c r="W29" s="6">
        <f>IF(Q29="MATCHED",0,1)</f>
        <v/>
      </c>
    </row>
    <row r="30">
      <c r="A30" s="6" t="inlineStr">
        <is>
          <t>BALM</t>
        </is>
      </c>
      <c r="B30" s="6" t="inlineStr">
        <is>
          <t>EQ0028</t>
        </is>
      </c>
      <c r="C30" s="6" t="inlineStr">
        <is>
          <t>Global Equity Holding 08</t>
        </is>
      </c>
      <c r="D30" s="6" t="inlineStr">
        <is>
          <t>Equity</t>
        </is>
      </c>
      <c r="E30" s="6">
        <f>A30&amp;"|"&amp;B30</f>
        <v/>
      </c>
      <c r="F30" s="12">
        <f>IFERROR(INDEX('Internal Book'!$E$2:$E$125,MATCH(E30,'Internal Book'!$H$2:$H$125,0)),0)</f>
        <v/>
      </c>
      <c r="G30" s="13">
        <f>IFERROR(INDEX('Internal Book'!$F$2:$F$125,MATCH(E30,'Internal Book'!$H$2:$H$125,0)),0)</f>
        <v/>
      </c>
      <c r="H30" s="11">
        <f>IFERROR(INDEX('Internal Book'!$G$2:$G$125,MATCH(E30,'Internal Book'!$H$2:$H$125,0)),0)</f>
        <v/>
      </c>
      <c r="I30" s="12">
        <f>IFERROR(INDEX('Custodian Statement'!$E$2:$E$125,MATCH(E30,'Custodian Statement'!$H$2:$H$125,0)),0)</f>
        <v/>
      </c>
      <c r="J30" s="13">
        <f>IFERROR(INDEX('Custodian Statement'!$F$2:$F$125,MATCH(E30,'Custodian Statement'!$H$2:$H$125,0)),0)</f>
        <v/>
      </c>
      <c r="K30" s="11">
        <f>IFERROR(INDEX('Custodian Statement'!$G$2:$G$125,MATCH(E30,'Custodian Statement'!$H$2:$H$125,0)),0)</f>
        <v/>
      </c>
      <c r="L30" s="12">
        <f>F30-I30</f>
        <v/>
      </c>
      <c r="M30" s="11">
        <f>H30-K30</f>
        <v/>
      </c>
      <c r="N30" s="12">
        <f>IFERROR((G30-J30)/J30*10000,0)</f>
        <v/>
      </c>
      <c r="O30" s="6">
        <f>COUNTIF('Internal Book'!$H$2:$H$125,E30)</f>
        <v/>
      </c>
      <c r="P30" s="6">
        <f>COUNTIF('Custodian Statement'!$H$2:$H$125,E30)</f>
        <v/>
      </c>
      <c r="Q30" s="6">
        <f>IF(O30=0,"MISSING IN INTERNAL",IF(P30=0,"MISSING IN CUSTODIAN",IF(AND(D30="Cash",ABS(M30)&gt;Parameters!$B$4),"CASH BREAK",IF(L30&lt;&gt;0,"QUANTITY BREAK",IF(ABS(N30)&gt;Parameters!$B$3,"PRICE BREAK",IF(ABS(M30)&gt;Parameters!$B$4,"MV BREAK","MATCHED"))))))</f>
        <v/>
      </c>
      <c r="R30" s="14">
        <f>IFERROR(INDEX('Break Register'!$B$2:$B$10,MATCH(E30,'Break Register'!$A$2:$A$10,0)),"")</f>
        <v/>
      </c>
      <c r="S30" s="12">
        <f>IF(R30="","",Parameters!$B$2-R30)</f>
        <v/>
      </c>
      <c r="T30" s="6">
        <f>IF(S30="","",IF(S30&lt;=2,"0-2 days",IF(S30&lt;=5,"3-5 days",IF(S30&lt;=10,"6-10 days",IF(S30&lt;=30,"11-30 days","30+ days")))))</f>
        <v/>
      </c>
      <c r="U30" s="6">
        <f>IFERROR(INDEX('Break Register'!$C$2:$C$10,MATCH(E30,'Break Register'!$A$2:$A$10,0)),"")</f>
        <v/>
      </c>
      <c r="V30" s="11">
        <f>ABS(M30)</f>
        <v/>
      </c>
      <c r="W30" s="6">
        <f>IF(Q30="MATCHED",0,1)</f>
        <v/>
      </c>
    </row>
    <row r="31">
      <c r="A31" s="6" t="inlineStr">
        <is>
          <t>BALM</t>
        </is>
      </c>
      <c r="B31" s="6" t="inlineStr">
        <is>
          <t>EQ0029</t>
        </is>
      </c>
      <c r="C31" s="6" t="inlineStr">
        <is>
          <t>Global Equity Holding 09</t>
        </is>
      </c>
      <c r="D31" s="6" t="inlineStr">
        <is>
          <t>Equity</t>
        </is>
      </c>
      <c r="E31" s="6">
        <f>A31&amp;"|"&amp;B31</f>
        <v/>
      </c>
      <c r="F31" s="12">
        <f>IFERROR(INDEX('Internal Book'!$E$2:$E$125,MATCH(E31,'Internal Book'!$H$2:$H$125,0)),0)</f>
        <v/>
      </c>
      <c r="G31" s="13">
        <f>IFERROR(INDEX('Internal Book'!$F$2:$F$125,MATCH(E31,'Internal Book'!$H$2:$H$125,0)),0)</f>
        <v/>
      </c>
      <c r="H31" s="11">
        <f>IFERROR(INDEX('Internal Book'!$G$2:$G$125,MATCH(E31,'Internal Book'!$H$2:$H$125,0)),0)</f>
        <v/>
      </c>
      <c r="I31" s="12">
        <f>IFERROR(INDEX('Custodian Statement'!$E$2:$E$125,MATCH(E31,'Custodian Statement'!$H$2:$H$125,0)),0)</f>
        <v/>
      </c>
      <c r="J31" s="13">
        <f>IFERROR(INDEX('Custodian Statement'!$F$2:$F$125,MATCH(E31,'Custodian Statement'!$H$2:$H$125,0)),0)</f>
        <v/>
      </c>
      <c r="K31" s="11">
        <f>IFERROR(INDEX('Custodian Statement'!$G$2:$G$125,MATCH(E31,'Custodian Statement'!$H$2:$H$125,0)),0)</f>
        <v/>
      </c>
      <c r="L31" s="12">
        <f>F31-I31</f>
        <v/>
      </c>
      <c r="M31" s="11">
        <f>H31-K31</f>
        <v/>
      </c>
      <c r="N31" s="12">
        <f>IFERROR((G31-J31)/J31*10000,0)</f>
        <v/>
      </c>
      <c r="O31" s="6">
        <f>COUNTIF('Internal Book'!$H$2:$H$125,E31)</f>
        <v/>
      </c>
      <c r="P31" s="6">
        <f>COUNTIF('Custodian Statement'!$H$2:$H$125,E31)</f>
        <v/>
      </c>
      <c r="Q31" s="6">
        <f>IF(O31=0,"MISSING IN INTERNAL",IF(P31=0,"MISSING IN CUSTODIAN",IF(AND(D31="Cash",ABS(M31)&gt;Parameters!$B$4),"CASH BREAK",IF(L31&lt;&gt;0,"QUANTITY BREAK",IF(ABS(N31)&gt;Parameters!$B$3,"PRICE BREAK",IF(ABS(M31)&gt;Parameters!$B$4,"MV BREAK","MATCHED"))))))</f>
        <v/>
      </c>
      <c r="R31" s="14">
        <f>IFERROR(INDEX('Break Register'!$B$2:$B$10,MATCH(E31,'Break Register'!$A$2:$A$10,0)),"")</f>
        <v/>
      </c>
      <c r="S31" s="12">
        <f>IF(R31="","",Parameters!$B$2-R31)</f>
        <v/>
      </c>
      <c r="T31" s="6">
        <f>IF(S31="","",IF(S31&lt;=2,"0-2 days",IF(S31&lt;=5,"3-5 days",IF(S31&lt;=10,"6-10 days",IF(S31&lt;=30,"11-30 days","30+ days")))))</f>
        <v/>
      </c>
      <c r="U31" s="6">
        <f>IFERROR(INDEX('Break Register'!$C$2:$C$10,MATCH(E31,'Break Register'!$A$2:$A$10,0)),"")</f>
        <v/>
      </c>
      <c r="V31" s="11">
        <f>ABS(M31)</f>
        <v/>
      </c>
      <c r="W31" s="6">
        <f>IF(Q31="MATCHED",0,1)</f>
        <v/>
      </c>
    </row>
    <row r="32">
      <c r="A32" s="6" t="inlineStr">
        <is>
          <t>BALM</t>
        </is>
      </c>
      <c r="B32" s="6" t="inlineStr">
        <is>
          <t>EQ0031</t>
        </is>
      </c>
      <c r="C32" s="6" t="inlineStr">
        <is>
          <t>Global Equity Holding 11</t>
        </is>
      </c>
      <c r="D32" s="6" t="inlineStr">
        <is>
          <t>Equity</t>
        </is>
      </c>
      <c r="E32" s="6">
        <f>A32&amp;"|"&amp;B32</f>
        <v/>
      </c>
      <c r="F32" s="12">
        <f>IFERROR(INDEX('Internal Book'!$E$2:$E$125,MATCH(E32,'Internal Book'!$H$2:$H$125,0)),0)</f>
        <v/>
      </c>
      <c r="G32" s="13">
        <f>IFERROR(INDEX('Internal Book'!$F$2:$F$125,MATCH(E32,'Internal Book'!$H$2:$H$125,0)),0)</f>
        <v/>
      </c>
      <c r="H32" s="11">
        <f>IFERROR(INDEX('Internal Book'!$G$2:$G$125,MATCH(E32,'Internal Book'!$H$2:$H$125,0)),0)</f>
        <v/>
      </c>
      <c r="I32" s="12">
        <f>IFERROR(INDEX('Custodian Statement'!$E$2:$E$125,MATCH(E32,'Custodian Statement'!$H$2:$H$125,0)),0)</f>
        <v/>
      </c>
      <c r="J32" s="13">
        <f>IFERROR(INDEX('Custodian Statement'!$F$2:$F$125,MATCH(E32,'Custodian Statement'!$H$2:$H$125,0)),0)</f>
        <v/>
      </c>
      <c r="K32" s="11">
        <f>IFERROR(INDEX('Custodian Statement'!$G$2:$G$125,MATCH(E32,'Custodian Statement'!$H$2:$H$125,0)),0)</f>
        <v/>
      </c>
      <c r="L32" s="12">
        <f>F32-I32</f>
        <v/>
      </c>
      <c r="M32" s="11">
        <f>H32-K32</f>
        <v/>
      </c>
      <c r="N32" s="12">
        <f>IFERROR((G32-J32)/J32*10000,0)</f>
        <v/>
      </c>
      <c r="O32" s="6">
        <f>COUNTIF('Internal Book'!$H$2:$H$125,E32)</f>
        <v/>
      </c>
      <c r="P32" s="6">
        <f>COUNTIF('Custodian Statement'!$H$2:$H$125,E32)</f>
        <v/>
      </c>
      <c r="Q32" s="6">
        <f>IF(O32=0,"MISSING IN INTERNAL",IF(P32=0,"MISSING IN CUSTODIAN",IF(AND(D32="Cash",ABS(M32)&gt;Parameters!$B$4),"CASH BREAK",IF(L32&lt;&gt;0,"QUANTITY BREAK",IF(ABS(N32)&gt;Parameters!$B$3,"PRICE BREAK",IF(ABS(M32)&gt;Parameters!$B$4,"MV BREAK","MATCHED"))))))</f>
        <v/>
      </c>
      <c r="R32" s="14">
        <f>IFERROR(INDEX('Break Register'!$B$2:$B$10,MATCH(E32,'Break Register'!$A$2:$A$10,0)),"")</f>
        <v/>
      </c>
      <c r="S32" s="12">
        <f>IF(R32="","",Parameters!$B$2-R32)</f>
        <v/>
      </c>
      <c r="T32" s="6">
        <f>IF(S32="","",IF(S32&lt;=2,"0-2 days",IF(S32&lt;=5,"3-5 days",IF(S32&lt;=10,"6-10 days",IF(S32&lt;=30,"11-30 days","30+ days")))))</f>
        <v/>
      </c>
      <c r="U32" s="6">
        <f>IFERROR(INDEX('Break Register'!$C$2:$C$10,MATCH(E32,'Break Register'!$A$2:$A$10,0)),"")</f>
        <v/>
      </c>
      <c r="V32" s="11">
        <f>ABS(M32)</f>
        <v/>
      </c>
      <c r="W32" s="6">
        <f>IF(Q32="MATCHED",0,1)</f>
        <v/>
      </c>
    </row>
    <row r="33">
      <c r="A33" s="6" t="inlineStr">
        <is>
          <t>BALM</t>
        </is>
      </c>
      <c r="B33" s="6" t="inlineStr">
        <is>
          <t>EQ0036</t>
        </is>
      </c>
      <c r="C33" s="6" t="inlineStr">
        <is>
          <t>Global Equity Holding 16</t>
        </is>
      </c>
      <c r="D33" s="6" t="inlineStr">
        <is>
          <t>Equity</t>
        </is>
      </c>
      <c r="E33" s="6">
        <f>A33&amp;"|"&amp;B33</f>
        <v/>
      </c>
      <c r="F33" s="12">
        <f>IFERROR(INDEX('Internal Book'!$E$2:$E$125,MATCH(E33,'Internal Book'!$H$2:$H$125,0)),0)</f>
        <v/>
      </c>
      <c r="G33" s="13">
        <f>IFERROR(INDEX('Internal Book'!$F$2:$F$125,MATCH(E33,'Internal Book'!$H$2:$H$125,0)),0)</f>
        <v/>
      </c>
      <c r="H33" s="11">
        <f>IFERROR(INDEX('Internal Book'!$G$2:$G$125,MATCH(E33,'Internal Book'!$H$2:$H$125,0)),0)</f>
        <v/>
      </c>
      <c r="I33" s="12">
        <f>IFERROR(INDEX('Custodian Statement'!$E$2:$E$125,MATCH(E33,'Custodian Statement'!$H$2:$H$125,0)),0)</f>
        <v/>
      </c>
      <c r="J33" s="13">
        <f>IFERROR(INDEX('Custodian Statement'!$F$2:$F$125,MATCH(E33,'Custodian Statement'!$H$2:$H$125,0)),0)</f>
        <v/>
      </c>
      <c r="K33" s="11">
        <f>IFERROR(INDEX('Custodian Statement'!$G$2:$G$125,MATCH(E33,'Custodian Statement'!$H$2:$H$125,0)),0)</f>
        <v/>
      </c>
      <c r="L33" s="12">
        <f>F33-I33</f>
        <v/>
      </c>
      <c r="M33" s="11">
        <f>H33-K33</f>
        <v/>
      </c>
      <c r="N33" s="12">
        <f>IFERROR((G33-J33)/J33*10000,0)</f>
        <v/>
      </c>
      <c r="O33" s="6">
        <f>COUNTIF('Internal Book'!$H$2:$H$125,E33)</f>
        <v/>
      </c>
      <c r="P33" s="6">
        <f>COUNTIF('Custodian Statement'!$H$2:$H$125,E33)</f>
        <v/>
      </c>
      <c r="Q33" s="6">
        <f>IF(O33=0,"MISSING IN INTERNAL",IF(P33=0,"MISSING IN CUSTODIAN",IF(AND(D33="Cash",ABS(M33)&gt;Parameters!$B$4),"CASH BREAK",IF(L33&lt;&gt;0,"QUANTITY BREAK",IF(ABS(N33)&gt;Parameters!$B$3,"PRICE BREAK",IF(ABS(M33)&gt;Parameters!$B$4,"MV BREAK","MATCHED"))))))</f>
        <v/>
      </c>
      <c r="R33" s="14">
        <f>IFERROR(INDEX('Break Register'!$B$2:$B$10,MATCH(E33,'Break Register'!$A$2:$A$10,0)),"")</f>
        <v/>
      </c>
      <c r="S33" s="12">
        <f>IF(R33="","",Parameters!$B$2-R33)</f>
        <v/>
      </c>
      <c r="T33" s="6">
        <f>IF(S33="","",IF(S33&lt;=2,"0-2 days",IF(S33&lt;=5,"3-5 days",IF(S33&lt;=10,"6-10 days",IF(S33&lt;=30,"11-30 days","30+ days")))))</f>
        <v/>
      </c>
      <c r="U33" s="6">
        <f>IFERROR(INDEX('Break Register'!$C$2:$C$10,MATCH(E33,'Break Register'!$A$2:$A$10,0)),"")</f>
        <v/>
      </c>
      <c r="V33" s="11">
        <f>ABS(M33)</f>
        <v/>
      </c>
      <c r="W33" s="6">
        <f>IF(Q33="MATCHED",0,1)</f>
        <v/>
      </c>
    </row>
    <row r="34">
      <c r="A34" s="6" t="inlineStr">
        <is>
          <t>BALM</t>
        </is>
      </c>
      <c r="B34" s="6" t="inlineStr">
        <is>
          <t>EQ0037</t>
        </is>
      </c>
      <c r="C34" s="6" t="inlineStr">
        <is>
          <t>Global Equity Holding 17</t>
        </is>
      </c>
      <c r="D34" s="6" t="inlineStr">
        <is>
          <t>Equity</t>
        </is>
      </c>
      <c r="E34" s="6">
        <f>A34&amp;"|"&amp;B34</f>
        <v/>
      </c>
      <c r="F34" s="12">
        <f>IFERROR(INDEX('Internal Book'!$E$2:$E$125,MATCH(E34,'Internal Book'!$H$2:$H$125,0)),0)</f>
        <v/>
      </c>
      <c r="G34" s="13">
        <f>IFERROR(INDEX('Internal Book'!$F$2:$F$125,MATCH(E34,'Internal Book'!$H$2:$H$125,0)),0)</f>
        <v/>
      </c>
      <c r="H34" s="11">
        <f>IFERROR(INDEX('Internal Book'!$G$2:$G$125,MATCH(E34,'Internal Book'!$H$2:$H$125,0)),0)</f>
        <v/>
      </c>
      <c r="I34" s="12">
        <f>IFERROR(INDEX('Custodian Statement'!$E$2:$E$125,MATCH(E34,'Custodian Statement'!$H$2:$H$125,0)),0)</f>
        <v/>
      </c>
      <c r="J34" s="13">
        <f>IFERROR(INDEX('Custodian Statement'!$F$2:$F$125,MATCH(E34,'Custodian Statement'!$H$2:$H$125,0)),0)</f>
        <v/>
      </c>
      <c r="K34" s="11">
        <f>IFERROR(INDEX('Custodian Statement'!$G$2:$G$125,MATCH(E34,'Custodian Statement'!$H$2:$H$125,0)),0)</f>
        <v/>
      </c>
      <c r="L34" s="12">
        <f>F34-I34</f>
        <v/>
      </c>
      <c r="M34" s="11">
        <f>H34-K34</f>
        <v/>
      </c>
      <c r="N34" s="12">
        <f>IFERROR((G34-J34)/J34*10000,0)</f>
        <v/>
      </c>
      <c r="O34" s="6">
        <f>COUNTIF('Internal Book'!$H$2:$H$125,E34)</f>
        <v/>
      </c>
      <c r="P34" s="6">
        <f>COUNTIF('Custodian Statement'!$H$2:$H$125,E34)</f>
        <v/>
      </c>
      <c r="Q34" s="6">
        <f>IF(O34=0,"MISSING IN INTERNAL",IF(P34=0,"MISSING IN CUSTODIAN",IF(AND(D34="Cash",ABS(M34)&gt;Parameters!$B$4),"CASH BREAK",IF(L34&lt;&gt;0,"QUANTITY BREAK",IF(ABS(N34)&gt;Parameters!$B$3,"PRICE BREAK",IF(ABS(M34)&gt;Parameters!$B$4,"MV BREAK","MATCHED"))))))</f>
        <v/>
      </c>
      <c r="R34" s="14">
        <f>IFERROR(INDEX('Break Register'!$B$2:$B$10,MATCH(E34,'Break Register'!$A$2:$A$10,0)),"")</f>
        <v/>
      </c>
      <c r="S34" s="12">
        <f>IF(R34="","",Parameters!$B$2-R34)</f>
        <v/>
      </c>
      <c r="T34" s="6">
        <f>IF(S34="","",IF(S34&lt;=2,"0-2 days",IF(S34&lt;=5,"3-5 days",IF(S34&lt;=10,"6-10 days",IF(S34&lt;=30,"11-30 days","30+ days")))))</f>
        <v/>
      </c>
      <c r="U34" s="6">
        <f>IFERROR(INDEX('Break Register'!$C$2:$C$10,MATCH(E34,'Break Register'!$A$2:$A$10,0)),"")</f>
        <v/>
      </c>
      <c r="V34" s="11">
        <f>ABS(M34)</f>
        <v/>
      </c>
      <c r="W34" s="6">
        <f>IF(Q34="MATCHED",0,1)</f>
        <v/>
      </c>
    </row>
    <row r="35">
      <c r="A35" s="6" t="inlineStr">
        <is>
          <t>BALM</t>
        </is>
      </c>
      <c r="B35" s="6" t="inlineStr">
        <is>
          <t>EQ0038</t>
        </is>
      </c>
      <c r="C35" s="6" t="inlineStr">
        <is>
          <t>Global Equity Holding 18</t>
        </is>
      </c>
      <c r="D35" s="6" t="inlineStr">
        <is>
          <t>Equity</t>
        </is>
      </c>
      <c r="E35" s="6">
        <f>A35&amp;"|"&amp;B35</f>
        <v/>
      </c>
      <c r="F35" s="12">
        <f>IFERROR(INDEX('Internal Book'!$E$2:$E$125,MATCH(E35,'Internal Book'!$H$2:$H$125,0)),0)</f>
        <v/>
      </c>
      <c r="G35" s="13">
        <f>IFERROR(INDEX('Internal Book'!$F$2:$F$125,MATCH(E35,'Internal Book'!$H$2:$H$125,0)),0)</f>
        <v/>
      </c>
      <c r="H35" s="11">
        <f>IFERROR(INDEX('Internal Book'!$G$2:$G$125,MATCH(E35,'Internal Book'!$H$2:$H$125,0)),0)</f>
        <v/>
      </c>
      <c r="I35" s="12">
        <f>IFERROR(INDEX('Custodian Statement'!$E$2:$E$125,MATCH(E35,'Custodian Statement'!$H$2:$H$125,0)),0)</f>
        <v/>
      </c>
      <c r="J35" s="13">
        <f>IFERROR(INDEX('Custodian Statement'!$F$2:$F$125,MATCH(E35,'Custodian Statement'!$H$2:$H$125,0)),0)</f>
        <v/>
      </c>
      <c r="K35" s="11">
        <f>IFERROR(INDEX('Custodian Statement'!$G$2:$G$125,MATCH(E35,'Custodian Statement'!$H$2:$H$125,0)),0)</f>
        <v/>
      </c>
      <c r="L35" s="12">
        <f>F35-I35</f>
        <v/>
      </c>
      <c r="M35" s="11">
        <f>H35-K35</f>
        <v/>
      </c>
      <c r="N35" s="12">
        <f>IFERROR((G35-J35)/J35*10000,0)</f>
        <v/>
      </c>
      <c r="O35" s="6">
        <f>COUNTIF('Internal Book'!$H$2:$H$125,E35)</f>
        <v/>
      </c>
      <c r="P35" s="6">
        <f>COUNTIF('Custodian Statement'!$H$2:$H$125,E35)</f>
        <v/>
      </c>
      <c r="Q35" s="6">
        <f>IF(O35=0,"MISSING IN INTERNAL",IF(P35=0,"MISSING IN CUSTODIAN",IF(AND(D35="Cash",ABS(M35)&gt;Parameters!$B$4),"CASH BREAK",IF(L35&lt;&gt;0,"QUANTITY BREAK",IF(ABS(N35)&gt;Parameters!$B$3,"PRICE BREAK",IF(ABS(M35)&gt;Parameters!$B$4,"MV BREAK","MATCHED"))))))</f>
        <v/>
      </c>
      <c r="R35" s="14">
        <f>IFERROR(INDEX('Break Register'!$B$2:$B$10,MATCH(E35,'Break Register'!$A$2:$A$10,0)),"")</f>
        <v/>
      </c>
      <c r="S35" s="12">
        <f>IF(R35="","",Parameters!$B$2-R35)</f>
        <v/>
      </c>
      <c r="T35" s="6">
        <f>IF(S35="","",IF(S35&lt;=2,"0-2 days",IF(S35&lt;=5,"3-5 days",IF(S35&lt;=10,"6-10 days",IF(S35&lt;=30,"11-30 days","30+ days")))))</f>
        <v/>
      </c>
      <c r="U35" s="6">
        <f>IFERROR(INDEX('Break Register'!$C$2:$C$10,MATCH(E35,'Break Register'!$A$2:$A$10,0)),"")</f>
        <v/>
      </c>
      <c r="V35" s="11">
        <f>ABS(M35)</f>
        <v/>
      </c>
      <c r="W35" s="6">
        <f>IF(Q35="MATCHED",0,1)</f>
        <v/>
      </c>
    </row>
    <row r="36">
      <c r="A36" s="6" t="inlineStr">
        <is>
          <t>BALM</t>
        </is>
      </c>
      <c r="B36" s="6" t="inlineStr">
        <is>
          <t>EQ0041</t>
        </is>
      </c>
      <c r="C36" s="6" t="inlineStr">
        <is>
          <t>Global Equity Holding 21</t>
        </is>
      </c>
      <c r="D36" s="6" t="inlineStr">
        <is>
          <t>Equity</t>
        </is>
      </c>
      <c r="E36" s="6">
        <f>A36&amp;"|"&amp;B36</f>
        <v/>
      </c>
      <c r="F36" s="12">
        <f>IFERROR(INDEX('Internal Book'!$E$2:$E$125,MATCH(E36,'Internal Book'!$H$2:$H$125,0)),0)</f>
        <v/>
      </c>
      <c r="G36" s="13">
        <f>IFERROR(INDEX('Internal Book'!$F$2:$F$125,MATCH(E36,'Internal Book'!$H$2:$H$125,0)),0)</f>
        <v/>
      </c>
      <c r="H36" s="11">
        <f>IFERROR(INDEX('Internal Book'!$G$2:$G$125,MATCH(E36,'Internal Book'!$H$2:$H$125,0)),0)</f>
        <v/>
      </c>
      <c r="I36" s="12">
        <f>IFERROR(INDEX('Custodian Statement'!$E$2:$E$125,MATCH(E36,'Custodian Statement'!$H$2:$H$125,0)),0)</f>
        <v/>
      </c>
      <c r="J36" s="13">
        <f>IFERROR(INDEX('Custodian Statement'!$F$2:$F$125,MATCH(E36,'Custodian Statement'!$H$2:$H$125,0)),0)</f>
        <v/>
      </c>
      <c r="K36" s="11">
        <f>IFERROR(INDEX('Custodian Statement'!$G$2:$G$125,MATCH(E36,'Custodian Statement'!$H$2:$H$125,0)),0)</f>
        <v/>
      </c>
      <c r="L36" s="12">
        <f>F36-I36</f>
        <v/>
      </c>
      <c r="M36" s="11">
        <f>H36-K36</f>
        <v/>
      </c>
      <c r="N36" s="12">
        <f>IFERROR((G36-J36)/J36*10000,0)</f>
        <v/>
      </c>
      <c r="O36" s="6">
        <f>COUNTIF('Internal Book'!$H$2:$H$125,E36)</f>
        <v/>
      </c>
      <c r="P36" s="6">
        <f>COUNTIF('Custodian Statement'!$H$2:$H$125,E36)</f>
        <v/>
      </c>
      <c r="Q36" s="6">
        <f>IF(O36=0,"MISSING IN INTERNAL",IF(P36=0,"MISSING IN CUSTODIAN",IF(AND(D36="Cash",ABS(M36)&gt;Parameters!$B$4),"CASH BREAK",IF(L36&lt;&gt;0,"QUANTITY BREAK",IF(ABS(N36)&gt;Parameters!$B$3,"PRICE BREAK",IF(ABS(M36)&gt;Parameters!$B$4,"MV BREAK","MATCHED"))))))</f>
        <v/>
      </c>
      <c r="R36" s="14">
        <f>IFERROR(INDEX('Break Register'!$B$2:$B$10,MATCH(E36,'Break Register'!$A$2:$A$10,0)),"")</f>
        <v/>
      </c>
      <c r="S36" s="12">
        <f>IF(R36="","",Parameters!$B$2-R36)</f>
        <v/>
      </c>
      <c r="T36" s="6">
        <f>IF(S36="","",IF(S36&lt;=2,"0-2 days",IF(S36&lt;=5,"3-5 days",IF(S36&lt;=10,"6-10 days",IF(S36&lt;=30,"11-30 days","30+ days")))))</f>
        <v/>
      </c>
      <c r="U36" s="6">
        <f>IFERROR(INDEX('Break Register'!$C$2:$C$10,MATCH(E36,'Break Register'!$A$2:$A$10,0)),"")</f>
        <v/>
      </c>
      <c r="V36" s="11">
        <f>ABS(M36)</f>
        <v/>
      </c>
      <c r="W36" s="6">
        <f>IF(Q36="MATCHED",0,1)</f>
        <v/>
      </c>
    </row>
    <row r="37">
      <c r="A37" s="6" t="inlineStr">
        <is>
          <t>BALM</t>
        </is>
      </c>
      <c r="B37" s="6" t="inlineStr">
        <is>
          <t>EQ0042</t>
        </is>
      </c>
      <c r="C37" s="6" t="inlineStr">
        <is>
          <t>Global Equity Holding 22</t>
        </is>
      </c>
      <c r="D37" s="6" t="inlineStr">
        <is>
          <t>Equity</t>
        </is>
      </c>
      <c r="E37" s="6">
        <f>A37&amp;"|"&amp;B37</f>
        <v/>
      </c>
      <c r="F37" s="12">
        <f>IFERROR(INDEX('Internal Book'!$E$2:$E$125,MATCH(E37,'Internal Book'!$H$2:$H$125,0)),0)</f>
        <v/>
      </c>
      <c r="G37" s="13">
        <f>IFERROR(INDEX('Internal Book'!$F$2:$F$125,MATCH(E37,'Internal Book'!$H$2:$H$125,0)),0)</f>
        <v/>
      </c>
      <c r="H37" s="11">
        <f>IFERROR(INDEX('Internal Book'!$G$2:$G$125,MATCH(E37,'Internal Book'!$H$2:$H$125,0)),0)</f>
        <v/>
      </c>
      <c r="I37" s="12">
        <f>IFERROR(INDEX('Custodian Statement'!$E$2:$E$125,MATCH(E37,'Custodian Statement'!$H$2:$H$125,0)),0)</f>
        <v/>
      </c>
      <c r="J37" s="13">
        <f>IFERROR(INDEX('Custodian Statement'!$F$2:$F$125,MATCH(E37,'Custodian Statement'!$H$2:$H$125,0)),0)</f>
        <v/>
      </c>
      <c r="K37" s="11">
        <f>IFERROR(INDEX('Custodian Statement'!$G$2:$G$125,MATCH(E37,'Custodian Statement'!$H$2:$H$125,0)),0)</f>
        <v/>
      </c>
      <c r="L37" s="12">
        <f>F37-I37</f>
        <v/>
      </c>
      <c r="M37" s="11">
        <f>H37-K37</f>
        <v/>
      </c>
      <c r="N37" s="12">
        <f>IFERROR((G37-J37)/J37*10000,0)</f>
        <v/>
      </c>
      <c r="O37" s="6">
        <f>COUNTIF('Internal Book'!$H$2:$H$125,E37)</f>
        <v/>
      </c>
      <c r="P37" s="6">
        <f>COUNTIF('Custodian Statement'!$H$2:$H$125,E37)</f>
        <v/>
      </c>
      <c r="Q37" s="6">
        <f>IF(O37=0,"MISSING IN INTERNAL",IF(P37=0,"MISSING IN CUSTODIAN",IF(AND(D37="Cash",ABS(M37)&gt;Parameters!$B$4),"CASH BREAK",IF(L37&lt;&gt;0,"QUANTITY BREAK",IF(ABS(N37)&gt;Parameters!$B$3,"PRICE BREAK",IF(ABS(M37)&gt;Parameters!$B$4,"MV BREAK","MATCHED"))))))</f>
        <v/>
      </c>
      <c r="R37" s="14">
        <f>IFERROR(INDEX('Break Register'!$B$2:$B$10,MATCH(E37,'Break Register'!$A$2:$A$10,0)),"")</f>
        <v/>
      </c>
      <c r="S37" s="12">
        <f>IF(R37="","",Parameters!$B$2-R37)</f>
        <v/>
      </c>
      <c r="T37" s="6">
        <f>IF(S37="","",IF(S37&lt;=2,"0-2 days",IF(S37&lt;=5,"3-5 days",IF(S37&lt;=10,"6-10 days",IF(S37&lt;=30,"11-30 days","30+ days")))))</f>
        <v/>
      </c>
      <c r="U37" s="6">
        <f>IFERROR(INDEX('Break Register'!$C$2:$C$10,MATCH(E37,'Break Register'!$A$2:$A$10,0)),"")</f>
        <v/>
      </c>
      <c r="V37" s="11">
        <f>ABS(M37)</f>
        <v/>
      </c>
      <c r="W37" s="6">
        <f>IF(Q37="MATCHED",0,1)</f>
        <v/>
      </c>
    </row>
    <row r="38">
      <c r="A38" s="6" t="inlineStr">
        <is>
          <t>BALM</t>
        </is>
      </c>
      <c r="B38" s="6" t="inlineStr">
        <is>
          <t>EQ0046</t>
        </is>
      </c>
      <c r="C38" s="6" t="inlineStr">
        <is>
          <t>Global Equity Holding 26</t>
        </is>
      </c>
      <c r="D38" s="6" t="inlineStr">
        <is>
          <t>Equity</t>
        </is>
      </c>
      <c r="E38" s="6">
        <f>A38&amp;"|"&amp;B38</f>
        <v/>
      </c>
      <c r="F38" s="12">
        <f>IFERROR(INDEX('Internal Book'!$E$2:$E$125,MATCH(E38,'Internal Book'!$H$2:$H$125,0)),0)</f>
        <v/>
      </c>
      <c r="G38" s="13">
        <f>IFERROR(INDEX('Internal Book'!$F$2:$F$125,MATCH(E38,'Internal Book'!$H$2:$H$125,0)),0)</f>
        <v/>
      </c>
      <c r="H38" s="11">
        <f>IFERROR(INDEX('Internal Book'!$G$2:$G$125,MATCH(E38,'Internal Book'!$H$2:$H$125,0)),0)</f>
        <v/>
      </c>
      <c r="I38" s="12">
        <f>IFERROR(INDEX('Custodian Statement'!$E$2:$E$125,MATCH(E38,'Custodian Statement'!$H$2:$H$125,0)),0)</f>
        <v/>
      </c>
      <c r="J38" s="13">
        <f>IFERROR(INDEX('Custodian Statement'!$F$2:$F$125,MATCH(E38,'Custodian Statement'!$H$2:$H$125,0)),0)</f>
        <v/>
      </c>
      <c r="K38" s="11">
        <f>IFERROR(INDEX('Custodian Statement'!$G$2:$G$125,MATCH(E38,'Custodian Statement'!$H$2:$H$125,0)),0)</f>
        <v/>
      </c>
      <c r="L38" s="12">
        <f>F38-I38</f>
        <v/>
      </c>
      <c r="M38" s="11">
        <f>H38-K38</f>
        <v/>
      </c>
      <c r="N38" s="12">
        <f>IFERROR((G38-J38)/J38*10000,0)</f>
        <v/>
      </c>
      <c r="O38" s="6">
        <f>COUNTIF('Internal Book'!$H$2:$H$125,E38)</f>
        <v/>
      </c>
      <c r="P38" s="6">
        <f>COUNTIF('Custodian Statement'!$H$2:$H$125,E38)</f>
        <v/>
      </c>
      <c r="Q38" s="6">
        <f>IF(O38=0,"MISSING IN INTERNAL",IF(P38=0,"MISSING IN CUSTODIAN",IF(AND(D38="Cash",ABS(M38)&gt;Parameters!$B$4),"CASH BREAK",IF(L38&lt;&gt;0,"QUANTITY BREAK",IF(ABS(N38)&gt;Parameters!$B$3,"PRICE BREAK",IF(ABS(M38)&gt;Parameters!$B$4,"MV BREAK","MATCHED"))))))</f>
        <v/>
      </c>
      <c r="R38" s="14">
        <f>IFERROR(INDEX('Break Register'!$B$2:$B$10,MATCH(E38,'Break Register'!$A$2:$A$10,0)),"")</f>
        <v/>
      </c>
      <c r="S38" s="12">
        <f>IF(R38="","",Parameters!$B$2-R38)</f>
        <v/>
      </c>
      <c r="T38" s="6">
        <f>IF(S38="","",IF(S38&lt;=2,"0-2 days",IF(S38&lt;=5,"3-5 days",IF(S38&lt;=10,"6-10 days",IF(S38&lt;=30,"11-30 days","30+ days")))))</f>
        <v/>
      </c>
      <c r="U38" s="6">
        <f>IFERROR(INDEX('Break Register'!$C$2:$C$10,MATCH(E38,'Break Register'!$A$2:$A$10,0)),"")</f>
        <v/>
      </c>
      <c r="V38" s="11">
        <f>ABS(M38)</f>
        <v/>
      </c>
      <c r="W38" s="6">
        <f>IF(Q38="MATCHED",0,1)</f>
        <v/>
      </c>
    </row>
    <row r="39">
      <c r="A39" s="6" t="inlineStr">
        <is>
          <t>BALM</t>
        </is>
      </c>
      <c r="B39" s="6" t="inlineStr">
        <is>
          <t>EQ0047</t>
        </is>
      </c>
      <c r="C39" s="6" t="inlineStr">
        <is>
          <t>Global Equity Holding 27</t>
        </is>
      </c>
      <c r="D39" s="6" t="inlineStr">
        <is>
          <t>Equity</t>
        </is>
      </c>
      <c r="E39" s="6">
        <f>A39&amp;"|"&amp;B39</f>
        <v/>
      </c>
      <c r="F39" s="12">
        <f>IFERROR(INDEX('Internal Book'!$E$2:$E$125,MATCH(E39,'Internal Book'!$H$2:$H$125,0)),0)</f>
        <v/>
      </c>
      <c r="G39" s="13">
        <f>IFERROR(INDEX('Internal Book'!$F$2:$F$125,MATCH(E39,'Internal Book'!$H$2:$H$125,0)),0)</f>
        <v/>
      </c>
      <c r="H39" s="11">
        <f>IFERROR(INDEX('Internal Book'!$G$2:$G$125,MATCH(E39,'Internal Book'!$H$2:$H$125,0)),0)</f>
        <v/>
      </c>
      <c r="I39" s="12">
        <f>IFERROR(INDEX('Custodian Statement'!$E$2:$E$125,MATCH(E39,'Custodian Statement'!$H$2:$H$125,0)),0)</f>
        <v/>
      </c>
      <c r="J39" s="13">
        <f>IFERROR(INDEX('Custodian Statement'!$F$2:$F$125,MATCH(E39,'Custodian Statement'!$H$2:$H$125,0)),0)</f>
        <v/>
      </c>
      <c r="K39" s="11">
        <f>IFERROR(INDEX('Custodian Statement'!$G$2:$G$125,MATCH(E39,'Custodian Statement'!$H$2:$H$125,0)),0)</f>
        <v/>
      </c>
      <c r="L39" s="12">
        <f>F39-I39</f>
        <v/>
      </c>
      <c r="M39" s="11">
        <f>H39-K39</f>
        <v/>
      </c>
      <c r="N39" s="12">
        <f>IFERROR((G39-J39)/J39*10000,0)</f>
        <v/>
      </c>
      <c r="O39" s="6">
        <f>COUNTIF('Internal Book'!$H$2:$H$125,E39)</f>
        <v/>
      </c>
      <c r="P39" s="6">
        <f>COUNTIF('Custodian Statement'!$H$2:$H$125,E39)</f>
        <v/>
      </c>
      <c r="Q39" s="6">
        <f>IF(O39=0,"MISSING IN INTERNAL",IF(P39=0,"MISSING IN CUSTODIAN",IF(AND(D39="Cash",ABS(M39)&gt;Parameters!$B$4),"CASH BREAK",IF(L39&lt;&gt;0,"QUANTITY BREAK",IF(ABS(N39)&gt;Parameters!$B$3,"PRICE BREAK",IF(ABS(M39)&gt;Parameters!$B$4,"MV BREAK","MATCHED"))))))</f>
        <v/>
      </c>
      <c r="R39" s="14">
        <f>IFERROR(INDEX('Break Register'!$B$2:$B$10,MATCH(E39,'Break Register'!$A$2:$A$10,0)),"")</f>
        <v/>
      </c>
      <c r="S39" s="12">
        <f>IF(R39="","",Parameters!$B$2-R39)</f>
        <v/>
      </c>
      <c r="T39" s="6">
        <f>IF(S39="","",IF(S39&lt;=2,"0-2 days",IF(S39&lt;=5,"3-5 days",IF(S39&lt;=10,"6-10 days",IF(S39&lt;=30,"11-30 days","30+ days")))))</f>
        <v/>
      </c>
      <c r="U39" s="6">
        <f>IFERROR(INDEX('Break Register'!$C$2:$C$10,MATCH(E39,'Break Register'!$A$2:$A$10,0)),"")</f>
        <v/>
      </c>
      <c r="V39" s="11">
        <f>ABS(M39)</f>
        <v/>
      </c>
      <c r="W39" s="6">
        <f>IF(Q39="MATCHED",0,1)</f>
        <v/>
      </c>
    </row>
    <row r="40">
      <c r="A40" s="6" t="inlineStr">
        <is>
          <t>BALM</t>
        </is>
      </c>
      <c r="B40" s="6" t="inlineStr">
        <is>
          <t>ET0081</t>
        </is>
      </c>
      <c r="C40" s="6" t="inlineStr">
        <is>
          <t>iShares Core MSCI World</t>
        </is>
      </c>
      <c r="D40" s="6" t="inlineStr">
        <is>
          <t>ETF</t>
        </is>
      </c>
      <c r="E40" s="6">
        <f>A40&amp;"|"&amp;B40</f>
        <v/>
      </c>
      <c r="F40" s="12">
        <f>IFERROR(INDEX('Internal Book'!$E$2:$E$125,MATCH(E40,'Internal Book'!$H$2:$H$125,0)),0)</f>
        <v/>
      </c>
      <c r="G40" s="13">
        <f>IFERROR(INDEX('Internal Book'!$F$2:$F$125,MATCH(E40,'Internal Book'!$H$2:$H$125,0)),0)</f>
        <v/>
      </c>
      <c r="H40" s="11">
        <f>IFERROR(INDEX('Internal Book'!$G$2:$G$125,MATCH(E40,'Internal Book'!$H$2:$H$125,0)),0)</f>
        <v/>
      </c>
      <c r="I40" s="12">
        <f>IFERROR(INDEX('Custodian Statement'!$E$2:$E$125,MATCH(E40,'Custodian Statement'!$H$2:$H$125,0)),0)</f>
        <v/>
      </c>
      <c r="J40" s="13">
        <f>IFERROR(INDEX('Custodian Statement'!$F$2:$F$125,MATCH(E40,'Custodian Statement'!$H$2:$H$125,0)),0)</f>
        <v/>
      </c>
      <c r="K40" s="11">
        <f>IFERROR(INDEX('Custodian Statement'!$G$2:$G$125,MATCH(E40,'Custodian Statement'!$H$2:$H$125,0)),0)</f>
        <v/>
      </c>
      <c r="L40" s="12">
        <f>F40-I40</f>
        <v/>
      </c>
      <c r="M40" s="11">
        <f>H40-K40</f>
        <v/>
      </c>
      <c r="N40" s="12">
        <f>IFERROR((G40-J40)/J40*10000,0)</f>
        <v/>
      </c>
      <c r="O40" s="6">
        <f>COUNTIF('Internal Book'!$H$2:$H$125,E40)</f>
        <v/>
      </c>
      <c r="P40" s="6">
        <f>COUNTIF('Custodian Statement'!$H$2:$H$125,E40)</f>
        <v/>
      </c>
      <c r="Q40" s="6">
        <f>IF(O40=0,"MISSING IN INTERNAL",IF(P40=0,"MISSING IN CUSTODIAN",IF(AND(D40="Cash",ABS(M40)&gt;Parameters!$B$4),"CASH BREAK",IF(L40&lt;&gt;0,"QUANTITY BREAK",IF(ABS(N40)&gt;Parameters!$B$3,"PRICE BREAK",IF(ABS(M40)&gt;Parameters!$B$4,"MV BREAK","MATCHED"))))))</f>
        <v/>
      </c>
      <c r="R40" s="14">
        <f>IFERROR(INDEX('Break Register'!$B$2:$B$10,MATCH(E40,'Break Register'!$A$2:$A$10,0)),"")</f>
        <v/>
      </c>
      <c r="S40" s="12">
        <f>IF(R40="","",Parameters!$B$2-R40)</f>
        <v/>
      </c>
      <c r="T40" s="6">
        <f>IF(S40="","",IF(S40&lt;=2,"0-2 days",IF(S40&lt;=5,"3-5 days",IF(S40&lt;=10,"6-10 days",IF(S40&lt;=30,"11-30 days","30+ days")))))</f>
        <v/>
      </c>
      <c r="U40" s="6">
        <f>IFERROR(INDEX('Break Register'!$C$2:$C$10,MATCH(E40,'Break Register'!$A$2:$A$10,0)),"")</f>
        <v/>
      </c>
      <c r="V40" s="11">
        <f>ABS(M40)</f>
        <v/>
      </c>
      <c r="W40" s="6">
        <f>IF(Q40="MATCHED",0,1)</f>
        <v/>
      </c>
    </row>
    <row r="41">
      <c r="A41" s="6" t="inlineStr">
        <is>
          <t>BALM</t>
        </is>
      </c>
      <c r="B41" s="6" t="inlineStr">
        <is>
          <t>ET0083</t>
        </is>
      </c>
      <c r="C41" s="6" t="inlineStr">
        <is>
          <t>SPDR Gold Shares</t>
        </is>
      </c>
      <c r="D41" s="6" t="inlineStr">
        <is>
          <t>ETF</t>
        </is>
      </c>
      <c r="E41" s="6">
        <f>A41&amp;"|"&amp;B41</f>
        <v/>
      </c>
      <c r="F41" s="12">
        <f>IFERROR(INDEX('Internal Book'!$E$2:$E$125,MATCH(E41,'Internal Book'!$H$2:$H$125,0)),0)</f>
        <v/>
      </c>
      <c r="G41" s="13">
        <f>IFERROR(INDEX('Internal Book'!$F$2:$F$125,MATCH(E41,'Internal Book'!$H$2:$H$125,0)),0)</f>
        <v/>
      </c>
      <c r="H41" s="11">
        <f>IFERROR(INDEX('Internal Book'!$G$2:$G$125,MATCH(E41,'Internal Book'!$H$2:$H$125,0)),0)</f>
        <v/>
      </c>
      <c r="I41" s="12">
        <f>IFERROR(INDEX('Custodian Statement'!$E$2:$E$125,MATCH(E41,'Custodian Statement'!$H$2:$H$125,0)),0)</f>
        <v/>
      </c>
      <c r="J41" s="13">
        <f>IFERROR(INDEX('Custodian Statement'!$F$2:$F$125,MATCH(E41,'Custodian Statement'!$H$2:$H$125,0)),0)</f>
        <v/>
      </c>
      <c r="K41" s="11">
        <f>IFERROR(INDEX('Custodian Statement'!$G$2:$G$125,MATCH(E41,'Custodian Statement'!$H$2:$H$125,0)),0)</f>
        <v/>
      </c>
      <c r="L41" s="12">
        <f>F41-I41</f>
        <v/>
      </c>
      <c r="M41" s="11">
        <f>H41-K41</f>
        <v/>
      </c>
      <c r="N41" s="12">
        <f>IFERROR((G41-J41)/J41*10000,0)</f>
        <v/>
      </c>
      <c r="O41" s="6">
        <f>COUNTIF('Internal Book'!$H$2:$H$125,E41)</f>
        <v/>
      </c>
      <c r="P41" s="6">
        <f>COUNTIF('Custodian Statement'!$H$2:$H$125,E41)</f>
        <v/>
      </c>
      <c r="Q41" s="6">
        <f>IF(O41=0,"MISSING IN INTERNAL",IF(P41=0,"MISSING IN CUSTODIAN",IF(AND(D41="Cash",ABS(M41)&gt;Parameters!$B$4),"CASH BREAK",IF(L41&lt;&gt;0,"QUANTITY BREAK",IF(ABS(N41)&gt;Parameters!$B$3,"PRICE BREAK",IF(ABS(M41)&gt;Parameters!$B$4,"MV BREAK","MATCHED"))))))</f>
        <v/>
      </c>
      <c r="R41" s="14">
        <f>IFERROR(INDEX('Break Register'!$B$2:$B$10,MATCH(E41,'Break Register'!$A$2:$A$10,0)),"")</f>
        <v/>
      </c>
      <c r="S41" s="12">
        <f>IF(R41="","",Parameters!$B$2-R41)</f>
        <v/>
      </c>
      <c r="T41" s="6">
        <f>IF(S41="","",IF(S41&lt;=2,"0-2 days",IF(S41&lt;=5,"3-5 days",IF(S41&lt;=10,"6-10 days",IF(S41&lt;=30,"11-30 days","30+ days")))))</f>
        <v/>
      </c>
      <c r="U41" s="6">
        <f>IFERROR(INDEX('Break Register'!$C$2:$C$10,MATCH(E41,'Break Register'!$A$2:$A$10,0)),"")</f>
        <v/>
      </c>
      <c r="V41" s="11">
        <f>ABS(M41)</f>
        <v/>
      </c>
      <c r="W41" s="6">
        <f>IF(Q41="MATCHED",0,1)</f>
        <v/>
      </c>
    </row>
    <row r="42">
      <c r="A42" s="6" t="inlineStr">
        <is>
          <t>BALM</t>
        </is>
      </c>
      <c r="B42" s="6" t="inlineStr">
        <is>
          <t>ET0084</t>
        </is>
      </c>
      <c r="C42" s="6" t="inlineStr">
        <is>
          <t>iShares EUR Corp Bond</t>
        </is>
      </c>
      <c r="D42" s="6" t="inlineStr">
        <is>
          <t>ETF</t>
        </is>
      </c>
      <c r="E42" s="6">
        <f>A42&amp;"|"&amp;B42</f>
        <v/>
      </c>
      <c r="F42" s="12">
        <f>IFERROR(INDEX('Internal Book'!$E$2:$E$125,MATCH(E42,'Internal Book'!$H$2:$H$125,0)),0)</f>
        <v/>
      </c>
      <c r="G42" s="13">
        <f>IFERROR(INDEX('Internal Book'!$F$2:$F$125,MATCH(E42,'Internal Book'!$H$2:$H$125,0)),0)</f>
        <v/>
      </c>
      <c r="H42" s="11">
        <f>IFERROR(INDEX('Internal Book'!$G$2:$G$125,MATCH(E42,'Internal Book'!$H$2:$H$125,0)),0)</f>
        <v/>
      </c>
      <c r="I42" s="12">
        <f>IFERROR(INDEX('Custodian Statement'!$E$2:$E$125,MATCH(E42,'Custodian Statement'!$H$2:$H$125,0)),0)</f>
        <v/>
      </c>
      <c r="J42" s="13">
        <f>IFERROR(INDEX('Custodian Statement'!$F$2:$F$125,MATCH(E42,'Custodian Statement'!$H$2:$H$125,0)),0)</f>
        <v/>
      </c>
      <c r="K42" s="11">
        <f>IFERROR(INDEX('Custodian Statement'!$G$2:$G$125,MATCH(E42,'Custodian Statement'!$H$2:$H$125,0)),0)</f>
        <v/>
      </c>
      <c r="L42" s="12">
        <f>F42-I42</f>
        <v/>
      </c>
      <c r="M42" s="11">
        <f>H42-K42</f>
        <v/>
      </c>
      <c r="N42" s="12">
        <f>IFERROR((G42-J42)/J42*10000,0)</f>
        <v/>
      </c>
      <c r="O42" s="6">
        <f>COUNTIF('Internal Book'!$H$2:$H$125,E42)</f>
        <v/>
      </c>
      <c r="P42" s="6">
        <f>COUNTIF('Custodian Statement'!$H$2:$H$125,E42)</f>
        <v/>
      </c>
      <c r="Q42" s="6">
        <f>IF(O42=0,"MISSING IN INTERNAL",IF(P42=0,"MISSING IN CUSTODIAN",IF(AND(D42="Cash",ABS(M42)&gt;Parameters!$B$4),"CASH BREAK",IF(L42&lt;&gt;0,"QUANTITY BREAK",IF(ABS(N42)&gt;Parameters!$B$3,"PRICE BREAK",IF(ABS(M42)&gt;Parameters!$B$4,"MV BREAK","MATCHED"))))))</f>
        <v/>
      </c>
      <c r="R42" s="14">
        <f>IFERROR(INDEX('Break Register'!$B$2:$B$10,MATCH(E42,'Break Register'!$A$2:$A$10,0)),"")</f>
        <v/>
      </c>
      <c r="S42" s="12">
        <f>IF(R42="","",Parameters!$B$2-R42)</f>
        <v/>
      </c>
      <c r="T42" s="6">
        <f>IF(S42="","",IF(S42&lt;=2,"0-2 days",IF(S42&lt;=5,"3-5 days",IF(S42&lt;=10,"6-10 days",IF(S42&lt;=30,"11-30 days","30+ days")))))</f>
        <v/>
      </c>
      <c r="U42" s="6">
        <f>IFERROR(INDEX('Break Register'!$C$2:$C$10,MATCH(E42,'Break Register'!$A$2:$A$10,0)),"")</f>
        <v/>
      </c>
      <c r="V42" s="11">
        <f>ABS(M42)</f>
        <v/>
      </c>
      <c r="W42" s="6">
        <f>IF(Q42="MATCHED",0,1)</f>
        <v/>
      </c>
    </row>
    <row r="43">
      <c r="A43" s="6" t="inlineStr">
        <is>
          <t>BALM</t>
        </is>
      </c>
      <c r="B43" s="6" t="inlineStr">
        <is>
          <t>ET0085</t>
        </is>
      </c>
      <c r="C43" s="6" t="inlineStr">
        <is>
          <t>iShares US Treasury</t>
        </is>
      </c>
      <c r="D43" s="6" t="inlineStr">
        <is>
          <t>ETF</t>
        </is>
      </c>
      <c r="E43" s="6">
        <f>A43&amp;"|"&amp;B43</f>
        <v/>
      </c>
      <c r="F43" s="12">
        <f>IFERROR(INDEX('Internal Book'!$E$2:$E$125,MATCH(E43,'Internal Book'!$H$2:$H$125,0)),0)</f>
        <v/>
      </c>
      <c r="G43" s="13">
        <f>IFERROR(INDEX('Internal Book'!$F$2:$F$125,MATCH(E43,'Internal Book'!$H$2:$H$125,0)),0)</f>
        <v/>
      </c>
      <c r="H43" s="11">
        <f>IFERROR(INDEX('Internal Book'!$G$2:$G$125,MATCH(E43,'Internal Book'!$H$2:$H$125,0)),0)</f>
        <v/>
      </c>
      <c r="I43" s="12">
        <f>IFERROR(INDEX('Custodian Statement'!$E$2:$E$125,MATCH(E43,'Custodian Statement'!$H$2:$H$125,0)),0)</f>
        <v/>
      </c>
      <c r="J43" s="13">
        <f>IFERROR(INDEX('Custodian Statement'!$F$2:$F$125,MATCH(E43,'Custodian Statement'!$H$2:$H$125,0)),0)</f>
        <v/>
      </c>
      <c r="K43" s="11">
        <f>IFERROR(INDEX('Custodian Statement'!$G$2:$G$125,MATCH(E43,'Custodian Statement'!$H$2:$H$125,0)),0)</f>
        <v/>
      </c>
      <c r="L43" s="12">
        <f>F43-I43</f>
        <v/>
      </c>
      <c r="M43" s="11">
        <f>H43-K43</f>
        <v/>
      </c>
      <c r="N43" s="12">
        <f>IFERROR((G43-J43)/J43*10000,0)</f>
        <v/>
      </c>
      <c r="O43" s="6">
        <f>COUNTIF('Internal Book'!$H$2:$H$125,E43)</f>
        <v/>
      </c>
      <c r="P43" s="6">
        <f>COUNTIF('Custodian Statement'!$H$2:$H$125,E43)</f>
        <v/>
      </c>
      <c r="Q43" s="6">
        <f>IF(O43=0,"MISSING IN INTERNAL",IF(P43=0,"MISSING IN CUSTODIAN",IF(AND(D43="Cash",ABS(M43)&gt;Parameters!$B$4),"CASH BREAK",IF(L43&lt;&gt;0,"QUANTITY BREAK",IF(ABS(N43)&gt;Parameters!$B$3,"PRICE BREAK",IF(ABS(M43)&gt;Parameters!$B$4,"MV BREAK","MATCHED"))))))</f>
        <v/>
      </c>
      <c r="R43" s="14">
        <f>IFERROR(INDEX('Break Register'!$B$2:$B$10,MATCH(E43,'Break Register'!$A$2:$A$10,0)),"")</f>
        <v/>
      </c>
      <c r="S43" s="12">
        <f>IF(R43="","",Parameters!$B$2-R43)</f>
        <v/>
      </c>
      <c r="T43" s="6">
        <f>IF(S43="","",IF(S43&lt;=2,"0-2 days",IF(S43&lt;=5,"3-5 days",IF(S43&lt;=10,"6-10 days",IF(S43&lt;=30,"11-30 days","30+ days")))))</f>
        <v/>
      </c>
      <c r="U43" s="6">
        <f>IFERROR(INDEX('Break Register'!$C$2:$C$10,MATCH(E43,'Break Register'!$A$2:$A$10,0)),"")</f>
        <v/>
      </c>
      <c r="V43" s="11">
        <f>ABS(M43)</f>
        <v/>
      </c>
      <c r="W43" s="6">
        <f>IF(Q43="MATCHED",0,1)</f>
        <v/>
      </c>
    </row>
    <row r="44">
      <c r="A44" s="6" t="inlineStr">
        <is>
          <t>EQGL</t>
        </is>
      </c>
      <c r="B44" s="6" t="inlineStr">
        <is>
          <t>CASH_USD_EQGL</t>
        </is>
      </c>
      <c r="C44" s="6" t="inlineStr">
        <is>
          <t>USD Cash</t>
        </is>
      </c>
      <c r="D44" s="6" t="inlineStr">
        <is>
          <t>Cash</t>
        </is>
      </c>
      <c r="E44" s="6">
        <f>A44&amp;"|"&amp;B44</f>
        <v/>
      </c>
      <c r="F44" s="12">
        <f>IFERROR(INDEX('Internal Book'!$E$2:$E$125,MATCH(E44,'Internal Book'!$H$2:$H$125,0)),0)</f>
        <v/>
      </c>
      <c r="G44" s="13">
        <f>IFERROR(INDEX('Internal Book'!$F$2:$F$125,MATCH(E44,'Internal Book'!$H$2:$H$125,0)),0)</f>
        <v/>
      </c>
      <c r="H44" s="11">
        <f>IFERROR(INDEX('Internal Book'!$G$2:$G$125,MATCH(E44,'Internal Book'!$H$2:$H$125,0)),0)</f>
        <v/>
      </c>
      <c r="I44" s="12">
        <f>IFERROR(INDEX('Custodian Statement'!$E$2:$E$125,MATCH(E44,'Custodian Statement'!$H$2:$H$125,0)),0)</f>
        <v/>
      </c>
      <c r="J44" s="13">
        <f>IFERROR(INDEX('Custodian Statement'!$F$2:$F$125,MATCH(E44,'Custodian Statement'!$H$2:$H$125,0)),0)</f>
        <v/>
      </c>
      <c r="K44" s="11">
        <f>IFERROR(INDEX('Custodian Statement'!$G$2:$G$125,MATCH(E44,'Custodian Statement'!$H$2:$H$125,0)),0)</f>
        <v/>
      </c>
      <c r="L44" s="12">
        <f>F44-I44</f>
        <v/>
      </c>
      <c r="M44" s="11">
        <f>H44-K44</f>
        <v/>
      </c>
      <c r="N44" s="12">
        <f>IFERROR((G44-J44)/J44*10000,0)</f>
        <v/>
      </c>
      <c r="O44" s="6">
        <f>COUNTIF('Internal Book'!$H$2:$H$125,E44)</f>
        <v/>
      </c>
      <c r="P44" s="6">
        <f>COUNTIF('Custodian Statement'!$H$2:$H$125,E44)</f>
        <v/>
      </c>
      <c r="Q44" s="6">
        <f>IF(O44=0,"MISSING IN INTERNAL",IF(P44=0,"MISSING IN CUSTODIAN",IF(AND(D44="Cash",ABS(M44)&gt;Parameters!$B$4),"CASH BREAK",IF(L44&lt;&gt;0,"QUANTITY BREAK",IF(ABS(N44)&gt;Parameters!$B$3,"PRICE BREAK",IF(ABS(M44)&gt;Parameters!$B$4,"MV BREAK","MATCHED"))))))</f>
        <v/>
      </c>
      <c r="R44" s="14">
        <f>IFERROR(INDEX('Break Register'!$B$2:$B$10,MATCH(E44,'Break Register'!$A$2:$A$10,0)),"")</f>
        <v/>
      </c>
      <c r="S44" s="12">
        <f>IF(R44="","",Parameters!$B$2-R44)</f>
        <v/>
      </c>
      <c r="T44" s="6">
        <f>IF(S44="","",IF(S44&lt;=2,"0-2 days",IF(S44&lt;=5,"3-5 days",IF(S44&lt;=10,"6-10 days",IF(S44&lt;=30,"11-30 days","30+ days")))))</f>
        <v/>
      </c>
      <c r="U44" s="6">
        <f>IFERROR(INDEX('Break Register'!$C$2:$C$10,MATCH(E44,'Break Register'!$A$2:$A$10,0)),"")</f>
        <v/>
      </c>
      <c r="V44" s="11">
        <f>ABS(M44)</f>
        <v/>
      </c>
      <c r="W44" s="6">
        <f>IF(Q44="MATCHED",0,1)</f>
        <v/>
      </c>
    </row>
    <row r="45">
      <c r="A45" s="6" t="inlineStr">
        <is>
          <t>EQGL</t>
        </is>
      </c>
      <c r="B45" s="6" t="inlineStr">
        <is>
          <t>EQ0001</t>
        </is>
      </c>
      <c r="C45" s="6" t="inlineStr">
        <is>
          <t>Apple Inc</t>
        </is>
      </c>
      <c r="D45" s="6" t="inlineStr">
        <is>
          <t>Equity</t>
        </is>
      </c>
      <c r="E45" s="6">
        <f>A45&amp;"|"&amp;B45</f>
        <v/>
      </c>
      <c r="F45" s="12">
        <f>IFERROR(INDEX('Internal Book'!$E$2:$E$125,MATCH(E45,'Internal Book'!$H$2:$H$125,0)),0)</f>
        <v/>
      </c>
      <c r="G45" s="13">
        <f>IFERROR(INDEX('Internal Book'!$F$2:$F$125,MATCH(E45,'Internal Book'!$H$2:$H$125,0)),0)</f>
        <v/>
      </c>
      <c r="H45" s="11">
        <f>IFERROR(INDEX('Internal Book'!$G$2:$G$125,MATCH(E45,'Internal Book'!$H$2:$H$125,0)),0)</f>
        <v/>
      </c>
      <c r="I45" s="12">
        <f>IFERROR(INDEX('Custodian Statement'!$E$2:$E$125,MATCH(E45,'Custodian Statement'!$H$2:$H$125,0)),0)</f>
        <v/>
      </c>
      <c r="J45" s="13">
        <f>IFERROR(INDEX('Custodian Statement'!$F$2:$F$125,MATCH(E45,'Custodian Statement'!$H$2:$H$125,0)),0)</f>
        <v/>
      </c>
      <c r="K45" s="11">
        <f>IFERROR(INDEX('Custodian Statement'!$G$2:$G$125,MATCH(E45,'Custodian Statement'!$H$2:$H$125,0)),0)</f>
        <v/>
      </c>
      <c r="L45" s="12">
        <f>F45-I45</f>
        <v/>
      </c>
      <c r="M45" s="11">
        <f>H45-K45</f>
        <v/>
      </c>
      <c r="N45" s="12">
        <f>IFERROR((G45-J45)/J45*10000,0)</f>
        <v/>
      </c>
      <c r="O45" s="6">
        <f>COUNTIF('Internal Book'!$H$2:$H$125,E45)</f>
        <v/>
      </c>
      <c r="P45" s="6">
        <f>COUNTIF('Custodian Statement'!$H$2:$H$125,E45)</f>
        <v/>
      </c>
      <c r="Q45" s="6">
        <f>IF(O45=0,"MISSING IN INTERNAL",IF(P45=0,"MISSING IN CUSTODIAN",IF(AND(D45="Cash",ABS(M45)&gt;Parameters!$B$4),"CASH BREAK",IF(L45&lt;&gt;0,"QUANTITY BREAK",IF(ABS(N45)&gt;Parameters!$B$3,"PRICE BREAK",IF(ABS(M45)&gt;Parameters!$B$4,"MV BREAK","MATCHED"))))))</f>
        <v/>
      </c>
      <c r="R45" s="14">
        <f>IFERROR(INDEX('Break Register'!$B$2:$B$10,MATCH(E45,'Break Register'!$A$2:$A$10,0)),"")</f>
        <v/>
      </c>
      <c r="S45" s="12">
        <f>IF(R45="","",Parameters!$B$2-R45)</f>
        <v/>
      </c>
      <c r="T45" s="6">
        <f>IF(S45="","",IF(S45&lt;=2,"0-2 days",IF(S45&lt;=5,"3-5 days",IF(S45&lt;=10,"6-10 days",IF(S45&lt;=30,"11-30 days","30+ days")))))</f>
        <v/>
      </c>
      <c r="U45" s="6">
        <f>IFERROR(INDEX('Break Register'!$C$2:$C$10,MATCH(E45,'Break Register'!$A$2:$A$10,0)),"")</f>
        <v/>
      </c>
      <c r="V45" s="11">
        <f>ABS(M45)</f>
        <v/>
      </c>
      <c r="W45" s="6">
        <f>IF(Q45="MATCHED",0,1)</f>
        <v/>
      </c>
    </row>
    <row r="46">
      <c r="A46" s="6" t="inlineStr">
        <is>
          <t>EQGL</t>
        </is>
      </c>
      <c r="B46" s="6" t="inlineStr">
        <is>
          <t>EQ0002</t>
        </is>
      </c>
      <c r="C46" s="6" t="inlineStr">
        <is>
          <t>Microsoft Corp</t>
        </is>
      </c>
      <c r="D46" s="6" t="inlineStr">
        <is>
          <t>Equity</t>
        </is>
      </c>
      <c r="E46" s="6">
        <f>A46&amp;"|"&amp;B46</f>
        <v/>
      </c>
      <c r="F46" s="12">
        <f>IFERROR(INDEX('Internal Book'!$E$2:$E$125,MATCH(E46,'Internal Book'!$H$2:$H$125,0)),0)</f>
        <v/>
      </c>
      <c r="G46" s="13">
        <f>IFERROR(INDEX('Internal Book'!$F$2:$F$125,MATCH(E46,'Internal Book'!$H$2:$H$125,0)),0)</f>
        <v/>
      </c>
      <c r="H46" s="11">
        <f>IFERROR(INDEX('Internal Book'!$G$2:$G$125,MATCH(E46,'Internal Book'!$H$2:$H$125,0)),0)</f>
        <v/>
      </c>
      <c r="I46" s="12">
        <f>IFERROR(INDEX('Custodian Statement'!$E$2:$E$125,MATCH(E46,'Custodian Statement'!$H$2:$H$125,0)),0)</f>
        <v/>
      </c>
      <c r="J46" s="13">
        <f>IFERROR(INDEX('Custodian Statement'!$F$2:$F$125,MATCH(E46,'Custodian Statement'!$H$2:$H$125,0)),0)</f>
        <v/>
      </c>
      <c r="K46" s="11">
        <f>IFERROR(INDEX('Custodian Statement'!$G$2:$G$125,MATCH(E46,'Custodian Statement'!$H$2:$H$125,0)),0)</f>
        <v/>
      </c>
      <c r="L46" s="12">
        <f>F46-I46</f>
        <v/>
      </c>
      <c r="M46" s="11">
        <f>H46-K46</f>
        <v/>
      </c>
      <c r="N46" s="12">
        <f>IFERROR((G46-J46)/J46*10000,0)</f>
        <v/>
      </c>
      <c r="O46" s="6">
        <f>COUNTIF('Internal Book'!$H$2:$H$125,E46)</f>
        <v/>
      </c>
      <c r="P46" s="6">
        <f>COUNTIF('Custodian Statement'!$H$2:$H$125,E46)</f>
        <v/>
      </c>
      <c r="Q46" s="6">
        <f>IF(O46=0,"MISSING IN INTERNAL",IF(P46=0,"MISSING IN CUSTODIAN",IF(AND(D46="Cash",ABS(M46)&gt;Parameters!$B$4),"CASH BREAK",IF(L46&lt;&gt;0,"QUANTITY BREAK",IF(ABS(N46)&gt;Parameters!$B$3,"PRICE BREAK",IF(ABS(M46)&gt;Parameters!$B$4,"MV BREAK","MATCHED"))))))</f>
        <v/>
      </c>
      <c r="R46" s="14">
        <f>IFERROR(INDEX('Break Register'!$B$2:$B$10,MATCH(E46,'Break Register'!$A$2:$A$10,0)),"")</f>
        <v/>
      </c>
      <c r="S46" s="12">
        <f>IF(R46="","",Parameters!$B$2-R46)</f>
        <v/>
      </c>
      <c r="T46" s="6">
        <f>IF(S46="","",IF(S46&lt;=2,"0-2 days",IF(S46&lt;=5,"3-5 days",IF(S46&lt;=10,"6-10 days",IF(S46&lt;=30,"11-30 days","30+ days")))))</f>
        <v/>
      </c>
      <c r="U46" s="6">
        <f>IFERROR(INDEX('Break Register'!$C$2:$C$10,MATCH(E46,'Break Register'!$A$2:$A$10,0)),"")</f>
        <v/>
      </c>
      <c r="V46" s="11">
        <f>ABS(M46)</f>
        <v/>
      </c>
      <c r="W46" s="6">
        <f>IF(Q46="MATCHED",0,1)</f>
        <v/>
      </c>
    </row>
    <row r="47">
      <c r="A47" s="6" t="inlineStr">
        <is>
          <t>EQGL</t>
        </is>
      </c>
      <c r="B47" s="6" t="inlineStr">
        <is>
          <t>EQ0003</t>
        </is>
      </c>
      <c r="C47" s="6" t="inlineStr">
        <is>
          <t>Nestle SA</t>
        </is>
      </c>
      <c r="D47" s="6" t="inlineStr">
        <is>
          <t>Equity</t>
        </is>
      </c>
      <c r="E47" s="6">
        <f>A47&amp;"|"&amp;B47</f>
        <v/>
      </c>
      <c r="F47" s="12">
        <f>IFERROR(INDEX('Internal Book'!$E$2:$E$125,MATCH(E47,'Internal Book'!$H$2:$H$125,0)),0)</f>
        <v/>
      </c>
      <c r="G47" s="13">
        <f>IFERROR(INDEX('Internal Book'!$F$2:$F$125,MATCH(E47,'Internal Book'!$H$2:$H$125,0)),0)</f>
        <v/>
      </c>
      <c r="H47" s="11">
        <f>IFERROR(INDEX('Internal Book'!$G$2:$G$125,MATCH(E47,'Internal Book'!$H$2:$H$125,0)),0)</f>
        <v/>
      </c>
      <c r="I47" s="12">
        <f>IFERROR(INDEX('Custodian Statement'!$E$2:$E$125,MATCH(E47,'Custodian Statement'!$H$2:$H$125,0)),0)</f>
        <v/>
      </c>
      <c r="J47" s="13">
        <f>IFERROR(INDEX('Custodian Statement'!$F$2:$F$125,MATCH(E47,'Custodian Statement'!$H$2:$H$125,0)),0)</f>
        <v/>
      </c>
      <c r="K47" s="11">
        <f>IFERROR(INDEX('Custodian Statement'!$G$2:$G$125,MATCH(E47,'Custodian Statement'!$H$2:$H$125,0)),0)</f>
        <v/>
      </c>
      <c r="L47" s="12">
        <f>F47-I47</f>
        <v/>
      </c>
      <c r="M47" s="11">
        <f>H47-K47</f>
        <v/>
      </c>
      <c r="N47" s="12">
        <f>IFERROR((G47-J47)/J47*10000,0)</f>
        <v/>
      </c>
      <c r="O47" s="6">
        <f>COUNTIF('Internal Book'!$H$2:$H$125,E47)</f>
        <v/>
      </c>
      <c r="P47" s="6">
        <f>COUNTIF('Custodian Statement'!$H$2:$H$125,E47)</f>
        <v/>
      </c>
      <c r="Q47" s="6">
        <f>IF(O47=0,"MISSING IN INTERNAL",IF(P47=0,"MISSING IN CUSTODIAN",IF(AND(D47="Cash",ABS(M47)&gt;Parameters!$B$4),"CASH BREAK",IF(L47&lt;&gt;0,"QUANTITY BREAK",IF(ABS(N47)&gt;Parameters!$B$3,"PRICE BREAK",IF(ABS(M47)&gt;Parameters!$B$4,"MV BREAK","MATCHED"))))))</f>
        <v/>
      </c>
      <c r="R47" s="14">
        <f>IFERROR(INDEX('Break Register'!$B$2:$B$10,MATCH(E47,'Break Register'!$A$2:$A$10,0)),"")</f>
        <v/>
      </c>
      <c r="S47" s="12">
        <f>IF(R47="","",Parameters!$B$2-R47)</f>
        <v/>
      </c>
      <c r="T47" s="6">
        <f>IF(S47="","",IF(S47&lt;=2,"0-2 days",IF(S47&lt;=5,"3-5 days",IF(S47&lt;=10,"6-10 days",IF(S47&lt;=30,"11-30 days","30+ days")))))</f>
        <v/>
      </c>
      <c r="U47" s="6">
        <f>IFERROR(INDEX('Break Register'!$C$2:$C$10,MATCH(E47,'Break Register'!$A$2:$A$10,0)),"")</f>
        <v/>
      </c>
      <c r="V47" s="11">
        <f>ABS(M47)</f>
        <v/>
      </c>
      <c r="W47" s="6">
        <f>IF(Q47="MATCHED",0,1)</f>
        <v/>
      </c>
    </row>
    <row r="48">
      <c r="A48" s="6" t="inlineStr">
        <is>
          <t>EQGL</t>
        </is>
      </c>
      <c r="B48" s="6" t="inlineStr">
        <is>
          <t>EQ0006</t>
        </is>
      </c>
      <c r="C48" s="6" t="inlineStr">
        <is>
          <t>Samsung Electronics</t>
        </is>
      </c>
      <c r="D48" s="6" t="inlineStr">
        <is>
          <t>Equity</t>
        </is>
      </c>
      <c r="E48" s="6">
        <f>A48&amp;"|"&amp;B48</f>
        <v/>
      </c>
      <c r="F48" s="12">
        <f>IFERROR(INDEX('Internal Book'!$E$2:$E$125,MATCH(E48,'Internal Book'!$H$2:$H$125,0)),0)</f>
        <v/>
      </c>
      <c r="G48" s="13">
        <f>IFERROR(INDEX('Internal Book'!$F$2:$F$125,MATCH(E48,'Internal Book'!$H$2:$H$125,0)),0)</f>
        <v/>
      </c>
      <c r="H48" s="11">
        <f>IFERROR(INDEX('Internal Book'!$G$2:$G$125,MATCH(E48,'Internal Book'!$H$2:$H$125,0)),0)</f>
        <v/>
      </c>
      <c r="I48" s="12">
        <f>IFERROR(INDEX('Custodian Statement'!$E$2:$E$125,MATCH(E48,'Custodian Statement'!$H$2:$H$125,0)),0)</f>
        <v/>
      </c>
      <c r="J48" s="13">
        <f>IFERROR(INDEX('Custodian Statement'!$F$2:$F$125,MATCH(E48,'Custodian Statement'!$H$2:$H$125,0)),0)</f>
        <v/>
      </c>
      <c r="K48" s="11">
        <f>IFERROR(INDEX('Custodian Statement'!$G$2:$G$125,MATCH(E48,'Custodian Statement'!$H$2:$H$125,0)),0)</f>
        <v/>
      </c>
      <c r="L48" s="12">
        <f>F48-I48</f>
        <v/>
      </c>
      <c r="M48" s="11">
        <f>H48-K48</f>
        <v/>
      </c>
      <c r="N48" s="12">
        <f>IFERROR((G48-J48)/J48*10000,0)</f>
        <v/>
      </c>
      <c r="O48" s="6">
        <f>COUNTIF('Internal Book'!$H$2:$H$125,E48)</f>
        <v/>
      </c>
      <c r="P48" s="6">
        <f>COUNTIF('Custodian Statement'!$H$2:$H$125,E48)</f>
        <v/>
      </c>
      <c r="Q48" s="6">
        <f>IF(O48=0,"MISSING IN INTERNAL",IF(P48=0,"MISSING IN CUSTODIAN",IF(AND(D48="Cash",ABS(M48)&gt;Parameters!$B$4),"CASH BREAK",IF(L48&lt;&gt;0,"QUANTITY BREAK",IF(ABS(N48)&gt;Parameters!$B$3,"PRICE BREAK",IF(ABS(M48)&gt;Parameters!$B$4,"MV BREAK","MATCHED"))))))</f>
        <v/>
      </c>
      <c r="R48" s="14">
        <f>IFERROR(INDEX('Break Register'!$B$2:$B$10,MATCH(E48,'Break Register'!$A$2:$A$10,0)),"")</f>
        <v/>
      </c>
      <c r="S48" s="12">
        <f>IF(R48="","",Parameters!$B$2-R48)</f>
        <v/>
      </c>
      <c r="T48" s="6">
        <f>IF(S48="","",IF(S48&lt;=2,"0-2 days",IF(S48&lt;=5,"3-5 days",IF(S48&lt;=10,"6-10 days",IF(S48&lt;=30,"11-30 days","30+ days")))))</f>
        <v/>
      </c>
      <c r="U48" s="6">
        <f>IFERROR(INDEX('Break Register'!$C$2:$C$10,MATCH(E48,'Break Register'!$A$2:$A$10,0)),"")</f>
        <v/>
      </c>
      <c r="V48" s="11">
        <f>ABS(M48)</f>
        <v/>
      </c>
      <c r="W48" s="6">
        <f>IF(Q48="MATCHED",0,1)</f>
        <v/>
      </c>
    </row>
    <row r="49">
      <c r="A49" s="6" t="inlineStr">
        <is>
          <t>EQGL</t>
        </is>
      </c>
      <c r="B49" s="6" t="inlineStr">
        <is>
          <t>EQ0007</t>
        </is>
      </c>
      <c r="C49" s="6" t="inlineStr">
        <is>
          <t>ASML Holding</t>
        </is>
      </c>
      <c r="D49" s="6" t="inlineStr">
        <is>
          <t>Equity</t>
        </is>
      </c>
      <c r="E49" s="6">
        <f>A49&amp;"|"&amp;B49</f>
        <v/>
      </c>
      <c r="F49" s="12">
        <f>IFERROR(INDEX('Internal Book'!$E$2:$E$125,MATCH(E49,'Internal Book'!$H$2:$H$125,0)),0)</f>
        <v/>
      </c>
      <c r="G49" s="13">
        <f>IFERROR(INDEX('Internal Book'!$F$2:$F$125,MATCH(E49,'Internal Book'!$H$2:$H$125,0)),0)</f>
        <v/>
      </c>
      <c r="H49" s="11">
        <f>IFERROR(INDEX('Internal Book'!$G$2:$G$125,MATCH(E49,'Internal Book'!$H$2:$H$125,0)),0)</f>
        <v/>
      </c>
      <c r="I49" s="12">
        <f>IFERROR(INDEX('Custodian Statement'!$E$2:$E$125,MATCH(E49,'Custodian Statement'!$H$2:$H$125,0)),0)</f>
        <v/>
      </c>
      <c r="J49" s="13">
        <f>IFERROR(INDEX('Custodian Statement'!$F$2:$F$125,MATCH(E49,'Custodian Statement'!$H$2:$H$125,0)),0)</f>
        <v/>
      </c>
      <c r="K49" s="11">
        <f>IFERROR(INDEX('Custodian Statement'!$G$2:$G$125,MATCH(E49,'Custodian Statement'!$H$2:$H$125,0)),0)</f>
        <v/>
      </c>
      <c r="L49" s="12">
        <f>F49-I49</f>
        <v/>
      </c>
      <c r="M49" s="11">
        <f>H49-K49</f>
        <v/>
      </c>
      <c r="N49" s="12">
        <f>IFERROR((G49-J49)/J49*10000,0)</f>
        <v/>
      </c>
      <c r="O49" s="6">
        <f>COUNTIF('Internal Book'!$H$2:$H$125,E49)</f>
        <v/>
      </c>
      <c r="P49" s="6">
        <f>COUNTIF('Custodian Statement'!$H$2:$H$125,E49)</f>
        <v/>
      </c>
      <c r="Q49" s="6">
        <f>IF(O49=0,"MISSING IN INTERNAL",IF(P49=0,"MISSING IN CUSTODIAN",IF(AND(D49="Cash",ABS(M49)&gt;Parameters!$B$4),"CASH BREAK",IF(L49&lt;&gt;0,"QUANTITY BREAK",IF(ABS(N49)&gt;Parameters!$B$3,"PRICE BREAK",IF(ABS(M49)&gt;Parameters!$B$4,"MV BREAK","MATCHED"))))))</f>
        <v/>
      </c>
      <c r="R49" s="14">
        <f>IFERROR(INDEX('Break Register'!$B$2:$B$10,MATCH(E49,'Break Register'!$A$2:$A$10,0)),"")</f>
        <v/>
      </c>
      <c r="S49" s="12">
        <f>IF(R49="","",Parameters!$B$2-R49)</f>
        <v/>
      </c>
      <c r="T49" s="6">
        <f>IF(S49="","",IF(S49&lt;=2,"0-2 days",IF(S49&lt;=5,"3-5 days",IF(S49&lt;=10,"6-10 days",IF(S49&lt;=30,"11-30 days","30+ days")))))</f>
        <v/>
      </c>
      <c r="U49" s="6">
        <f>IFERROR(INDEX('Break Register'!$C$2:$C$10,MATCH(E49,'Break Register'!$A$2:$A$10,0)),"")</f>
        <v/>
      </c>
      <c r="V49" s="11">
        <f>ABS(M49)</f>
        <v/>
      </c>
      <c r="W49" s="6">
        <f>IF(Q49="MATCHED",0,1)</f>
        <v/>
      </c>
    </row>
    <row r="50">
      <c r="A50" s="6" t="inlineStr">
        <is>
          <t>EQGL</t>
        </is>
      </c>
      <c r="B50" s="6" t="inlineStr">
        <is>
          <t>EQ0010</t>
        </is>
      </c>
      <c r="C50" s="6" t="inlineStr">
        <is>
          <t>LVMH</t>
        </is>
      </c>
      <c r="D50" s="6" t="inlineStr">
        <is>
          <t>Equity</t>
        </is>
      </c>
      <c r="E50" s="6">
        <f>A50&amp;"|"&amp;B50</f>
        <v/>
      </c>
      <c r="F50" s="12">
        <f>IFERROR(INDEX('Internal Book'!$E$2:$E$125,MATCH(E50,'Internal Book'!$H$2:$H$125,0)),0)</f>
        <v/>
      </c>
      <c r="G50" s="13">
        <f>IFERROR(INDEX('Internal Book'!$F$2:$F$125,MATCH(E50,'Internal Book'!$H$2:$H$125,0)),0)</f>
        <v/>
      </c>
      <c r="H50" s="11">
        <f>IFERROR(INDEX('Internal Book'!$G$2:$G$125,MATCH(E50,'Internal Book'!$H$2:$H$125,0)),0)</f>
        <v/>
      </c>
      <c r="I50" s="12">
        <f>IFERROR(INDEX('Custodian Statement'!$E$2:$E$125,MATCH(E50,'Custodian Statement'!$H$2:$H$125,0)),0)</f>
        <v/>
      </c>
      <c r="J50" s="13">
        <f>IFERROR(INDEX('Custodian Statement'!$F$2:$F$125,MATCH(E50,'Custodian Statement'!$H$2:$H$125,0)),0)</f>
        <v/>
      </c>
      <c r="K50" s="11">
        <f>IFERROR(INDEX('Custodian Statement'!$G$2:$G$125,MATCH(E50,'Custodian Statement'!$H$2:$H$125,0)),0)</f>
        <v/>
      </c>
      <c r="L50" s="12">
        <f>F50-I50</f>
        <v/>
      </c>
      <c r="M50" s="11">
        <f>H50-K50</f>
        <v/>
      </c>
      <c r="N50" s="12">
        <f>IFERROR((G50-J50)/J50*10000,0)</f>
        <v/>
      </c>
      <c r="O50" s="6">
        <f>COUNTIF('Internal Book'!$H$2:$H$125,E50)</f>
        <v/>
      </c>
      <c r="P50" s="6">
        <f>COUNTIF('Custodian Statement'!$H$2:$H$125,E50)</f>
        <v/>
      </c>
      <c r="Q50" s="6">
        <f>IF(O50=0,"MISSING IN INTERNAL",IF(P50=0,"MISSING IN CUSTODIAN",IF(AND(D50="Cash",ABS(M50)&gt;Parameters!$B$4),"CASH BREAK",IF(L50&lt;&gt;0,"QUANTITY BREAK",IF(ABS(N50)&gt;Parameters!$B$3,"PRICE BREAK",IF(ABS(M50)&gt;Parameters!$B$4,"MV BREAK","MATCHED"))))))</f>
        <v/>
      </c>
      <c r="R50" s="14">
        <f>IFERROR(INDEX('Break Register'!$B$2:$B$10,MATCH(E50,'Break Register'!$A$2:$A$10,0)),"")</f>
        <v/>
      </c>
      <c r="S50" s="12">
        <f>IF(R50="","",Parameters!$B$2-R50)</f>
        <v/>
      </c>
      <c r="T50" s="6">
        <f>IF(S50="","",IF(S50&lt;=2,"0-2 days",IF(S50&lt;=5,"3-5 days",IF(S50&lt;=10,"6-10 days",IF(S50&lt;=30,"11-30 days","30+ days")))))</f>
        <v/>
      </c>
      <c r="U50" s="6">
        <f>IFERROR(INDEX('Break Register'!$C$2:$C$10,MATCH(E50,'Break Register'!$A$2:$A$10,0)),"")</f>
        <v/>
      </c>
      <c r="V50" s="11">
        <f>ABS(M50)</f>
        <v/>
      </c>
      <c r="W50" s="6">
        <f>IF(Q50="MATCHED",0,1)</f>
        <v/>
      </c>
    </row>
    <row r="51">
      <c r="A51" s="6" t="inlineStr">
        <is>
          <t>EQGL</t>
        </is>
      </c>
      <c r="B51" s="6" t="inlineStr">
        <is>
          <t>EQ0011</t>
        </is>
      </c>
      <c r="C51" s="6" t="inlineStr">
        <is>
          <t>SAP SE</t>
        </is>
      </c>
      <c r="D51" s="6" t="inlineStr">
        <is>
          <t>Equity</t>
        </is>
      </c>
      <c r="E51" s="6">
        <f>A51&amp;"|"&amp;B51</f>
        <v/>
      </c>
      <c r="F51" s="12">
        <f>IFERROR(INDEX('Internal Book'!$E$2:$E$125,MATCH(E51,'Internal Book'!$H$2:$H$125,0)),0)</f>
        <v/>
      </c>
      <c r="G51" s="13">
        <f>IFERROR(INDEX('Internal Book'!$F$2:$F$125,MATCH(E51,'Internal Book'!$H$2:$H$125,0)),0)</f>
        <v/>
      </c>
      <c r="H51" s="11">
        <f>IFERROR(INDEX('Internal Book'!$G$2:$G$125,MATCH(E51,'Internal Book'!$H$2:$H$125,0)),0)</f>
        <v/>
      </c>
      <c r="I51" s="12">
        <f>IFERROR(INDEX('Custodian Statement'!$E$2:$E$125,MATCH(E51,'Custodian Statement'!$H$2:$H$125,0)),0)</f>
        <v/>
      </c>
      <c r="J51" s="13">
        <f>IFERROR(INDEX('Custodian Statement'!$F$2:$F$125,MATCH(E51,'Custodian Statement'!$H$2:$H$125,0)),0)</f>
        <v/>
      </c>
      <c r="K51" s="11">
        <f>IFERROR(INDEX('Custodian Statement'!$G$2:$G$125,MATCH(E51,'Custodian Statement'!$H$2:$H$125,0)),0)</f>
        <v/>
      </c>
      <c r="L51" s="12">
        <f>F51-I51</f>
        <v/>
      </c>
      <c r="M51" s="11">
        <f>H51-K51</f>
        <v/>
      </c>
      <c r="N51" s="12">
        <f>IFERROR((G51-J51)/J51*10000,0)</f>
        <v/>
      </c>
      <c r="O51" s="6">
        <f>COUNTIF('Internal Book'!$H$2:$H$125,E51)</f>
        <v/>
      </c>
      <c r="P51" s="6">
        <f>COUNTIF('Custodian Statement'!$H$2:$H$125,E51)</f>
        <v/>
      </c>
      <c r="Q51" s="6">
        <f>IF(O51=0,"MISSING IN INTERNAL",IF(P51=0,"MISSING IN CUSTODIAN",IF(AND(D51="Cash",ABS(M51)&gt;Parameters!$B$4),"CASH BREAK",IF(L51&lt;&gt;0,"QUANTITY BREAK",IF(ABS(N51)&gt;Parameters!$B$3,"PRICE BREAK",IF(ABS(M51)&gt;Parameters!$B$4,"MV BREAK","MATCHED"))))))</f>
        <v/>
      </c>
      <c r="R51" s="14">
        <f>IFERROR(INDEX('Break Register'!$B$2:$B$10,MATCH(E51,'Break Register'!$A$2:$A$10,0)),"")</f>
        <v/>
      </c>
      <c r="S51" s="12">
        <f>IF(R51="","",Parameters!$B$2-R51)</f>
        <v/>
      </c>
      <c r="T51" s="6">
        <f>IF(S51="","",IF(S51&lt;=2,"0-2 days",IF(S51&lt;=5,"3-5 days",IF(S51&lt;=10,"6-10 days",IF(S51&lt;=30,"11-30 days","30+ days")))))</f>
        <v/>
      </c>
      <c r="U51" s="6">
        <f>IFERROR(INDEX('Break Register'!$C$2:$C$10,MATCH(E51,'Break Register'!$A$2:$A$10,0)),"")</f>
        <v/>
      </c>
      <c r="V51" s="11">
        <f>ABS(M51)</f>
        <v/>
      </c>
      <c r="W51" s="6">
        <f>IF(Q51="MATCHED",0,1)</f>
        <v/>
      </c>
    </row>
    <row r="52">
      <c r="A52" s="6" t="inlineStr">
        <is>
          <t>EQGL</t>
        </is>
      </c>
      <c r="B52" s="6" t="inlineStr">
        <is>
          <t>EQ0013</t>
        </is>
      </c>
      <c r="C52" s="6" t="inlineStr">
        <is>
          <t>Shell PLC</t>
        </is>
      </c>
      <c r="D52" s="6" t="inlineStr">
        <is>
          <t>Equity</t>
        </is>
      </c>
      <c r="E52" s="6">
        <f>A52&amp;"|"&amp;B52</f>
        <v/>
      </c>
      <c r="F52" s="12">
        <f>IFERROR(INDEX('Internal Book'!$E$2:$E$125,MATCH(E52,'Internal Book'!$H$2:$H$125,0)),0)</f>
        <v/>
      </c>
      <c r="G52" s="13">
        <f>IFERROR(INDEX('Internal Book'!$F$2:$F$125,MATCH(E52,'Internal Book'!$H$2:$H$125,0)),0)</f>
        <v/>
      </c>
      <c r="H52" s="11">
        <f>IFERROR(INDEX('Internal Book'!$G$2:$G$125,MATCH(E52,'Internal Book'!$H$2:$H$125,0)),0)</f>
        <v/>
      </c>
      <c r="I52" s="12">
        <f>IFERROR(INDEX('Custodian Statement'!$E$2:$E$125,MATCH(E52,'Custodian Statement'!$H$2:$H$125,0)),0)</f>
        <v/>
      </c>
      <c r="J52" s="13">
        <f>IFERROR(INDEX('Custodian Statement'!$F$2:$F$125,MATCH(E52,'Custodian Statement'!$H$2:$H$125,0)),0)</f>
        <v/>
      </c>
      <c r="K52" s="11">
        <f>IFERROR(INDEX('Custodian Statement'!$G$2:$G$125,MATCH(E52,'Custodian Statement'!$H$2:$H$125,0)),0)</f>
        <v/>
      </c>
      <c r="L52" s="12">
        <f>F52-I52</f>
        <v/>
      </c>
      <c r="M52" s="11">
        <f>H52-K52</f>
        <v/>
      </c>
      <c r="N52" s="12">
        <f>IFERROR((G52-J52)/J52*10000,0)</f>
        <v/>
      </c>
      <c r="O52" s="6">
        <f>COUNTIF('Internal Book'!$H$2:$H$125,E52)</f>
        <v/>
      </c>
      <c r="P52" s="6">
        <f>COUNTIF('Custodian Statement'!$H$2:$H$125,E52)</f>
        <v/>
      </c>
      <c r="Q52" s="6">
        <f>IF(O52=0,"MISSING IN INTERNAL",IF(P52=0,"MISSING IN CUSTODIAN",IF(AND(D52="Cash",ABS(M52)&gt;Parameters!$B$4),"CASH BREAK",IF(L52&lt;&gt;0,"QUANTITY BREAK",IF(ABS(N52)&gt;Parameters!$B$3,"PRICE BREAK",IF(ABS(M52)&gt;Parameters!$B$4,"MV BREAK","MATCHED"))))))</f>
        <v/>
      </c>
      <c r="R52" s="14">
        <f>IFERROR(INDEX('Break Register'!$B$2:$B$10,MATCH(E52,'Break Register'!$A$2:$A$10,0)),"")</f>
        <v/>
      </c>
      <c r="S52" s="12">
        <f>IF(R52="","",Parameters!$B$2-R52)</f>
        <v/>
      </c>
      <c r="T52" s="6">
        <f>IF(S52="","",IF(S52&lt;=2,"0-2 days",IF(S52&lt;=5,"3-5 days",IF(S52&lt;=10,"6-10 days",IF(S52&lt;=30,"11-30 days","30+ days")))))</f>
        <v/>
      </c>
      <c r="U52" s="6">
        <f>IFERROR(INDEX('Break Register'!$C$2:$C$10,MATCH(E52,'Break Register'!$A$2:$A$10,0)),"")</f>
        <v/>
      </c>
      <c r="V52" s="11">
        <f>ABS(M52)</f>
        <v/>
      </c>
      <c r="W52" s="6">
        <f>IF(Q52="MATCHED",0,1)</f>
        <v/>
      </c>
    </row>
    <row r="53">
      <c r="A53" s="6" t="inlineStr">
        <is>
          <t>EQGL</t>
        </is>
      </c>
      <c r="B53" s="6" t="inlineStr">
        <is>
          <t>EQ0014</t>
        </is>
      </c>
      <c r="C53" s="6" t="inlineStr">
        <is>
          <t>Siemens AG</t>
        </is>
      </c>
      <c r="D53" s="6" t="inlineStr">
        <is>
          <t>Equity</t>
        </is>
      </c>
      <c r="E53" s="6">
        <f>A53&amp;"|"&amp;B53</f>
        <v/>
      </c>
      <c r="F53" s="12">
        <f>IFERROR(INDEX('Internal Book'!$E$2:$E$125,MATCH(E53,'Internal Book'!$H$2:$H$125,0)),0)</f>
        <v/>
      </c>
      <c r="G53" s="13">
        <f>IFERROR(INDEX('Internal Book'!$F$2:$F$125,MATCH(E53,'Internal Book'!$H$2:$H$125,0)),0)</f>
        <v/>
      </c>
      <c r="H53" s="11">
        <f>IFERROR(INDEX('Internal Book'!$G$2:$G$125,MATCH(E53,'Internal Book'!$H$2:$H$125,0)),0)</f>
        <v/>
      </c>
      <c r="I53" s="12">
        <f>IFERROR(INDEX('Custodian Statement'!$E$2:$E$125,MATCH(E53,'Custodian Statement'!$H$2:$H$125,0)),0)</f>
        <v/>
      </c>
      <c r="J53" s="13">
        <f>IFERROR(INDEX('Custodian Statement'!$F$2:$F$125,MATCH(E53,'Custodian Statement'!$H$2:$H$125,0)),0)</f>
        <v/>
      </c>
      <c r="K53" s="11">
        <f>IFERROR(INDEX('Custodian Statement'!$G$2:$G$125,MATCH(E53,'Custodian Statement'!$H$2:$H$125,0)),0)</f>
        <v/>
      </c>
      <c r="L53" s="12">
        <f>F53-I53</f>
        <v/>
      </c>
      <c r="M53" s="11">
        <f>H53-K53</f>
        <v/>
      </c>
      <c r="N53" s="12">
        <f>IFERROR((G53-J53)/J53*10000,0)</f>
        <v/>
      </c>
      <c r="O53" s="6">
        <f>COUNTIF('Internal Book'!$H$2:$H$125,E53)</f>
        <v/>
      </c>
      <c r="P53" s="6">
        <f>COUNTIF('Custodian Statement'!$H$2:$H$125,E53)</f>
        <v/>
      </c>
      <c r="Q53" s="6">
        <f>IF(O53=0,"MISSING IN INTERNAL",IF(P53=0,"MISSING IN CUSTODIAN",IF(AND(D53="Cash",ABS(M53)&gt;Parameters!$B$4),"CASH BREAK",IF(L53&lt;&gt;0,"QUANTITY BREAK",IF(ABS(N53)&gt;Parameters!$B$3,"PRICE BREAK",IF(ABS(M53)&gt;Parameters!$B$4,"MV BREAK","MATCHED"))))))</f>
        <v/>
      </c>
      <c r="R53" s="14">
        <f>IFERROR(INDEX('Break Register'!$B$2:$B$10,MATCH(E53,'Break Register'!$A$2:$A$10,0)),"")</f>
        <v/>
      </c>
      <c r="S53" s="12">
        <f>IF(R53="","",Parameters!$B$2-R53)</f>
        <v/>
      </c>
      <c r="T53" s="6">
        <f>IF(S53="","",IF(S53&lt;=2,"0-2 days",IF(S53&lt;=5,"3-5 days",IF(S53&lt;=10,"6-10 days",IF(S53&lt;=30,"11-30 days","30+ days")))))</f>
        <v/>
      </c>
      <c r="U53" s="6">
        <f>IFERROR(INDEX('Break Register'!$C$2:$C$10,MATCH(E53,'Break Register'!$A$2:$A$10,0)),"")</f>
        <v/>
      </c>
      <c r="V53" s="11">
        <f>ABS(M53)</f>
        <v/>
      </c>
      <c r="W53" s="6">
        <f>IF(Q53="MATCHED",0,1)</f>
        <v/>
      </c>
    </row>
    <row r="54">
      <c r="A54" s="6" t="inlineStr">
        <is>
          <t>EQGL</t>
        </is>
      </c>
      <c r="B54" s="6" t="inlineStr">
        <is>
          <t>EQ0016</t>
        </is>
      </c>
      <c r="C54" s="6" t="inlineStr">
        <is>
          <t>TSMC ADR</t>
        </is>
      </c>
      <c r="D54" s="6" t="inlineStr">
        <is>
          <t>Equity</t>
        </is>
      </c>
      <c r="E54" s="6">
        <f>A54&amp;"|"&amp;B54</f>
        <v/>
      </c>
      <c r="F54" s="12">
        <f>IFERROR(INDEX('Internal Book'!$E$2:$E$125,MATCH(E54,'Internal Book'!$H$2:$H$125,0)),0)</f>
        <v/>
      </c>
      <c r="G54" s="13">
        <f>IFERROR(INDEX('Internal Book'!$F$2:$F$125,MATCH(E54,'Internal Book'!$H$2:$H$125,0)),0)</f>
        <v/>
      </c>
      <c r="H54" s="11">
        <f>IFERROR(INDEX('Internal Book'!$G$2:$G$125,MATCH(E54,'Internal Book'!$H$2:$H$125,0)),0)</f>
        <v/>
      </c>
      <c r="I54" s="12">
        <f>IFERROR(INDEX('Custodian Statement'!$E$2:$E$125,MATCH(E54,'Custodian Statement'!$H$2:$H$125,0)),0)</f>
        <v/>
      </c>
      <c r="J54" s="13">
        <f>IFERROR(INDEX('Custodian Statement'!$F$2:$F$125,MATCH(E54,'Custodian Statement'!$H$2:$H$125,0)),0)</f>
        <v/>
      </c>
      <c r="K54" s="11">
        <f>IFERROR(INDEX('Custodian Statement'!$G$2:$G$125,MATCH(E54,'Custodian Statement'!$H$2:$H$125,0)),0)</f>
        <v/>
      </c>
      <c r="L54" s="12">
        <f>F54-I54</f>
        <v/>
      </c>
      <c r="M54" s="11">
        <f>H54-K54</f>
        <v/>
      </c>
      <c r="N54" s="12">
        <f>IFERROR((G54-J54)/J54*10000,0)</f>
        <v/>
      </c>
      <c r="O54" s="6">
        <f>COUNTIF('Internal Book'!$H$2:$H$125,E54)</f>
        <v/>
      </c>
      <c r="P54" s="6">
        <f>COUNTIF('Custodian Statement'!$H$2:$H$125,E54)</f>
        <v/>
      </c>
      <c r="Q54" s="6">
        <f>IF(O54=0,"MISSING IN INTERNAL",IF(P54=0,"MISSING IN CUSTODIAN",IF(AND(D54="Cash",ABS(M54)&gt;Parameters!$B$4),"CASH BREAK",IF(L54&lt;&gt;0,"QUANTITY BREAK",IF(ABS(N54)&gt;Parameters!$B$3,"PRICE BREAK",IF(ABS(M54)&gt;Parameters!$B$4,"MV BREAK","MATCHED"))))))</f>
        <v/>
      </c>
      <c r="R54" s="14">
        <f>IFERROR(INDEX('Break Register'!$B$2:$B$10,MATCH(E54,'Break Register'!$A$2:$A$10,0)),"")</f>
        <v/>
      </c>
      <c r="S54" s="12">
        <f>IF(R54="","",Parameters!$B$2-R54)</f>
        <v/>
      </c>
      <c r="T54" s="6">
        <f>IF(S54="","",IF(S54&lt;=2,"0-2 days",IF(S54&lt;=5,"3-5 days",IF(S54&lt;=10,"6-10 days",IF(S54&lt;=30,"11-30 days","30+ days")))))</f>
        <v/>
      </c>
      <c r="U54" s="6">
        <f>IFERROR(INDEX('Break Register'!$C$2:$C$10,MATCH(E54,'Break Register'!$A$2:$A$10,0)),"")</f>
        <v/>
      </c>
      <c r="V54" s="11">
        <f>ABS(M54)</f>
        <v/>
      </c>
      <c r="W54" s="6">
        <f>IF(Q54="MATCHED",0,1)</f>
        <v/>
      </c>
    </row>
    <row r="55">
      <c r="A55" s="6" t="inlineStr">
        <is>
          <t>EQGL</t>
        </is>
      </c>
      <c r="B55" s="6" t="inlineStr">
        <is>
          <t>EQ0017</t>
        </is>
      </c>
      <c r="C55" s="6" t="inlineStr">
        <is>
          <t>Alphabet Inc</t>
        </is>
      </c>
      <c r="D55" s="6" t="inlineStr">
        <is>
          <t>Equity</t>
        </is>
      </c>
      <c r="E55" s="6">
        <f>A55&amp;"|"&amp;B55</f>
        <v/>
      </c>
      <c r="F55" s="12">
        <f>IFERROR(INDEX('Internal Book'!$E$2:$E$125,MATCH(E55,'Internal Book'!$H$2:$H$125,0)),0)</f>
        <v/>
      </c>
      <c r="G55" s="13">
        <f>IFERROR(INDEX('Internal Book'!$F$2:$F$125,MATCH(E55,'Internal Book'!$H$2:$H$125,0)),0)</f>
        <v/>
      </c>
      <c r="H55" s="11">
        <f>IFERROR(INDEX('Internal Book'!$G$2:$G$125,MATCH(E55,'Internal Book'!$H$2:$H$125,0)),0)</f>
        <v/>
      </c>
      <c r="I55" s="12">
        <f>IFERROR(INDEX('Custodian Statement'!$E$2:$E$125,MATCH(E55,'Custodian Statement'!$H$2:$H$125,0)),0)</f>
        <v/>
      </c>
      <c r="J55" s="13">
        <f>IFERROR(INDEX('Custodian Statement'!$F$2:$F$125,MATCH(E55,'Custodian Statement'!$H$2:$H$125,0)),0)</f>
        <v/>
      </c>
      <c r="K55" s="11">
        <f>IFERROR(INDEX('Custodian Statement'!$G$2:$G$125,MATCH(E55,'Custodian Statement'!$H$2:$H$125,0)),0)</f>
        <v/>
      </c>
      <c r="L55" s="12">
        <f>F55-I55</f>
        <v/>
      </c>
      <c r="M55" s="11">
        <f>H55-K55</f>
        <v/>
      </c>
      <c r="N55" s="12">
        <f>IFERROR((G55-J55)/J55*10000,0)</f>
        <v/>
      </c>
      <c r="O55" s="6">
        <f>COUNTIF('Internal Book'!$H$2:$H$125,E55)</f>
        <v/>
      </c>
      <c r="P55" s="6">
        <f>COUNTIF('Custodian Statement'!$H$2:$H$125,E55)</f>
        <v/>
      </c>
      <c r="Q55" s="6">
        <f>IF(O55=0,"MISSING IN INTERNAL",IF(P55=0,"MISSING IN CUSTODIAN",IF(AND(D55="Cash",ABS(M55)&gt;Parameters!$B$4),"CASH BREAK",IF(L55&lt;&gt;0,"QUANTITY BREAK",IF(ABS(N55)&gt;Parameters!$B$3,"PRICE BREAK",IF(ABS(M55)&gt;Parameters!$B$4,"MV BREAK","MATCHED"))))))</f>
        <v/>
      </c>
      <c r="R55" s="14">
        <f>IFERROR(INDEX('Break Register'!$B$2:$B$10,MATCH(E55,'Break Register'!$A$2:$A$10,0)),"")</f>
        <v/>
      </c>
      <c r="S55" s="12">
        <f>IF(R55="","",Parameters!$B$2-R55)</f>
        <v/>
      </c>
      <c r="T55" s="6">
        <f>IF(S55="","",IF(S55&lt;=2,"0-2 days",IF(S55&lt;=5,"3-5 days",IF(S55&lt;=10,"6-10 days",IF(S55&lt;=30,"11-30 days","30+ days")))))</f>
        <v/>
      </c>
      <c r="U55" s="6">
        <f>IFERROR(INDEX('Break Register'!$C$2:$C$10,MATCH(E55,'Break Register'!$A$2:$A$10,0)),"")</f>
        <v/>
      </c>
      <c r="V55" s="11">
        <f>ABS(M55)</f>
        <v/>
      </c>
      <c r="W55" s="6">
        <f>IF(Q55="MATCHED",0,1)</f>
        <v/>
      </c>
    </row>
    <row r="56">
      <c r="A56" s="6" t="inlineStr">
        <is>
          <t>EQGL</t>
        </is>
      </c>
      <c r="B56" s="6" t="inlineStr">
        <is>
          <t>EQ0018</t>
        </is>
      </c>
      <c r="C56" s="6" t="inlineStr">
        <is>
          <t>Amazon.com</t>
        </is>
      </c>
      <c r="D56" s="6" t="inlineStr">
        <is>
          <t>Equity</t>
        </is>
      </c>
      <c r="E56" s="6">
        <f>A56&amp;"|"&amp;B56</f>
        <v/>
      </c>
      <c r="F56" s="12">
        <f>IFERROR(INDEX('Internal Book'!$E$2:$E$125,MATCH(E56,'Internal Book'!$H$2:$H$125,0)),0)</f>
        <v/>
      </c>
      <c r="G56" s="13">
        <f>IFERROR(INDEX('Internal Book'!$F$2:$F$125,MATCH(E56,'Internal Book'!$H$2:$H$125,0)),0)</f>
        <v/>
      </c>
      <c r="H56" s="11">
        <f>IFERROR(INDEX('Internal Book'!$G$2:$G$125,MATCH(E56,'Internal Book'!$H$2:$H$125,0)),0)</f>
        <v/>
      </c>
      <c r="I56" s="12">
        <f>IFERROR(INDEX('Custodian Statement'!$E$2:$E$125,MATCH(E56,'Custodian Statement'!$H$2:$H$125,0)),0)</f>
        <v/>
      </c>
      <c r="J56" s="13">
        <f>IFERROR(INDEX('Custodian Statement'!$F$2:$F$125,MATCH(E56,'Custodian Statement'!$H$2:$H$125,0)),0)</f>
        <v/>
      </c>
      <c r="K56" s="11">
        <f>IFERROR(INDEX('Custodian Statement'!$G$2:$G$125,MATCH(E56,'Custodian Statement'!$H$2:$H$125,0)),0)</f>
        <v/>
      </c>
      <c r="L56" s="12">
        <f>F56-I56</f>
        <v/>
      </c>
      <c r="M56" s="11">
        <f>H56-K56</f>
        <v/>
      </c>
      <c r="N56" s="12">
        <f>IFERROR((G56-J56)/J56*10000,0)</f>
        <v/>
      </c>
      <c r="O56" s="6">
        <f>COUNTIF('Internal Book'!$H$2:$H$125,E56)</f>
        <v/>
      </c>
      <c r="P56" s="6">
        <f>COUNTIF('Custodian Statement'!$H$2:$H$125,E56)</f>
        <v/>
      </c>
      <c r="Q56" s="6">
        <f>IF(O56=0,"MISSING IN INTERNAL",IF(P56=0,"MISSING IN CUSTODIAN",IF(AND(D56="Cash",ABS(M56)&gt;Parameters!$B$4),"CASH BREAK",IF(L56&lt;&gt;0,"QUANTITY BREAK",IF(ABS(N56)&gt;Parameters!$B$3,"PRICE BREAK",IF(ABS(M56)&gt;Parameters!$B$4,"MV BREAK","MATCHED"))))))</f>
        <v/>
      </c>
      <c r="R56" s="14">
        <f>IFERROR(INDEX('Break Register'!$B$2:$B$10,MATCH(E56,'Break Register'!$A$2:$A$10,0)),"")</f>
        <v/>
      </c>
      <c r="S56" s="12">
        <f>IF(R56="","",Parameters!$B$2-R56)</f>
        <v/>
      </c>
      <c r="T56" s="6">
        <f>IF(S56="","",IF(S56&lt;=2,"0-2 days",IF(S56&lt;=5,"3-5 days",IF(S56&lt;=10,"6-10 days",IF(S56&lt;=30,"11-30 days","30+ days")))))</f>
        <v/>
      </c>
      <c r="U56" s="6">
        <f>IFERROR(INDEX('Break Register'!$C$2:$C$10,MATCH(E56,'Break Register'!$A$2:$A$10,0)),"")</f>
        <v/>
      </c>
      <c r="V56" s="11">
        <f>ABS(M56)</f>
        <v/>
      </c>
      <c r="W56" s="6">
        <f>IF(Q56="MATCHED",0,1)</f>
        <v/>
      </c>
    </row>
    <row r="57">
      <c r="A57" s="6" t="inlineStr">
        <is>
          <t>EQGL</t>
        </is>
      </c>
      <c r="B57" s="6" t="inlineStr">
        <is>
          <t>EQ0019</t>
        </is>
      </c>
      <c r="C57" s="6" t="inlineStr">
        <is>
          <t>JPMorgan Chase</t>
        </is>
      </c>
      <c r="D57" s="6" t="inlineStr">
        <is>
          <t>Equity</t>
        </is>
      </c>
      <c r="E57" s="6">
        <f>A57&amp;"|"&amp;B57</f>
        <v/>
      </c>
      <c r="F57" s="12">
        <f>IFERROR(INDEX('Internal Book'!$E$2:$E$125,MATCH(E57,'Internal Book'!$H$2:$H$125,0)),0)</f>
        <v/>
      </c>
      <c r="G57" s="13">
        <f>IFERROR(INDEX('Internal Book'!$F$2:$F$125,MATCH(E57,'Internal Book'!$H$2:$H$125,0)),0)</f>
        <v/>
      </c>
      <c r="H57" s="11">
        <f>IFERROR(INDEX('Internal Book'!$G$2:$G$125,MATCH(E57,'Internal Book'!$H$2:$H$125,0)),0)</f>
        <v/>
      </c>
      <c r="I57" s="12">
        <f>IFERROR(INDEX('Custodian Statement'!$E$2:$E$125,MATCH(E57,'Custodian Statement'!$H$2:$H$125,0)),0)</f>
        <v/>
      </c>
      <c r="J57" s="13">
        <f>IFERROR(INDEX('Custodian Statement'!$F$2:$F$125,MATCH(E57,'Custodian Statement'!$H$2:$H$125,0)),0)</f>
        <v/>
      </c>
      <c r="K57" s="11">
        <f>IFERROR(INDEX('Custodian Statement'!$G$2:$G$125,MATCH(E57,'Custodian Statement'!$H$2:$H$125,0)),0)</f>
        <v/>
      </c>
      <c r="L57" s="12">
        <f>F57-I57</f>
        <v/>
      </c>
      <c r="M57" s="11">
        <f>H57-K57</f>
        <v/>
      </c>
      <c r="N57" s="12">
        <f>IFERROR((G57-J57)/J57*10000,0)</f>
        <v/>
      </c>
      <c r="O57" s="6">
        <f>COUNTIF('Internal Book'!$H$2:$H$125,E57)</f>
        <v/>
      </c>
      <c r="P57" s="6">
        <f>COUNTIF('Custodian Statement'!$H$2:$H$125,E57)</f>
        <v/>
      </c>
      <c r="Q57" s="6">
        <f>IF(O57=0,"MISSING IN INTERNAL",IF(P57=0,"MISSING IN CUSTODIAN",IF(AND(D57="Cash",ABS(M57)&gt;Parameters!$B$4),"CASH BREAK",IF(L57&lt;&gt;0,"QUANTITY BREAK",IF(ABS(N57)&gt;Parameters!$B$3,"PRICE BREAK",IF(ABS(M57)&gt;Parameters!$B$4,"MV BREAK","MATCHED"))))))</f>
        <v/>
      </c>
      <c r="R57" s="14">
        <f>IFERROR(INDEX('Break Register'!$B$2:$B$10,MATCH(E57,'Break Register'!$A$2:$A$10,0)),"")</f>
        <v/>
      </c>
      <c r="S57" s="12">
        <f>IF(R57="","",Parameters!$B$2-R57)</f>
        <v/>
      </c>
      <c r="T57" s="6">
        <f>IF(S57="","",IF(S57&lt;=2,"0-2 days",IF(S57&lt;=5,"3-5 days",IF(S57&lt;=10,"6-10 days",IF(S57&lt;=30,"11-30 days","30+ days")))))</f>
        <v/>
      </c>
      <c r="U57" s="6">
        <f>IFERROR(INDEX('Break Register'!$C$2:$C$10,MATCH(E57,'Break Register'!$A$2:$A$10,0)),"")</f>
        <v/>
      </c>
      <c r="V57" s="11">
        <f>ABS(M57)</f>
        <v/>
      </c>
      <c r="W57" s="6">
        <f>IF(Q57="MATCHED",0,1)</f>
        <v/>
      </c>
    </row>
    <row r="58">
      <c r="A58" s="6" t="inlineStr">
        <is>
          <t>EQGL</t>
        </is>
      </c>
      <c r="B58" s="6" t="inlineStr">
        <is>
          <t>EQ0021</t>
        </is>
      </c>
      <c r="C58" s="6" t="inlineStr">
        <is>
          <t>Global Equity Holding 01</t>
        </is>
      </c>
      <c r="D58" s="6" t="inlineStr">
        <is>
          <t>Equity</t>
        </is>
      </c>
      <c r="E58" s="6">
        <f>A58&amp;"|"&amp;B58</f>
        <v/>
      </c>
      <c r="F58" s="12">
        <f>IFERROR(INDEX('Internal Book'!$E$2:$E$125,MATCH(E58,'Internal Book'!$H$2:$H$125,0)),0)</f>
        <v/>
      </c>
      <c r="G58" s="13">
        <f>IFERROR(INDEX('Internal Book'!$F$2:$F$125,MATCH(E58,'Internal Book'!$H$2:$H$125,0)),0)</f>
        <v/>
      </c>
      <c r="H58" s="11">
        <f>IFERROR(INDEX('Internal Book'!$G$2:$G$125,MATCH(E58,'Internal Book'!$H$2:$H$125,0)),0)</f>
        <v/>
      </c>
      <c r="I58" s="12">
        <f>IFERROR(INDEX('Custodian Statement'!$E$2:$E$125,MATCH(E58,'Custodian Statement'!$H$2:$H$125,0)),0)</f>
        <v/>
      </c>
      <c r="J58" s="13">
        <f>IFERROR(INDEX('Custodian Statement'!$F$2:$F$125,MATCH(E58,'Custodian Statement'!$H$2:$H$125,0)),0)</f>
        <v/>
      </c>
      <c r="K58" s="11">
        <f>IFERROR(INDEX('Custodian Statement'!$G$2:$G$125,MATCH(E58,'Custodian Statement'!$H$2:$H$125,0)),0)</f>
        <v/>
      </c>
      <c r="L58" s="12">
        <f>F58-I58</f>
        <v/>
      </c>
      <c r="M58" s="11">
        <f>H58-K58</f>
        <v/>
      </c>
      <c r="N58" s="12">
        <f>IFERROR((G58-J58)/J58*10000,0)</f>
        <v/>
      </c>
      <c r="O58" s="6">
        <f>COUNTIF('Internal Book'!$H$2:$H$125,E58)</f>
        <v/>
      </c>
      <c r="P58" s="6">
        <f>COUNTIF('Custodian Statement'!$H$2:$H$125,E58)</f>
        <v/>
      </c>
      <c r="Q58" s="6">
        <f>IF(O58=0,"MISSING IN INTERNAL",IF(P58=0,"MISSING IN CUSTODIAN",IF(AND(D58="Cash",ABS(M58)&gt;Parameters!$B$4),"CASH BREAK",IF(L58&lt;&gt;0,"QUANTITY BREAK",IF(ABS(N58)&gt;Parameters!$B$3,"PRICE BREAK",IF(ABS(M58)&gt;Parameters!$B$4,"MV BREAK","MATCHED"))))))</f>
        <v/>
      </c>
      <c r="R58" s="14">
        <f>IFERROR(INDEX('Break Register'!$B$2:$B$10,MATCH(E58,'Break Register'!$A$2:$A$10,0)),"")</f>
        <v/>
      </c>
      <c r="S58" s="12">
        <f>IF(R58="","",Parameters!$B$2-R58)</f>
        <v/>
      </c>
      <c r="T58" s="6">
        <f>IF(S58="","",IF(S58&lt;=2,"0-2 days",IF(S58&lt;=5,"3-5 days",IF(S58&lt;=10,"6-10 days",IF(S58&lt;=30,"11-30 days","30+ days")))))</f>
        <v/>
      </c>
      <c r="U58" s="6">
        <f>IFERROR(INDEX('Break Register'!$C$2:$C$10,MATCH(E58,'Break Register'!$A$2:$A$10,0)),"")</f>
        <v/>
      </c>
      <c r="V58" s="11">
        <f>ABS(M58)</f>
        <v/>
      </c>
      <c r="W58" s="6">
        <f>IF(Q58="MATCHED",0,1)</f>
        <v/>
      </c>
    </row>
    <row r="59">
      <c r="A59" s="6" t="inlineStr">
        <is>
          <t>EQGL</t>
        </is>
      </c>
      <c r="B59" s="6" t="inlineStr">
        <is>
          <t>EQ0022</t>
        </is>
      </c>
      <c r="C59" s="6" t="inlineStr">
        <is>
          <t>Global Equity Holding 02</t>
        </is>
      </c>
      <c r="D59" s="6" t="inlineStr">
        <is>
          <t>Equity</t>
        </is>
      </c>
      <c r="E59" s="6">
        <f>A59&amp;"|"&amp;B59</f>
        <v/>
      </c>
      <c r="F59" s="12">
        <f>IFERROR(INDEX('Internal Book'!$E$2:$E$125,MATCH(E59,'Internal Book'!$H$2:$H$125,0)),0)</f>
        <v/>
      </c>
      <c r="G59" s="13">
        <f>IFERROR(INDEX('Internal Book'!$F$2:$F$125,MATCH(E59,'Internal Book'!$H$2:$H$125,0)),0)</f>
        <v/>
      </c>
      <c r="H59" s="11">
        <f>IFERROR(INDEX('Internal Book'!$G$2:$G$125,MATCH(E59,'Internal Book'!$H$2:$H$125,0)),0)</f>
        <v/>
      </c>
      <c r="I59" s="12">
        <f>IFERROR(INDEX('Custodian Statement'!$E$2:$E$125,MATCH(E59,'Custodian Statement'!$H$2:$H$125,0)),0)</f>
        <v/>
      </c>
      <c r="J59" s="13">
        <f>IFERROR(INDEX('Custodian Statement'!$F$2:$F$125,MATCH(E59,'Custodian Statement'!$H$2:$H$125,0)),0)</f>
        <v/>
      </c>
      <c r="K59" s="11">
        <f>IFERROR(INDEX('Custodian Statement'!$G$2:$G$125,MATCH(E59,'Custodian Statement'!$H$2:$H$125,0)),0)</f>
        <v/>
      </c>
      <c r="L59" s="12">
        <f>F59-I59</f>
        <v/>
      </c>
      <c r="M59" s="11">
        <f>H59-K59</f>
        <v/>
      </c>
      <c r="N59" s="12">
        <f>IFERROR((G59-J59)/J59*10000,0)</f>
        <v/>
      </c>
      <c r="O59" s="6">
        <f>COUNTIF('Internal Book'!$H$2:$H$125,E59)</f>
        <v/>
      </c>
      <c r="P59" s="6">
        <f>COUNTIF('Custodian Statement'!$H$2:$H$125,E59)</f>
        <v/>
      </c>
      <c r="Q59" s="6">
        <f>IF(O59=0,"MISSING IN INTERNAL",IF(P59=0,"MISSING IN CUSTODIAN",IF(AND(D59="Cash",ABS(M59)&gt;Parameters!$B$4),"CASH BREAK",IF(L59&lt;&gt;0,"QUANTITY BREAK",IF(ABS(N59)&gt;Parameters!$B$3,"PRICE BREAK",IF(ABS(M59)&gt;Parameters!$B$4,"MV BREAK","MATCHED"))))))</f>
        <v/>
      </c>
      <c r="R59" s="14">
        <f>IFERROR(INDEX('Break Register'!$B$2:$B$10,MATCH(E59,'Break Register'!$A$2:$A$10,0)),"")</f>
        <v/>
      </c>
      <c r="S59" s="12">
        <f>IF(R59="","",Parameters!$B$2-R59)</f>
        <v/>
      </c>
      <c r="T59" s="6">
        <f>IF(S59="","",IF(S59&lt;=2,"0-2 days",IF(S59&lt;=5,"3-5 days",IF(S59&lt;=10,"6-10 days",IF(S59&lt;=30,"11-30 days","30+ days")))))</f>
        <v/>
      </c>
      <c r="U59" s="6">
        <f>IFERROR(INDEX('Break Register'!$C$2:$C$10,MATCH(E59,'Break Register'!$A$2:$A$10,0)),"")</f>
        <v/>
      </c>
      <c r="V59" s="11">
        <f>ABS(M59)</f>
        <v/>
      </c>
      <c r="W59" s="6">
        <f>IF(Q59="MATCHED",0,1)</f>
        <v/>
      </c>
    </row>
    <row r="60">
      <c r="A60" s="6" t="inlineStr">
        <is>
          <t>EQGL</t>
        </is>
      </c>
      <c r="B60" s="6" t="inlineStr">
        <is>
          <t>EQ0023</t>
        </is>
      </c>
      <c r="C60" s="6" t="inlineStr">
        <is>
          <t>Global Equity Holding 03</t>
        </is>
      </c>
      <c r="D60" s="6" t="inlineStr">
        <is>
          <t>Equity</t>
        </is>
      </c>
      <c r="E60" s="6">
        <f>A60&amp;"|"&amp;B60</f>
        <v/>
      </c>
      <c r="F60" s="12">
        <f>IFERROR(INDEX('Internal Book'!$E$2:$E$125,MATCH(E60,'Internal Book'!$H$2:$H$125,0)),0)</f>
        <v/>
      </c>
      <c r="G60" s="13">
        <f>IFERROR(INDEX('Internal Book'!$F$2:$F$125,MATCH(E60,'Internal Book'!$H$2:$H$125,0)),0)</f>
        <v/>
      </c>
      <c r="H60" s="11">
        <f>IFERROR(INDEX('Internal Book'!$G$2:$G$125,MATCH(E60,'Internal Book'!$H$2:$H$125,0)),0)</f>
        <v/>
      </c>
      <c r="I60" s="12">
        <f>IFERROR(INDEX('Custodian Statement'!$E$2:$E$125,MATCH(E60,'Custodian Statement'!$H$2:$H$125,0)),0)</f>
        <v/>
      </c>
      <c r="J60" s="13">
        <f>IFERROR(INDEX('Custodian Statement'!$F$2:$F$125,MATCH(E60,'Custodian Statement'!$H$2:$H$125,0)),0)</f>
        <v/>
      </c>
      <c r="K60" s="11">
        <f>IFERROR(INDEX('Custodian Statement'!$G$2:$G$125,MATCH(E60,'Custodian Statement'!$H$2:$H$125,0)),0)</f>
        <v/>
      </c>
      <c r="L60" s="12">
        <f>F60-I60</f>
        <v/>
      </c>
      <c r="M60" s="11">
        <f>H60-K60</f>
        <v/>
      </c>
      <c r="N60" s="12">
        <f>IFERROR((G60-J60)/J60*10000,0)</f>
        <v/>
      </c>
      <c r="O60" s="6">
        <f>COUNTIF('Internal Book'!$H$2:$H$125,E60)</f>
        <v/>
      </c>
      <c r="P60" s="6">
        <f>COUNTIF('Custodian Statement'!$H$2:$H$125,E60)</f>
        <v/>
      </c>
      <c r="Q60" s="6">
        <f>IF(O60=0,"MISSING IN INTERNAL",IF(P60=0,"MISSING IN CUSTODIAN",IF(AND(D60="Cash",ABS(M60)&gt;Parameters!$B$4),"CASH BREAK",IF(L60&lt;&gt;0,"QUANTITY BREAK",IF(ABS(N60)&gt;Parameters!$B$3,"PRICE BREAK",IF(ABS(M60)&gt;Parameters!$B$4,"MV BREAK","MATCHED"))))))</f>
        <v/>
      </c>
      <c r="R60" s="14">
        <f>IFERROR(INDEX('Break Register'!$B$2:$B$10,MATCH(E60,'Break Register'!$A$2:$A$10,0)),"")</f>
        <v/>
      </c>
      <c r="S60" s="12">
        <f>IF(R60="","",Parameters!$B$2-R60)</f>
        <v/>
      </c>
      <c r="T60" s="6">
        <f>IF(S60="","",IF(S60&lt;=2,"0-2 days",IF(S60&lt;=5,"3-5 days",IF(S60&lt;=10,"6-10 days",IF(S60&lt;=30,"11-30 days","30+ days")))))</f>
        <v/>
      </c>
      <c r="U60" s="6">
        <f>IFERROR(INDEX('Break Register'!$C$2:$C$10,MATCH(E60,'Break Register'!$A$2:$A$10,0)),"")</f>
        <v/>
      </c>
      <c r="V60" s="11">
        <f>ABS(M60)</f>
        <v/>
      </c>
      <c r="W60" s="6">
        <f>IF(Q60="MATCHED",0,1)</f>
        <v/>
      </c>
    </row>
    <row r="61">
      <c r="A61" s="6" t="inlineStr">
        <is>
          <t>EQGL</t>
        </is>
      </c>
      <c r="B61" s="6" t="inlineStr">
        <is>
          <t>EQ0025</t>
        </is>
      </c>
      <c r="C61" s="6" t="inlineStr">
        <is>
          <t>Global Equity Holding 05</t>
        </is>
      </c>
      <c r="D61" s="6" t="inlineStr">
        <is>
          <t>Equity</t>
        </is>
      </c>
      <c r="E61" s="6">
        <f>A61&amp;"|"&amp;B61</f>
        <v/>
      </c>
      <c r="F61" s="12">
        <f>IFERROR(INDEX('Internal Book'!$E$2:$E$125,MATCH(E61,'Internal Book'!$H$2:$H$125,0)),0)</f>
        <v/>
      </c>
      <c r="G61" s="13">
        <f>IFERROR(INDEX('Internal Book'!$F$2:$F$125,MATCH(E61,'Internal Book'!$H$2:$H$125,0)),0)</f>
        <v/>
      </c>
      <c r="H61" s="11">
        <f>IFERROR(INDEX('Internal Book'!$G$2:$G$125,MATCH(E61,'Internal Book'!$H$2:$H$125,0)),0)</f>
        <v/>
      </c>
      <c r="I61" s="12">
        <f>IFERROR(INDEX('Custodian Statement'!$E$2:$E$125,MATCH(E61,'Custodian Statement'!$H$2:$H$125,0)),0)</f>
        <v/>
      </c>
      <c r="J61" s="13">
        <f>IFERROR(INDEX('Custodian Statement'!$F$2:$F$125,MATCH(E61,'Custodian Statement'!$H$2:$H$125,0)),0)</f>
        <v/>
      </c>
      <c r="K61" s="11">
        <f>IFERROR(INDEX('Custodian Statement'!$G$2:$G$125,MATCH(E61,'Custodian Statement'!$H$2:$H$125,0)),0)</f>
        <v/>
      </c>
      <c r="L61" s="12">
        <f>F61-I61</f>
        <v/>
      </c>
      <c r="M61" s="11">
        <f>H61-K61</f>
        <v/>
      </c>
      <c r="N61" s="12">
        <f>IFERROR((G61-J61)/J61*10000,0)</f>
        <v/>
      </c>
      <c r="O61" s="6">
        <f>COUNTIF('Internal Book'!$H$2:$H$125,E61)</f>
        <v/>
      </c>
      <c r="P61" s="6">
        <f>COUNTIF('Custodian Statement'!$H$2:$H$125,E61)</f>
        <v/>
      </c>
      <c r="Q61" s="6">
        <f>IF(O61=0,"MISSING IN INTERNAL",IF(P61=0,"MISSING IN CUSTODIAN",IF(AND(D61="Cash",ABS(M61)&gt;Parameters!$B$4),"CASH BREAK",IF(L61&lt;&gt;0,"QUANTITY BREAK",IF(ABS(N61)&gt;Parameters!$B$3,"PRICE BREAK",IF(ABS(M61)&gt;Parameters!$B$4,"MV BREAK","MATCHED"))))))</f>
        <v/>
      </c>
      <c r="R61" s="14">
        <f>IFERROR(INDEX('Break Register'!$B$2:$B$10,MATCH(E61,'Break Register'!$A$2:$A$10,0)),"")</f>
        <v/>
      </c>
      <c r="S61" s="12">
        <f>IF(R61="","",Parameters!$B$2-R61)</f>
        <v/>
      </c>
      <c r="T61" s="6">
        <f>IF(S61="","",IF(S61&lt;=2,"0-2 days",IF(S61&lt;=5,"3-5 days",IF(S61&lt;=10,"6-10 days",IF(S61&lt;=30,"11-30 days","30+ days")))))</f>
        <v/>
      </c>
      <c r="U61" s="6">
        <f>IFERROR(INDEX('Break Register'!$C$2:$C$10,MATCH(E61,'Break Register'!$A$2:$A$10,0)),"")</f>
        <v/>
      </c>
      <c r="V61" s="11">
        <f>ABS(M61)</f>
        <v/>
      </c>
      <c r="W61" s="6">
        <f>IF(Q61="MATCHED",0,1)</f>
        <v/>
      </c>
    </row>
    <row r="62">
      <c r="A62" s="6" t="inlineStr">
        <is>
          <t>EQGL</t>
        </is>
      </c>
      <c r="B62" s="6" t="inlineStr">
        <is>
          <t>EQ0028</t>
        </is>
      </c>
      <c r="C62" s="6" t="inlineStr">
        <is>
          <t>Global Equity Holding 08</t>
        </is>
      </c>
      <c r="D62" s="6" t="inlineStr">
        <is>
          <t>Equity</t>
        </is>
      </c>
      <c r="E62" s="6">
        <f>A62&amp;"|"&amp;B62</f>
        <v/>
      </c>
      <c r="F62" s="12">
        <f>IFERROR(INDEX('Internal Book'!$E$2:$E$125,MATCH(E62,'Internal Book'!$H$2:$H$125,0)),0)</f>
        <v/>
      </c>
      <c r="G62" s="13">
        <f>IFERROR(INDEX('Internal Book'!$F$2:$F$125,MATCH(E62,'Internal Book'!$H$2:$H$125,0)),0)</f>
        <v/>
      </c>
      <c r="H62" s="11">
        <f>IFERROR(INDEX('Internal Book'!$G$2:$G$125,MATCH(E62,'Internal Book'!$H$2:$H$125,0)),0)</f>
        <v/>
      </c>
      <c r="I62" s="12">
        <f>IFERROR(INDEX('Custodian Statement'!$E$2:$E$125,MATCH(E62,'Custodian Statement'!$H$2:$H$125,0)),0)</f>
        <v/>
      </c>
      <c r="J62" s="13">
        <f>IFERROR(INDEX('Custodian Statement'!$F$2:$F$125,MATCH(E62,'Custodian Statement'!$H$2:$H$125,0)),0)</f>
        <v/>
      </c>
      <c r="K62" s="11">
        <f>IFERROR(INDEX('Custodian Statement'!$G$2:$G$125,MATCH(E62,'Custodian Statement'!$H$2:$H$125,0)),0)</f>
        <v/>
      </c>
      <c r="L62" s="12">
        <f>F62-I62</f>
        <v/>
      </c>
      <c r="M62" s="11">
        <f>H62-K62</f>
        <v/>
      </c>
      <c r="N62" s="12">
        <f>IFERROR((G62-J62)/J62*10000,0)</f>
        <v/>
      </c>
      <c r="O62" s="6">
        <f>COUNTIF('Internal Book'!$H$2:$H$125,E62)</f>
        <v/>
      </c>
      <c r="P62" s="6">
        <f>COUNTIF('Custodian Statement'!$H$2:$H$125,E62)</f>
        <v/>
      </c>
      <c r="Q62" s="6">
        <f>IF(O62=0,"MISSING IN INTERNAL",IF(P62=0,"MISSING IN CUSTODIAN",IF(AND(D62="Cash",ABS(M62)&gt;Parameters!$B$4),"CASH BREAK",IF(L62&lt;&gt;0,"QUANTITY BREAK",IF(ABS(N62)&gt;Parameters!$B$3,"PRICE BREAK",IF(ABS(M62)&gt;Parameters!$B$4,"MV BREAK","MATCHED"))))))</f>
        <v/>
      </c>
      <c r="R62" s="14">
        <f>IFERROR(INDEX('Break Register'!$B$2:$B$10,MATCH(E62,'Break Register'!$A$2:$A$10,0)),"")</f>
        <v/>
      </c>
      <c r="S62" s="12">
        <f>IF(R62="","",Parameters!$B$2-R62)</f>
        <v/>
      </c>
      <c r="T62" s="6">
        <f>IF(S62="","",IF(S62&lt;=2,"0-2 days",IF(S62&lt;=5,"3-5 days",IF(S62&lt;=10,"6-10 days",IF(S62&lt;=30,"11-30 days","30+ days")))))</f>
        <v/>
      </c>
      <c r="U62" s="6">
        <f>IFERROR(INDEX('Break Register'!$C$2:$C$10,MATCH(E62,'Break Register'!$A$2:$A$10,0)),"")</f>
        <v/>
      </c>
      <c r="V62" s="11">
        <f>ABS(M62)</f>
        <v/>
      </c>
      <c r="W62" s="6">
        <f>IF(Q62="MATCHED",0,1)</f>
        <v/>
      </c>
    </row>
    <row r="63">
      <c r="A63" s="6" t="inlineStr">
        <is>
          <t>EQGL</t>
        </is>
      </c>
      <c r="B63" s="6" t="inlineStr">
        <is>
          <t>EQ0030</t>
        </is>
      </c>
      <c r="C63" s="6" t="inlineStr">
        <is>
          <t>Global Equity Holding 10</t>
        </is>
      </c>
      <c r="D63" s="6" t="inlineStr">
        <is>
          <t>Equity</t>
        </is>
      </c>
      <c r="E63" s="6">
        <f>A63&amp;"|"&amp;B63</f>
        <v/>
      </c>
      <c r="F63" s="12">
        <f>IFERROR(INDEX('Internal Book'!$E$2:$E$125,MATCH(E63,'Internal Book'!$H$2:$H$125,0)),0)</f>
        <v/>
      </c>
      <c r="G63" s="13">
        <f>IFERROR(INDEX('Internal Book'!$F$2:$F$125,MATCH(E63,'Internal Book'!$H$2:$H$125,0)),0)</f>
        <v/>
      </c>
      <c r="H63" s="11">
        <f>IFERROR(INDEX('Internal Book'!$G$2:$G$125,MATCH(E63,'Internal Book'!$H$2:$H$125,0)),0)</f>
        <v/>
      </c>
      <c r="I63" s="12">
        <f>IFERROR(INDEX('Custodian Statement'!$E$2:$E$125,MATCH(E63,'Custodian Statement'!$H$2:$H$125,0)),0)</f>
        <v/>
      </c>
      <c r="J63" s="13">
        <f>IFERROR(INDEX('Custodian Statement'!$F$2:$F$125,MATCH(E63,'Custodian Statement'!$H$2:$H$125,0)),0)</f>
        <v/>
      </c>
      <c r="K63" s="11">
        <f>IFERROR(INDEX('Custodian Statement'!$G$2:$G$125,MATCH(E63,'Custodian Statement'!$H$2:$H$125,0)),0)</f>
        <v/>
      </c>
      <c r="L63" s="12">
        <f>F63-I63</f>
        <v/>
      </c>
      <c r="M63" s="11">
        <f>H63-K63</f>
        <v/>
      </c>
      <c r="N63" s="12">
        <f>IFERROR((G63-J63)/J63*10000,0)</f>
        <v/>
      </c>
      <c r="O63" s="6">
        <f>COUNTIF('Internal Book'!$H$2:$H$125,E63)</f>
        <v/>
      </c>
      <c r="P63" s="6">
        <f>COUNTIF('Custodian Statement'!$H$2:$H$125,E63)</f>
        <v/>
      </c>
      <c r="Q63" s="6">
        <f>IF(O63=0,"MISSING IN INTERNAL",IF(P63=0,"MISSING IN CUSTODIAN",IF(AND(D63="Cash",ABS(M63)&gt;Parameters!$B$4),"CASH BREAK",IF(L63&lt;&gt;0,"QUANTITY BREAK",IF(ABS(N63)&gt;Parameters!$B$3,"PRICE BREAK",IF(ABS(M63)&gt;Parameters!$B$4,"MV BREAK","MATCHED"))))))</f>
        <v/>
      </c>
      <c r="R63" s="14">
        <f>IFERROR(INDEX('Break Register'!$B$2:$B$10,MATCH(E63,'Break Register'!$A$2:$A$10,0)),"")</f>
        <v/>
      </c>
      <c r="S63" s="12">
        <f>IF(R63="","",Parameters!$B$2-R63)</f>
        <v/>
      </c>
      <c r="T63" s="6">
        <f>IF(S63="","",IF(S63&lt;=2,"0-2 days",IF(S63&lt;=5,"3-5 days",IF(S63&lt;=10,"6-10 days",IF(S63&lt;=30,"11-30 days","30+ days")))))</f>
        <v/>
      </c>
      <c r="U63" s="6">
        <f>IFERROR(INDEX('Break Register'!$C$2:$C$10,MATCH(E63,'Break Register'!$A$2:$A$10,0)),"")</f>
        <v/>
      </c>
      <c r="V63" s="11">
        <f>ABS(M63)</f>
        <v/>
      </c>
      <c r="W63" s="6">
        <f>IF(Q63="MATCHED",0,1)</f>
        <v/>
      </c>
    </row>
    <row r="64">
      <c r="A64" s="6" t="inlineStr">
        <is>
          <t>EQGL</t>
        </is>
      </c>
      <c r="B64" s="6" t="inlineStr">
        <is>
          <t>EQ0031</t>
        </is>
      </c>
      <c r="C64" s="6" t="inlineStr">
        <is>
          <t>Global Equity Holding 11</t>
        </is>
      </c>
      <c r="D64" s="6" t="inlineStr">
        <is>
          <t>Equity</t>
        </is>
      </c>
      <c r="E64" s="6">
        <f>A64&amp;"|"&amp;B64</f>
        <v/>
      </c>
      <c r="F64" s="12">
        <f>IFERROR(INDEX('Internal Book'!$E$2:$E$125,MATCH(E64,'Internal Book'!$H$2:$H$125,0)),0)</f>
        <v/>
      </c>
      <c r="G64" s="13">
        <f>IFERROR(INDEX('Internal Book'!$F$2:$F$125,MATCH(E64,'Internal Book'!$H$2:$H$125,0)),0)</f>
        <v/>
      </c>
      <c r="H64" s="11">
        <f>IFERROR(INDEX('Internal Book'!$G$2:$G$125,MATCH(E64,'Internal Book'!$H$2:$H$125,0)),0)</f>
        <v/>
      </c>
      <c r="I64" s="12">
        <f>IFERROR(INDEX('Custodian Statement'!$E$2:$E$125,MATCH(E64,'Custodian Statement'!$H$2:$H$125,0)),0)</f>
        <v/>
      </c>
      <c r="J64" s="13">
        <f>IFERROR(INDEX('Custodian Statement'!$F$2:$F$125,MATCH(E64,'Custodian Statement'!$H$2:$H$125,0)),0)</f>
        <v/>
      </c>
      <c r="K64" s="11">
        <f>IFERROR(INDEX('Custodian Statement'!$G$2:$G$125,MATCH(E64,'Custodian Statement'!$H$2:$H$125,0)),0)</f>
        <v/>
      </c>
      <c r="L64" s="12">
        <f>F64-I64</f>
        <v/>
      </c>
      <c r="M64" s="11">
        <f>H64-K64</f>
        <v/>
      </c>
      <c r="N64" s="12">
        <f>IFERROR((G64-J64)/J64*10000,0)</f>
        <v/>
      </c>
      <c r="O64" s="6">
        <f>COUNTIF('Internal Book'!$H$2:$H$125,E64)</f>
        <v/>
      </c>
      <c r="P64" s="6">
        <f>COUNTIF('Custodian Statement'!$H$2:$H$125,E64)</f>
        <v/>
      </c>
      <c r="Q64" s="6">
        <f>IF(O64=0,"MISSING IN INTERNAL",IF(P64=0,"MISSING IN CUSTODIAN",IF(AND(D64="Cash",ABS(M64)&gt;Parameters!$B$4),"CASH BREAK",IF(L64&lt;&gt;0,"QUANTITY BREAK",IF(ABS(N64)&gt;Parameters!$B$3,"PRICE BREAK",IF(ABS(M64)&gt;Parameters!$B$4,"MV BREAK","MATCHED"))))))</f>
        <v/>
      </c>
      <c r="R64" s="14">
        <f>IFERROR(INDEX('Break Register'!$B$2:$B$10,MATCH(E64,'Break Register'!$A$2:$A$10,0)),"")</f>
        <v/>
      </c>
      <c r="S64" s="12">
        <f>IF(R64="","",Parameters!$B$2-R64)</f>
        <v/>
      </c>
      <c r="T64" s="6">
        <f>IF(S64="","",IF(S64&lt;=2,"0-2 days",IF(S64&lt;=5,"3-5 days",IF(S64&lt;=10,"6-10 days",IF(S64&lt;=30,"11-30 days","30+ days")))))</f>
        <v/>
      </c>
      <c r="U64" s="6">
        <f>IFERROR(INDEX('Break Register'!$C$2:$C$10,MATCH(E64,'Break Register'!$A$2:$A$10,0)),"")</f>
        <v/>
      </c>
      <c r="V64" s="11">
        <f>ABS(M64)</f>
        <v/>
      </c>
      <c r="W64" s="6">
        <f>IF(Q64="MATCHED",0,1)</f>
        <v/>
      </c>
    </row>
    <row r="65">
      <c r="A65" s="6" t="inlineStr">
        <is>
          <t>EQGL</t>
        </is>
      </c>
      <c r="B65" s="6" t="inlineStr">
        <is>
          <t>EQ0032</t>
        </is>
      </c>
      <c r="C65" s="6" t="inlineStr">
        <is>
          <t>Global Equity Holding 12</t>
        </is>
      </c>
      <c r="D65" s="6" t="inlineStr">
        <is>
          <t>Equity</t>
        </is>
      </c>
      <c r="E65" s="6">
        <f>A65&amp;"|"&amp;B65</f>
        <v/>
      </c>
      <c r="F65" s="12">
        <f>IFERROR(INDEX('Internal Book'!$E$2:$E$125,MATCH(E65,'Internal Book'!$H$2:$H$125,0)),0)</f>
        <v/>
      </c>
      <c r="G65" s="13">
        <f>IFERROR(INDEX('Internal Book'!$F$2:$F$125,MATCH(E65,'Internal Book'!$H$2:$H$125,0)),0)</f>
        <v/>
      </c>
      <c r="H65" s="11">
        <f>IFERROR(INDEX('Internal Book'!$G$2:$G$125,MATCH(E65,'Internal Book'!$H$2:$H$125,0)),0)</f>
        <v/>
      </c>
      <c r="I65" s="12">
        <f>IFERROR(INDEX('Custodian Statement'!$E$2:$E$125,MATCH(E65,'Custodian Statement'!$H$2:$H$125,0)),0)</f>
        <v/>
      </c>
      <c r="J65" s="13">
        <f>IFERROR(INDEX('Custodian Statement'!$F$2:$F$125,MATCH(E65,'Custodian Statement'!$H$2:$H$125,0)),0)</f>
        <v/>
      </c>
      <c r="K65" s="11">
        <f>IFERROR(INDEX('Custodian Statement'!$G$2:$G$125,MATCH(E65,'Custodian Statement'!$H$2:$H$125,0)),0)</f>
        <v/>
      </c>
      <c r="L65" s="12">
        <f>F65-I65</f>
        <v/>
      </c>
      <c r="M65" s="11">
        <f>H65-K65</f>
        <v/>
      </c>
      <c r="N65" s="12">
        <f>IFERROR((G65-J65)/J65*10000,0)</f>
        <v/>
      </c>
      <c r="O65" s="6">
        <f>COUNTIF('Internal Book'!$H$2:$H$125,E65)</f>
        <v/>
      </c>
      <c r="P65" s="6">
        <f>COUNTIF('Custodian Statement'!$H$2:$H$125,E65)</f>
        <v/>
      </c>
      <c r="Q65" s="6">
        <f>IF(O65=0,"MISSING IN INTERNAL",IF(P65=0,"MISSING IN CUSTODIAN",IF(AND(D65="Cash",ABS(M65)&gt;Parameters!$B$4),"CASH BREAK",IF(L65&lt;&gt;0,"QUANTITY BREAK",IF(ABS(N65)&gt;Parameters!$B$3,"PRICE BREAK",IF(ABS(M65)&gt;Parameters!$B$4,"MV BREAK","MATCHED"))))))</f>
        <v/>
      </c>
      <c r="R65" s="14">
        <f>IFERROR(INDEX('Break Register'!$B$2:$B$10,MATCH(E65,'Break Register'!$A$2:$A$10,0)),"")</f>
        <v/>
      </c>
      <c r="S65" s="12">
        <f>IF(R65="","",Parameters!$B$2-R65)</f>
        <v/>
      </c>
      <c r="T65" s="6">
        <f>IF(S65="","",IF(S65&lt;=2,"0-2 days",IF(S65&lt;=5,"3-5 days",IF(S65&lt;=10,"6-10 days",IF(S65&lt;=30,"11-30 days","30+ days")))))</f>
        <v/>
      </c>
      <c r="U65" s="6">
        <f>IFERROR(INDEX('Break Register'!$C$2:$C$10,MATCH(E65,'Break Register'!$A$2:$A$10,0)),"")</f>
        <v/>
      </c>
      <c r="V65" s="11">
        <f>ABS(M65)</f>
        <v/>
      </c>
      <c r="W65" s="6">
        <f>IF(Q65="MATCHED",0,1)</f>
        <v/>
      </c>
    </row>
    <row r="66">
      <c r="A66" s="6" t="inlineStr">
        <is>
          <t>EQGL</t>
        </is>
      </c>
      <c r="B66" s="6" t="inlineStr">
        <is>
          <t>EQ0033</t>
        </is>
      </c>
      <c r="C66" s="6" t="inlineStr">
        <is>
          <t>Global Equity Holding 13</t>
        </is>
      </c>
      <c r="D66" s="6" t="inlineStr">
        <is>
          <t>Equity</t>
        </is>
      </c>
      <c r="E66" s="6">
        <f>A66&amp;"|"&amp;B66</f>
        <v/>
      </c>
      <c r="F66" s="12">
        <f>IFERROR(INDEX('Internal Book'!$E$2:$E$125,MATCH(E66,'Internal Book'!$H$2:$H$125,0)),0)</f>
        <v/>
      </c>
      <c r="G66" s="13">
        <f>IFERROR(INDEX('Internal Book'!$F$2:$F$125,MATCH(E66,'Internal Book'!$H$2:$H$125,0)),0)</f>
        <v/>
      </c>
      <c r="H66" s="11">
        <f>IFERROR(INDEX('Internal Book'!$G$2:$G$125,MATCH(E66,'Internal Book'!$H$2:$H$125,0)),0)</f>
        <v/>
      </c>
      <c r="I66" s="12">
        <f>IFERROR(INDEX('Custodian Statement'!$E$2:$E$125,MATCH(E66,'Custodian Statement'!$H$2:$H$125,0)),0)</f>
        <v/>
      </c>
      <c r="J66" s="13">
        <f>IFERROR(INDEX('Custodian Statement'!$F$2:$F$125,MATCH(E66,'Custodian Statement'!$H$2:$H$125,0)),0)</f>
        <v/>
      </c>
      <c r="K66" s="11">
        <f>IFERROR(INDEX('Custodian Statement'!$G$2:$G$125,MATCH(E66,'Custodian Statement'!$H$2:$H$125,0)),0)</f>
        <v/>
      </c>
      <c r="L66" s="12">
        <f>F66-I66</f>
        <v/>
      </c>
      <c r="M66" s="11">
        <f>H66-K66</f>
        <v/>
      </c>
      <c r="N66" s="12">
        <f>IFERROR((G66-J66)/J66*10000,0)</f>
        <v/>
      </c>
      <c r="O66" s="6">
        <f>COUNTIF('Internal Book'!$H$2:$H$125,E66)</f>
        <v/>
      </c>
      <c r="P66" s="6">
        <f>COUNTIF('Custodian Statement'!$H$2:$H$125,E66)</f>
        <v/>
      </c>
      <c r="Q66" s="6">
        <f>IF(O66=0,"MISSING IN INTERNAL",IF(P66=0,"MISSING IN CUSTODIAN",IF(AND(D66="Cash",ABS(M66)&gt;Parameters!$B$4),"CASH BREAK",IF(L66&lt;&gt;0,"QUANTITY BREAK",IF(ABS(N66)&gt;Parameters!$B$3,"PRICE BREAK",IF(ABS(M66)&gt;Parameters!$B$4,"MV BREAK","MATCHED"))))))</f>
        <v/>
      </c>
      <c r="R66" s="14">
        <f>IFERROR(INDEX('Break Register'!$B$2:$B$10,MATCH(E66,'Break Register'!$A$2:$A$10,0)),"")</f>
        <v/>
      </c>
      <c r="S66" s="12">
        <f>IF(R66="","",Parameters!$B$2-R66)</f>
        <v/>
      </c>
      <c r="T66" s="6">
        <f>IF(S66="","",IF(S66&lt;=2,"0-2 days",IF(S66&lt;=5,"3-5 days",IF(S66&lt;=10,"6-10 days",IF(S66&lt;=30,"11-30 days","30+ days")))))</f>
        <v/>
      </c>
      <c r="U66" s="6">
        <f>IFERROR(INDEX('Break Register'!$C$2:$C$10,MATCH(E66,'Break Register'!$A$2:$A$10,0)),"")</f>
        <v/>
      </c>
      <c r="V66" s="11">
        <f>ABS(M66)</f>
        <v/>
      </c>
      <c r="W66" s="6">
        <f>IF(Q66="MATCHED",0,1)</f>
        <v/>
      </c>
    </row>
    <row r="67">
      <c r="A67" s="6" t="inlineStr">
        <is>
          <t>EQGL</t>
        </is>
      </c>
      <c r="B67" s="6" t="inlineStr">
        <is>
          <t>EQ0034</t>
        </is>
      </c>
      <c r="C67" s="6" t="inlineStr">
        <is>
          <t>Global Equity Holding 14</t>
        </is>
      </c>
      <c r="D67" s="6" t="inlineStr">
        <is>
          <t>Equity</t>
        </is>
      </c>
      <c r="E67" s="6">
        <f>A67&amp;"|"&amp;B67</f>
        <v/>
      </c>
      <c r="F67" s="12">
        <f>IFERROR(INDEX('Internal Book'!$E$2:$E$125,MATCH(E67,'Internal Book'!$H$2:$H$125,0)),0)</f>
        <v/>
      </c>
      <c r="G67" s="13">
        <f>IFERROR(INDEX('Internal Book'!$F$2:$F$125,MATCH(E67,'Internal Book'!$H$2:$H$125,0)),0)</f>
        <v/>
      </c>
      <c r="H67" s="11">
        <f>IFERROR(INDEX('Internal Book'!$G$2:$G$125,MATCH(E67,'Internal Book'!$H$2:$H$125,0)),0)</f>
        <v/>
      </c>
      <c r="I67" s="12">
        <f>IFERROR(INDEX('Custodian Statement'!$E$2:$E$125,MATCH(E67,'Custodian Statement'!$H$2:$H$125,0)),0)</f>
        <v/>
      </c>
      <c r="J67" s="13">
        <f>IFERROR(INDEX('Custodian Statement'!$F$2:$F$125,MATCH(E67,'Custodian Statement'!$H$2:$H$125,0)),0)</f>
        <v/>
      </c>
      <c r="K67" s="11">
        <f>IFERROR(INDEX('Custodian Statement'!$G$2:$G$125,MATCH(E67,'Custodian Statement'!$H$2:$H$125,0)),0)</f>
        <v/>
      </c>
      <c r="L67" s="12">
        <f>F67-I67</f>
        <v/>
      </c>
      <c r="M67" s="11">
        <f>H67-K67</f>
        <v/>
      </c>
      <c r="N67" s="12">
        <f>IFERROR((G67-J67)/J67*10000,0)</f>
        <v/>
      </c>
      <c r="O67" s="6">
        <f>COUNTIF('Internal Book'!$H$2:$H$125,E67)</f>
        <v/>
      </c>
      <c r="P67" s="6">
        <f>COUNTIF('Custodian Statement'!$H$2:$H$125,E67)</f>
        <v/>
      </c>
      <c r="Q67" s="6">
        <f>IF(O67=0,"MISSING IN INTERNAL",IF(P67=0,"MISSING IN CUSTODIAN",IF(AND(D67="Cash",ABS(M67)&gt;Parameters!$B$4),"CASH BREAK",IF(L67&lt;&gt;0,"QUANTITY BREAK",IF(ABS(N67)&gt;Parameters!$B$3,"PRICE BREAK",IF(ABS(M67)&gt;Parameters!$B$4,"MV BREAK","MATCHED"))))))</f>
        <v/>
      </c>
      <c r="R67" s="14">
        <f>IFERROR(INDEX('Break Register'!$B$2:$B$10,MATCH(E67,'Break Register'!$A$2:$A$10,0)),"")</f>
        <v/>
      </c>
      <c r="S67" s="12">
        <f>IF(R67="","",Parameters!$B$2-R67)</f>
        <v/>
      </c>
      <c r="T67" s="6">
        <f>IF(S67="","",IF(S67&lt;=2,"0-2 days",IF(S67&lt;=5,"3-5 days",IF(S67&lt;=10,"6-10 days",IF(S67&lt;=30,"11-30 days","30+ days")))))</f>
        <v/>
      </c>
      <c r="U67" s="6">
        <f>IFERROR(INDEX('Break Register'!$C$2:$C$10,MATCH(E67,'Break Register'!$A$2:$A$10,0)),"")</f>
        <v/>
      </c>
      <c r="V67" s="11">
        <f>ABS(M67)</f>
        <v/>
      </c>
      <c r="W67" s="6">
        <f>IF(Q67="MATCHED",0,1)</f>
        <v/>
      </c>
    </row>
    <row r="68">
      <c r="A68" s="6" t="inlineStr">
        <is>
          <t>EQGL</t>
        </is>
      </c>
      <c r="B68" s="6" t="inlineStr">
        <is>
          <t>EQ0035</t>
        </is>
      </c>
      <c r="C68" s="6" t="inlineStr">
        <is>
          <t>Global Equity Holding 15</t>
        </is>
      </c>
      <c r="D68" s="6" t="inlineStr">
        <is>
          <t>Equity</t>
        </is>
      </c>
      <c r="E68" s="6">
        <f>A68&amp;"|"&amp;B68</f>
        <v/>
      </c>
      <c r="F68" s="12">
        <f>IFERROR(INDEX('Internal Book'!$E$2:$E$125,MATCH(E68,'Internal Book'!$H$2:$H$125,0)),0)</f>
        <v/>
      </c>
      <c r="G68" s="13">
        <f>IFERROR(INDEX('Internal Book'!$F$2:$F$125,MATCH(E68,'Internal Book'!$H$2:$H$125,0)),0)</f>
        <v/>
      </c>
      <c r="H68" s="11">
        <f>IFERROR(INDEX('Internal Book'!$G$2:$G$125,MATCH(E68,'Internal Book'!$H$2:$H$125,0)),0)</f>
        <v/>
      </c>
      <c r="I68" s="12">
        <f>IFERROR(INDEX('Custodian Statement'!$E$2:$E$125,MATCH(E68,'Custodian Statement'!$H$2:$H$125,0)),0)</f>
        <v/>
      </c>
      <c r="J68" s="13">
        <f>IFERROR(INDEX('Custodian Statement'!$F$2:$F$125,MATCH(E68,'Custodian Statement'!$H$2:$H$125,0)),0)</f>
        <v/>
      </c>
      <c r="K68" s="11">
        <f>IFERROR(INDEX('Custodian Statement'!$G$2:$G$125,MATCH(E68,'Custodian Statement'!$H$2:$H$125,0)),0)</f>
        <v/>
      </c>
      <c r="L68" s="12">
        <f>F68-I68</f>
        <v/>
      </c>
      <c r="M68" s="11">
        <f>H68-K68</f>
        <v/>
      </c>
      <c r="N68" s="12">
        <f>IFERROR((G68-J68)/J68*10000,0)</f>
        <v/>
      </c>
      <c r="O68" s="6">
        <f>COUNTIF('Internal Book'!$H$2:$H$125,E68)</f>
        <v/>
      </c>
      <c r="P68" s="6">
        <f>COUNTIF('Custodian Statement'!$H$2:$H$125,E68)</f>
        <v/>
      </c>
      <c r="Q68" s="6">
        <f>IF(O68=0,"MISSING IN INTERNAL",IF(P68=0,"MISSING IN CUSTODIAN",IF(AND(D68="Cash",ABS(M68)&gt;Parameters!$B$4),"CASH BREAK",IF(L68&lt;&gt;0,"QUANTITY BREAK",IF(ABS(N68)&gt;Parameters!$B$3,"PRICE BREAK",IF(ABS(M68)&gt;Parameters!$B$4,"MV BREAK","MATCHED"))))))</f>
        <v/>
      </c>
      <c r="R68" s="14">
        <f>IFERROR(INDEX('Break Register'!$B$2:$B$10,MATCH(E68,'Break Register'!$A$2:$A$10,0)),"")</f>
        <v/>
      </c>
      <c r="S68" s="12">
        <f>IF(R68="","",Parameters!$B$2-R68)</f>
        <v/>
      </c>
      <c r="T68" s="6">
        <f>IF(S68="","",IF(S68&lt;=2,"0-2 days",IF(S68&lt;=5,"3-5 days",IF(S68&lt;=10,"6-10 days",IF(S68&lt;=30,"11-30 days","30+ days")))))</f>
        <v/>
      </c>
      <c r="U68" s="6">
        <f>IFERROR(INDEX('Break Register'!$C$2:$C$10,MATCH(E68,'Break Register'!$A$2:$A$10,0)),"")</f>
        <v/>
      </c>
      <c r="V68" s="11">
        <f>ABS(M68)</f>
        <v/>
      </c>
      <c r="W68" s="6">
        <f>IF(Q68="MATCHED",0,1)</f>
        <v/>
      </c>
    </row>
    <row r="69">
      <c r="A69" s="6" t="inlineStr">
        <is>
          <t>EQGL</t>
        </is>
      </c>
      <c r="B69" s="6" t="inlineStr">
        <is>
          <t>EQ0036</t>
        </is>
      </c>
      <c r="C69" s="6" t="inlineStr">
        <is>
          <t>Global Equity Holding 16</t>
        </is>
      </c>
      <c r="D69" s="6" t="inlineStr">
        <is>
          <t>Equity</t>
        </is>
      </c>
      <c r="E69" s="6">
        <f>A69&amp;"|"&amp;B69</f>
        <v/>
      </c>
      <c r="F69" s="12">
        <f>IFERROR(INDEX('Internal Book'!$E$2:$E$125,MATCH(E69,'Internal Book'!$H$2:$H$125,0)),0)</f>
        <v/>
      </c>
      <c r="G69" s="13">
        <f>IFERROR(INDEX('Internal Book'!$F$2:$F$125,MATCH(E69,'Internal Book'!$H$2:$H$125,0)),0)</f>
        <v/>
      </c>
      <c r="H69" s="11">
        <f>IFERROR(INDEX('Internal Book'!$G$2:$G$125,MATCH(E69,'Internal Book'!$H$2:$H$125,0)),0)</f>
        <v/>
      </c>
      <c r="I69" s="12">
        <f>IFERROR(INDEX('Custodian Statement'!$E$2:$E$125,MATCH(E69,'Custodian Statement'!$H$2:$H$125,0)),0)</f>
        <v/>
      </c>
      <c r="J69" s="13">
        <f>IFERROR(INDEX('Custodian Statement'!$F$2:$F$125,MATCH(E69,'Custodian Statement'!$H$2:$H$125,0)),0)</f>
        <v/>
      </c>
      <c r="K69" s="11">
        <f>IFERROR(INDEX('Custodian Statement'!$G$2:$G$125,MATCH(E69,'Custodian Statement'!$H$2:$H$125,0)),0)</f>
        <v/>
      </c>
      <c r="L69" s="12">
        <f>F69-I69</f>
        <v/>
      </c>
      <c r="M69" s="11">
        <f>H69-K69</f>
        <v/>
      </c>
      <c r="N69" s="12">
        <f>IFERROR((G69-J69)/J69*10000,0)</f>
        <v/>
      </c>
      <c r="O69" s="6">
        <f>COUNTIF('Internal Book'!$H$2:$H$125,E69)</f>
        <v/>
      </c>
      <c r="P69" s="6">
        <f>COUNTIF('Custodian Statement'!$H$2:$H$125,E69)</f>
        <v/>
      </c>
      <c r="Q69" s="6">
        <f>IF(O69=0,"MISSING IN INTERNAL",IF(P69=0,"MISSING IN CUSTODIAN",IF(AND(D69="Cash",ABS(M69)&gt;Parameters!$B$4),"CASH BREAK",IF(L69&lt;&gt;0,"QUANTITY BREAK",IF(ABS(N69)&gt;Parameters!$B$3,"PRICE BREAK",IF(ABS(M69)&gt;Parameters!$B$4,"MV BREAK","MATCHED"))))))</f>
        <v/>
      </c>
      <c r="R69" s="14">
        <f>IFERROR(INDEX('Break Register'!$B$2:$B$10,MATCH(E69,'Break Register'!$A$2:$A$10,0)),"")</f>
        <v/>
      </c>
      <c r="S69" s="12">
        <f>IF(R69="","",Parameters!$B$2-R69)</f>
        <v/>
      </c>
      <c r="T69" s="6">
        <f>IF(S69="","",IF(S69&lt;=2,"0-2 days",IF(S69&lt;=5,"3-5 days",IF(S69&lt;=10,"6-10 days",IF(S69&lt;=30,"11-30 days","30+ days")))))</f>
        <v/>
      </c>
      <c r="U69" s="6">
        <f>IFERROR(INDEX('Break Register'!$C$2:$C$10,MATCH(E69,'Break Register'!$A$2:$A$10,0)),"")</f>
        <v/>
      </c>
      <c r="V69" s="11">
        <f>ABS(M69)</f>
        <v/>
      </c>
      <c r="W69" s="6">
        <f>IF(Q69="MATCHED",0,1)</f>
        <v/>
      </c>
    </row>
    <row r="70">
      <c r="A70" s="6" t="inlineStr">
        <is>
          <t>EQGL</t>
        </is>
      </c>
      <c r="B70" s="6" t="inlineStr">
        <is>
          <t>EQ0037</t>
        </is>
      </c>
      <c r="C70" s="6" t="inlineStr">
        <is>
          <t>Global Equity Holding 17</t>
        </is>
      </c>
      <c r="D70" s="6" t="inlineStr">
        <is>
          <t>Equity</t>
        </is>
      </c>
      <c r="E70" s="6">
        <f>A70&amp;"|"&amp;B70</f>
        <v/>
      </c>
      <c r="F70" s="12">
        <f>IFERROR(INDEX('Internal Book'!$E$2:$E$125,MATCH(E70,'Internal Book'!$H$2:$H$125,0)),0)</f>
        <v/>
      </c>
      <c r="G70" s="13">
        <f>IFERROR(INDEX('Internal Book'!$F$2:$F$125,MATCH(E70,'Internal Book'!$H$2:$H$125,0)),0)</f>
        <v/>
      </c>
      <c r="H70" s="11">
        <f>IFERROR(INDEX('Internal Book'!$G$2:$G$125,MATCH(E70,'Internal Book'!$H$2:$H$125,0)),0)</f>
        <v/>
      </c>
      <c r="I70" s="12">
        <f>IFERROR(INDEX('Custodian Statement'!$E$2:$E$125,MATCH(E70,'Custodian Statement'!$H$2:$H$125,0)),0)</f>
        <v/>
      </c>
      <c r="J70" s="13">
        <f>IFERROR(INDEX('Custodian Statement'!$F$2:$F$125,MATCH(E70,'Custodian Statement'!$H$2:$H$125,0)),0)</f>
        <v/>
      </c>
      <c r="K70" s="11">
        <f>IFERROR(INDEX('Custodian Statement'!$G$2:$G$125,MATCH(E70,'Custodian Statement'!$H$2:$H$125,0)),0)</f>
        <v/>
      </c>
      <c r="L70" s="12">
        <f>F70-I70</f>
        <v/>
      </c>
      <c r="M70" s="11">
        <f>H70-K70</f>
        <v/>
      </c>
      <c r="N70" s="12">
        <f>IFERROR((G70-J70)/J70*10000,0)</f>
        <v/>
      </c>
      <c r="O70" s="6">
        <f>COUNTIF('Internal Book'!$H$2:$H$125,E70)</f>
        <v/>
      </c>
      <c r="P70" s="6">
        <f>COUNTIF('Custodian Statement'!$H$2:$H$125,E70)</f>
        <v/>
      </c>
      <c r="Q70" s="6">
        <f>IF(O70=0,"MISSING IN INTERNAL",IF(P70=0,"MISSING IN CUSTODIAN",IF(AND(D70="Cash",ABS(M70)&gt;Parameters!$B$4),"CASH BREAK",IF(L70&lt;&gt;0,"QUANTITY BREAK",IF(ABS(N70)&gt;Parameters!$B$3,"PRICE BREAK",IF(ABS(M70)&gt;Parameters!$B$4,"MV BREAK","MATCHED"))))))</f>
        <v/>
      </c>
      <c r="R70" s="14">
        <f>IFERROR(INDEX('Break Register'!$B$2:$B$10,MATCH(E70,'Break Register'!$A$2:$A$10,0)),"")</f>
        <v/>
      </c>
      <c r="S70" s="12">
        <f>IF(R70="","",Parameters!$B$2-R70)</f>
        <v/>
      </c>
      <c r="T70" s="6">
        <f>IF(S70="","",IF(S70&lt;=2,"0-2 days",IF(S70&lt;=5,"3-5 days",IF(S70&lt;=10,"6-10 days",IF(S70&lt;=30,"11-30 days","30+ days")))))</f>
        <v/>
      </c>
      <c r="U70" s="6">
        <f>IFERROR(INDEX('Break Register'!$C$2:$C$10,MATCH(E70,'Break Register'!$A$2:$A$10,0)),"")</f>
        <v/>
      </c>
      <c r="V70" s="11">
        <f>ABS(M70)</f>
        <v/>
      </c>
      <c r="W70" s="6">
        <f>IF(Q70="MATCHED",0,1)</f>
        <v/>
      </c>
    </row>
    <row r="71">
      <c r="A71" s="6" t="inlineStr">
        <is>
          <t>EQGL</t>
        </is>
      </c>
      <c r="B71" s="6" t="inlineStr">
        <is>
          <t>EQ0038</t>
        </is>
      </c>
      <c r="C71" s="6" t="inlineStr">
        <is>
          <t>Global Equity Holding 18</t>
        </is>
      </c>
      <c r="D71" s="6" t="inlineStr">
        <is>
          <t>Equity</t>
        </is>
      </c>
      <c r="E71" s="6">
        <f>A71&amp;"|"&amp;B71</f>
        <v/>
      </c>
      <c r="F71" s="12">
        <f>IFERROR(INDEX('Internal Book'!$E$2:$E$125,MATCH(E71,'Internal Book'!$H$2:$H$125,0)),0)</f>
        <v/>
      </c>
      <c r="G71" s="13">
        <f>IFERROR(INDEX('Internal Book'!$F$2:$F$125,MATCH(E71,'Internal Book'!$H$2:$H$125,0)),0)</f>
        <v/>
      </c>
      <c r="H71" s="11">
        <f>IFERROR(INDEX('Internal Book'!$G$2:$G$125,MATCH(E71,'Internal Book'!$H$2:$H$125,0)),0)</f>
        <v/>
      </c>
      <c r="I71" s="12">
        <f>IFERROR(INDEX('Custodian Statement'!$E$2:$E$125,MATCH(E71,'Custodian Statement'!$H$2:$H$125,0)),0)</f>
        <v/>
      </c>
      <c r="J71" s="13">
        <f>IFERROR(INDEX('Custodian Statement'!$F$2:$F$125,MATCH(E71,'Custodian Statement'!$H$2:$H$125,0)),0)</f>
        <v/>
      </c>
      <c r="K71" s="11">
        <f>IFERROR(INDEX('Custodian Statement'!$G$2:$G$125,MATCH(E71,'Custodian Statement'!$H$2:$H$125,0)),0)</f>
        <v/>
      </c>
      <c r="L71" s="12">
        <f>F71-I71</f>
        <v/>
      </c>
      <c r="M71" s="11">
        <f>H71-K71</f>
        <v/>
      </c>
      <c r="N71" s="12">
        <f>IFERROR((G71-J71)/J71*10000,0)</f>
        <v/>
      </c>
      <c r="O71" s="6">
        <f>COUNTIF('Internal Book'!$H$2:$H$125,E71)</f>
        <v/>
      </c>
      <c r="P71" s="6">
        <f>COUNTIF('Custodian Statement'!$H$2:$H$125,E71)</f>
        <v/>
      </c>
      <c r="Q71" s="6">
        <f>IF(O71=0,"MISSING IN INTERNAL",IF(P71=0,"MISSING IN CUSTODIAN",IF(AND(D71="Cash",ABS(M71)&gt;Parameters!$B$4),"CASH BREAK",IF(L71&lt;&gt;0,"QUANTITY BREAK",IF(ABS(N71)&gt;Parameters!$B$3,"PRICE BREAK",IF(ABS(M71)&gt;Parameters!$B$4,"MV BREAK","MATCHED"))))))</f>
        <v/>
      </c>
      <c r="R71" s="14">
        <f>IFERROR(INDEX('Break Register'!$B$2:$B$10,MATCH(E71,'Break Register'!$A$2:$A$10,0)),"")</f>
        <v/>
      </c>
      <c r="S71" s="12">
        <f>IF(R71="","",Parameters!$B$2-R71)</f>
        <v/>
      </c>
      <c r="T71" s="6">
        <f>IF(S71="","",IF(S71&lt;=2,"0-2 days",IF(S71&lt;=5,"3-5 days",IF(S71&lt;=10,"6-10 days",IF(S71&lt;=30,"11-30 days","30+ days")))))</f>
        <v/>
      </c>
      <c r="U71" s="6">
        <f>IFERROR(INDEX('Break Register'!$C$2:$C$10,MATCH(E71,'Break Register'!$A$2:$A$10,0)),"")</f>
        <v/>
      </c>
      <c r="V71" s="11">
        <f>ABS(M71)</f>
        <v/>
      </c>
      <c r="W71" s="6">
        <f>IF(Q71="MATCHED",0,1)</f>
        <v/>
      </c>
    </row>
    <row r="72">
      <c r="A72" s="6" t="inlineStr">
        <is>
          <t>EQGL</t>
        </is>
      </c>
      <c r="B72" s="6" t="inlineStr">
        <is>
          <t>EQ0041</t>
        </is>
      </c>
      <c r="C72" s="6" t="inlineStr">
        <is>
          <t>Global Equity Holding 21</t>
        </is>
      </c>
      <c r="D72" s="6" t="inlineStr">
        <is>
          <t>Equity</t>
        </is>
      </c>
      <c r="E72" s="6">
        <f>A72&amp;"|"&amp;B72</f>
        <v/>
      </c>
      <c r="F72" s="12">
        <f>IFERROR(INDEX('Internal Book'!$E$2:$E$125,MATCH(E72,'Internal Book'!$H$2:$H$125,0)),0)</f>
        <v/>
      </c>
      <c r="G72" s="13">
        <f>IFERROR(INDEX('Internal Book'!$F$2:$F$125,MATCH(E72,'Internal Book'!$H$2:$H$125,0)),0)</f>
        <v/>
      </c>
      <c r="H72" s="11">
        <f>IFERROR(INDEX('Internal Book'!$G$2:$G$125,MATCH(E72,'Internal Book'!$H$2:$H$125,0)),0)</f>
        <v/>
      </c>
      <c r="I72" s="12">
        <f>IFERROR(INDEX('Custodian Statement'!$E$2:$E$125,MATCH(E72,'Custodian Statement'!$H$2:$H$125,0)),0)</f>
        <v/>
      </c>
      <c r="J72" s="13">
        <f>IFERROR(INDEX('Custodian Statement'!$F$2:$F$125,MATCH(E72,'Custodian Statement'!$H$2:$H$125,0)),0)</f>
        <v/>
      </c>
      <c r="K72" s="11">
        <f>IFERROR(INDEX('Custodian Statement'!$G$2:$G$125,MATCH(E72,'Custodian Statement'!$H$2:$H$125,0)),0)</f>
        <v/>
      </c>
      <c r="L72" s="12">
        <f>F72-I72</f>
        <v/>
      </c>
      <c r="M72" s="11">
        <f>H72-K72</f>
        <v/>
      </c>
      <c r="N72" s="12">
        <f>IFERROR((G72-J72)/J72*10000,0)</f>
        <v/>
      </c>
      <c r="O72" s="6">
        <f>COUNTIF('Internal Book'!$H$2:$H$125,E72)</f>
        <v/>
      </c>
      <c r="P72" s="6">
        <f>COUNTIF('Custodian Statement'!$H$2:$H$125,E72)</f>
        <v/>
      </c>
      <c r="Q72" s="6">
        <f>IF(O72=0,"MISSING IN INTERNAL",IF(P72=0,"MISSING IN CUSTODIAN",IF(AND(D72="Cash",ABS(M72)&gt;Parameters!$B$4),"CASH BREAK",IF(L72&lt;&gt;0,"QUANTITY BREAK",IF(ABS(N72)&gt;Parameters!$B$3,"PRICE BREAK",IF(ABS(M72)&gt;Parameters!$B$4,"MV BREAK","MATCHED"))))))</f>
        <v/>
      </c>
      <c r="R72" s="14">
        <f>IFERROR(INDEX('Break Register'!$B$2:$B$10,MATCH(E72,'Break Register'!$A$2:$A$10,0)),"")</f>
        <v/>
      </c>
      <c r="S72" s="12">
        <f>IF(R72="","",Parameters!$B$2-R72)</f>
        <v/>
      </c>
      <c r="T72" s="6">
        <f>IF(S72="","",IF(S72&lt;=2,"0-2 days",IF(S72&lt;=5,"3-5 days",IF(S72&lt;=10,"6-10 days",IF(S72&lt;=30,"11-30 days","30+ days")))))</f>
        <v/>
      </c>
      <c r="U72" s="6">
        <f>IFERROR(INDEX('Break Register'!$C$2:$C$10,MATCH(E72,'Break Register'!$A$2:$A$10,0)),"")</f>
        <v/>
      </c>
      <c r="V72" s="11">
        <f>ABS(M72)</f>
        <v/>
      </c>
      <c r="W72" s="6">
        <f>IF(Q72="MATCHED",0,1)</f>
        <v/>
      </c>
    </row>
    <row r="73">
      <c r="A73" s="6" t="inlineStr">
        <is>
          <t>EQGL</t>
        </is>
      </c>
      <c r="B73" s="6" t="inlineStr">
        <is>
          <t>EQ0042</t>
        </is>
      </c>
      <c r="C73" s="6" t="inlineStr">
        <is>
          <t>Global Equity Holding 22</t>
        </is>
      </c>
      <c r="D73" s="6" t="inlineStr">
        <is>
          <t>Equity</t>
        </is>
      </c>
      <c r="E73" s="6">
        <f>A73&amp;"|"&amp;B73</f>
        <v/>
      </c>
      <c r="F73" s="12">
        <f>IFERROR(INDEX('Internal Book'!$E$2:$E$125,MATCH(E73,'Internal Book'!$H$2:$H$125,0)),0)</f>
        <v/>
      </c>
      <c r="G73" s="13">
        <f>IFERROR(INDEX('Internal Book'!$F$2:$F$125,MATCH(E73,'Internal Book'!$H$2:$H$125,0)),0)</f>
        <v/>
      </c>
      <c r="H73" s="11">
        <f>IFERROR(INDEX('Internal Book'!$G$2:$G$125,MATCH(E73,'Internal Book'!$H$2:$H$125,0)),0)</f>
        <v/>
      </c>
      <c r="I73" s="12">
        <f>IFERROR(INDEX('Custodian Statement'!$E$2:$E$125,MATCH(E73,'Custodian Statement'!$H$2:$H$125,0)),0)</f>
        <v/>
      </c>
      <c r="J73" s="13">
        <f>IFERROR(INDEX('Custodian Statement'!$F$2:$F$125,MATCH(E73,'Custodian Statement'!$H$2:$H$125,0)),0)</f>
        <v/>
      </c>
      <c r="K73" s="11">
        <f>IFERROR(INDEX('Custodian Statement'!$G$2:$G$125,MATCH(E73,'Custodian Statement'!$H$2:$H$125,0)),0)</f>
        <v/>
      </c>
      <c r="L73" s="12">
        <f>F73-I73</f>
        <v/>
      </c>
      <c r="M73" s="11">
        <f>H73-K73</f>
        <v/>
      </c>
      <c r="N73" s="12">
        <f>IFERROR((G73-J73)/J73*10000,0)</f>
        <v/>
      </c>
      <c r="O73" s="6">
        <f>COUNTIF('Internal Book'!$H$2:$H$125,E73)</f>
        <v/>
      </c>
      <c r="P73" s="6">
        <f>COUNTIF('Custodian Statement'!$H$2:$H$125,E73)</f>
        <v/>
      </c>
      <c r="Q73" s="6">
        <f>IF(O73=0,"MISSING IN INTERNAL",IF(P73=0,"MISSING IN CUSTODIAN",IF(AND(D73="Cash",ABS(M73)&gt;Parameters!$B$4),"CASH BREAK",IF(L73&lt;&gt;0,"QUANTITY BREAK",IF(ABS(N73)&gt;Parameters!$B$3,"PRICE BREAK",IF(ABS(M73)&gt;Parameters!$B$4,"MV BREAK","MATCHED"))))))</f>
        <v/>
      </c>
      <c r="R73" s="14">
        <f>IFERROR(INDEX('Break Register'!$B$2:$B$10,MATCH(E73,'Break Register'!$A$2:$A$10,0)),"")</f>
        <v/>
      </c>
      <c r="S73" s="12">
        <f>IF(R73="","",Parameters!$B$2-R73)</f>
        <v/>
      </c>
      <c r="T73" s="6">
        <f>IF(S73="","",IF(S73&lt;=2,"0-2 days",IF(S73&lt;=5,"3-5 days",IF(S73&lt;=10,"6-10 days",IF(S73&lt;=30,"11-30 days","30+ days")))))</f>
        <v/>
      </c>
      <c r="U73" s="6">
        <f>IFERROR(INDEX('Break Register'!$C$2:$C$10,MATCH(E73,'Break Register'!$A$2:$A$10,0)),"")</f>
        <v/>
      </c>
      <c r="V73" s="11">
        <f>ABS(M73)</f>
        <v/>
      </c>
      <c r="W73" s="6">
        <f>IF(Q73="MATCHED",0,1)</f>
        <v/>
      </c>
    </row>
    <row r="74">
      <c r="A74" s="6" t="inlineStr">
        <is>
          <t>EQGL</t>
        </is>
      </c>
      <c r="B74" s="6" t="inlineStr">
        <is>
          <t>EQ0044</t>
        </is>
      </c>
      <c r="C74" s="6" t="inlineStr">
        <is>
          <t>Global Equity Holding 24</t>
        </is>
      </c>
      <c r="D74" s="6" t="inlineStr">
        <is>
          <t>Equity</t>
        </is>
      </c>
      <c r="E74" s="6">
        <f>A74&amp;"|"&amp;B74</f>
        <v/>
      </c>
      <c r="F74" s="12">
        <f>IFERROR(INDEX('Internal Book'!$E$2:$E$125,MATCH(E74,'Internal Book'!$H$2:$H$125,0)),0)</f>
        <v/>
      </c>
      <c r="G74" s="13">
        <f>IFERROR(INDEX('Internal Book'!$F$2:$F$125,MATCH(E74,'Internal Book'!$H$2:$H$125,0)),0)</f>
        <v/>
      </c>
      <c r="H74" s="11">
        <f>IFERROR(INDEX('Internal Book'!$G$2:$G$125,MATCH(E74,'Internal Book'!$H$2:$H$125,0)),0)</f>
        <v/>
      </c>
      <c r="I74" s="12">
        <f>IFERROR(INDEX('Custodian Statement'!$E$2:$E$125,MATCH(E74,'Custodian Statement'!$H$2:$H$125,0)),0)</f>
        <v/>
      </c>
      <c r="J74" s="13">
        <f>IFERROR(INDEX('Custodian Statement'!$F$2:$F$125,MATCH(E74,'Custodian Statement'!$H$2:$H$125,0)),0)</f>
        <v/>
      </c>
      <c r="K74" s="11">
        <f>IFERROR(INDEX('Custodian Statement'!$G$2:$G$125,MATCH(E74,'Custodian Statement'!$H$2:$H$125,0)),0)</f>
        <v/>
      </c>
      <c r="L74" s="12">
        <f>F74-I74</f>
        <v/>
      </c>
      <c r="M74" s="11">
        <f>H74-K74</f>
        <v/>
      </c>
      <c r="N74" s="12">
        <f>IFERROR((G74-J74)/J74*10000,0)</f>
        <v/>
      </c>
      <c r="O74" s="6">
        <f>COUNTIF('Internal Book'!$H$2:$H$125,E74)</f>
        <v/>
      </c>
      <c r="P74" s="6">
        <f>COUNTIF('Custodian Statement'!$H$2:$H$125,E74)</f>
        <v/>
      </c>
      <c r="Q74" s="6">
        <f>IF(O74=0,"MISSING IN INTERNAL",IF(P74=0,"MISSING IN CUSTODIAN",IF(AND(D74="Cash",ABS(M74)&gt;Parameters!$B$4),"CASH BREAK",IF(L74&lt;&gt;0,"QUANTITY BREAK",IF(ABS(N74)&gt;Parameters!$B$3,"PRICE BREAK",IF(ABS(M74)&gt;Parameters!$B$4,"MV BREAK","MATCHED"))))))</f>
        <v/>
      </c>
      <c r="R74" s="14">
        <f>IFERROR(INDEX('Break Register'!$B$2:$B$10,MATCH(E74,'Break Register'!$A$2:$A$10,0)),"")</f>
        <v/>
      </c>
      <c r="S74" s="12">
        <f>IF(R74="","",Parameters!$B$2-R74)</f>
        <v/>
      </c>
      <c r="T74" s="6">
        <f>IF(S74="","",IF(S74&lt;=2,"0-2 days",IF(S74&lt;=5,"3-5 days",IF(S74&lt;=10,"6-10 days",IF(S74&lt;=30,"11-30 days","30+ days")))))</f>
        <v/>
      </c>
      <c r="U74" s="6">
        <f>IFERROR(INDEX('Break Register'!$C$2:$C$10,MATCH(E74,'Break Register'!$A$2:$A$10,0)),"")</f>
        <v/>
      </c>
      <c r="V74" s="11">
        <f>ABS(M74)</f>
        <v/>
      </c>
      <c r="W74" s="6">
        <f>IF(Q74="MATCHED",0,1)</f>
        <v/>
      </c>
    </row>
    <row r="75">
      <c r="A75" s="6" t="inlineStr">
        <is>
          <t>EQGL</t>
        </is>
      </c>
      <c r="B75" s="6" t="inlineStr">
        <is>
          <t>EQ0046</t>
        </is>
      </c>
      <c r="C75" s="6" t="inlineStr">
        <is>
          <t>Global Equity Holding 26</t>
        </is>
      </c>
      <c r="D75" s="6" t="inlineStr">
        <is>
          <t>Equity</t>
        </is>
      </c>
      <c r="E75" s="6">
        <f>A75&amp;"|"&amp;B75</f>
        <v/>
      </c>
      <c r="F75" s="12">
        <f>IFERROR(INDEX('Internal Book'!$E$2:$E$125,MATCH(E75,'Internal Book'!$H$2:$H$125,0)),0)</f>
        <v/>
      </c>
      <c r="G75" s="13">
        <f>IFERROR(INDEX('Internal Book'!$F$2:$F$125,MATCH(E75,'Internal Book'!$H$2:$H$125,0)),0)</f>
        <v/>
      </c>
      <c r="H75" s="11">
        <f>IFERROR(INDEX('Internal Book'!$G$2:$G$125,MATCH(E75,'Internal Book'!$H$2:$H$125,0)),0)</f>
        <v/>
      </c>
      <c r="I75" s="12">
        <f>IFERROR(INDEX('Custodian Statement'!$E$2:$E$125,MATCH(E75,'Custodian Statement'!$H$2:$H$125,0)),0)</f>
        <v/>
      </c>
      <c r="J75" s="13">
        <f>IFERROR(INDEX('Custodian Statement'!$F$2:$F$125,MATCH(E75,'Custodian Statement'!$H$2:$H$125,0)),0)</f>
        <v/>
      </c>
      <c r="K75" s="11">
        <f>IFERROR(INDEX('Custodian Statement'!$G$2:$G$125,MATCH(E75,'Custodian Statement'!$H$2:$H$125,0)),0)</f>
        <v/>
      </c>
      <c r="L75" s="12">
        <f>F75-I75</f>
        <v/>
      </c>
      <c r="M75" s="11">
        <f>H75-K75</f>
        <v/>
      </c>
      <c r="N75" s="12">
        <f>IFERROR((G75-J75)/J75*10000,0)</f>
        <v/>
      </c>
      <c r="O75" s="6">
        <f>COUNTIF('Internal Book'!$H$2:$H$125,E75)</f>
        <v/>
      </c>
      <c r="P75" s="6">
        <f>COUNTIF('Custodian Statement'!$H$2:$H$125,E75)</f>
        <v/>
      </c>
      <c r="Q75" s="6">
        <f>IF(O75=0,"MISSING IN INTERNAL",IF(P75=0,"MISSING IN CUSTODIAN",IF(AND(D75="Cash",ABS(M75)&gt;Parameters!$B$4),"CASH BREAK",IF(L75&lt;&gt;0,"QUANTITY BREAK",IF(ABS(N75)&gt;Parameters!$B$3,"PRICE BREAK",IF(ABS(M75)&gt;Parameters!$B$4,"MV BREAK","MATCHED"))))))</f>
        <v/>
      </c>
      <c r="R75" s="14">
        <f>IFERROR(INDEX('Break Register'!$B$2:$B$10,MATCH(E75,'Break Register'!$A$2:$A$10,0)),"")</f>
        <v/>
      </c>
      <c r="S75" s="12">
        <f>IF(R75="","",Parameters!$B$2-R75)</f>
        <v/>
      </c>
      <c r="T75" s="6">
        <f>IF(S75="","",IF(S75&lt;=2,"0-2 days",IF(S75&lt;=5,"3-5 days",IF(S75&lt;=10,"6-10 days",IF(S75&lt;=30,"11-30 days","30+ days")))))</f>
        <v/>
      </c>
      <c r="U75" s="6">
        <f>IFERROR(INDEX('Break Register'!$C$2:$C$10,MATCH(E75,'Break Register'!$A$2:$A$10,0)),"")</f>
        <v/>
      </c>
      <c r="V75" s="11">
        <f>ABS(M75)</f>
        <v/>
      </c>
      <c r="W75" s="6">
        <f>IF(Q75="MATCHED",0,1)</f>
        <v/>
      </c>
    </row>
    <row r="76">
      <c r="A76" s="6" t="inlineStr">
        <is>
          <t>EQGL</t>
        </is>
      </c>
      <c r="B76" s="6" t="inlineStr">
        <is>
          <t>EQ0047</t>
        </is>
      </c>
      <c r="C76" s="6" t="inlineStr">
        <is>
          <t>Global Equity Holding 27</t>
        </is>
      </c>
      <c r="D76" s="6" t="inlineStr">
        <is>
          <t>Equity</t>
        </is>
      </c>
      <c r="E76" s="6">
        <f>A76&amp;"|"&amp;B76</f>
        <v/>
      </c>
      <c r="F76" s="12">
        <f>IFERROR(INDEX('Internal Book'!$E$2:$E$125,MATCH(E76,'Internal Book'!$H$2:$H$125,0)),0)</f>
        <v/>
      </c>
      <c r="G76" s="13">
        <f>IFERROR(INDEX('Internal Book'!$F$2:$F$125,MATCH(E76,'Internal Book'!$H$2:$H$125,0)),0)</f>
        <v/>
      </c>
      <c r="H76" s="11">
        <f>IFERROR(INDEX('Internal Book'!$G$2:$G$125,MATCH(E76,'Internal Book'!$H$2:$H$125,0)),0)</f>
        <v/>
      </c>
      <c r="I76" s="12">
        <f>IFERROR(INDEX('Custodian Statement'!$E$2:$E$125,MATCH(E76,'Custodian Statement'!$H$2:$H$125,0)),0)</f>
        <v/>
      </c>
      <c r="J76" s="13">
        <f>IFERROR(INDEX('Custodian Statement'!$F$2:$F$125,MATCH(E76,'Custodian Statement'!$H$2:$H$125,0)),0)</f>
        <v/>
      </c>
      <c r="K76" s="11">
        <f>IFERROR(INDEX('Custodian Statement'!$G$2:$G$125,MATCH(E76,'Custodian Statement'!$H$2:$H$125,0)),0)</f>
        <v/>
      </c>
      <c r="L76" s="12">
        <f>F76-I76</f>
        <v/>
      </c>
      <c r="M76" s="11">
        <f>H76-K76</f>
        <v/>
      </c>
      <c r="N76" s="12">
        <f>IFERROR((G76-J76)/J76*10000,0)</f>
        <v/>
      </c>
      <c r="O76" s="6">
        <f>COUNTIF('Internal Book'!$H$2:$H$125,E76)</f>
        <v/>
      </c>
      <c r="P76" s="6">
        <f>COUNTIF('Custodian Statement'!$H$2:$H$125,E76)</f>
        <v/>
      </c>
      <c r="Q76" s="6">
        <f>IF(O76=0,"MISSING IN INTERNAL",IF(P76=0,"MISSING IN CUSTODIAN",IF(AND(D76="Cash",ABS(M76)&gt;Parameters!$B$4),"CASH BREAK",IF(L76&lt;&gt;0,"QUANTITY BREAK",IF(ABS(N76)&gt;Parameters!$B$3,"PRICE BREAK",IF(ABS(M76)&gt;Parameters!$B$4,"MV BREAK","MATCHED"))))))</f>
        <v/>
      </c>
      <c r="R76" s="14">
        <f>IFERROR(INDEX('Break Register'!$B$2:$B$10,MATCH(E76,'Break Register'!$A$2:$A$10,0)),"")</f>
        <v/>
      </c>
      <c r="S76" s="12">
        <f>IF(R76="","",Parameters!$B$2-R76)</f>
        <v/>
      </c>
      <c r="T76" s="6">
        <f>IF(S76="","",IF(S76&lt;=2,"0-2 days",IF(S76&lt;=5,"3-5 days",IF(S76&lt;=10,"6-10 days",IF(S76&lt;=30,"11-30 days","30+ days")))))</f>
        <v/>
      </c>
      <c r="U76" s="6">
        <f>IFERROR(INDEX('Break Register'!$C$2:$C$10,MATCH(E76,'Break Register'!$A$2:$A$10,0)),"")</f>
        <v/>
      </c>
      <c r="V76" s="11">
        <f>ABS(M76)</f>
        <v/>
      </c>
      <c r="W76" s="6">
        <f>IF(Q76="MATCHED",0,1)</f>
        <v/>
      </c>
    </row>
    <row r="77">
      <c r="A77" s="6" t="inlineStr">
        <is>
          <t>EQGL</t>
        </is>
      </c>
      <c r="B77" s="6" t="inlineStr">
        <is>
          <t>ET0081</t>
        </is>
      </c>
      <c r="C77" s="6" t="inlineStr">
        <is>
          <t>iShares Core MSCI World</t>
        </is>
      </c>
      <c r="D77" s="6" t="inlineStr">
        <is>
          <t>ETF</t>
        </is>
      </c>
      <c r="E77" s="6">
        <f>A77&amp;"|"&amp;B77</f>
        <v/>
      </c>
      <c r="F77" s="12">
        <f>IFERROR(INDEX('Internal Book'!$E$2:$E$125,MATCH(E77,'Internal Book'!$H$2:$H$125,0)),0)</f>
        <v/>
      </c>
      <c r="G77" s="13">
        <f>IFERROR(INDEX('Internal Book'!$F$2:$F$125,MATCH(E77,'Internal Book'!$H$2:$H$125,0)),0)</f>
        <v/>
      </c>
      <c r="H77" s="11">
        <f>IFERROR(INDEX('Internal Book'!$G$2:$G$125,MATCH(E77,'Internal Book'!$H$2:$H$125,0)),0)</f>
        <v/>
      </c>
      <c r="I77" s="12">
        <f>IFERROR(INDEX('Custodian Statement'!$E$2:$E$125,MATCH(E77,'Custodian Statement'!$H$2:$H$125,0)),0)</f>
        <v/>
      </c>
      <c r="J77" s="13">
        <f>IFERROR(INDEX('Custodian Statement'!$F$2:$F$125,MATCH(E77,'Custodian Statement'!$H$2:$H$125,0)),0)</f>
        <v/>
      </c>
      <c r="K77" s="11">
        <f>IFERROR(INDEX('Custodian Statement'!$G$2:$G$125,MATCH(E77,'Custodian Statement'!$H$2:$H$125,0)),0)</f>
        <v/>
      </c>
      <c r="L77" s="12">
        <f>F77-I77</f>
        <v/>
      </c>
      <c r="M77" s="11">
        <f>H77-K77</f>
        <v/>
      </c>
      <c r="N77" s="12">
        <f>IFERROR((G77-J77)/J77*10000,0)</f>
        <v/>
      </c>
      <c r="O77" s="6">
        <f>COUNTIF('Internal Book'!$H$2:$H$125,E77)</f>
        <v/>
      </c>
      <c r="P77" s="6">
        <f>COUNTIF('Custodian Statement'!$H$2:$H$125,E77)</f>
        <v/>
      </c>
      <c r="Q77" s="6">
        <f>IF(O77=0,"MISSING IN INTERNAL",IF(P77=0,"MISSING IN CUSTODIAN",IF(AND(D77="Cash",ABS(M77)&gt;Parameters!$B$4),"CASH BREAK",IF(L77&lt;&gt;0,"QUANTITY BREAK",IF(ABS(N77)&gt;Parameters!$B$3,"PRICE BREAK",IF(ABS(M77)&gt;Parameters!$B$4,"MV BREAK","MATCHED"))))))</f>
        <v/>
      </c>
      <c r="R77" s="14">
        <f>IFERROR(INDEX('Break Register'!$B$2:$B$10,MATCH(E77,'Break Register'!$A$2:$A$10,0)),"")</f>
        <v/>
      </c>
      <c r="S77" s="12">
        <f>IF(R77="","",Parameters!$B$2-R77)</f>
        <v/>
      </c>
      <c r="T77" s="6">
        <f>IF(S77="","",IF(S77&lt;=2,"0-2 days",IF(S77&lt;=5,"3-5 days",IF(S77&lt;=10,"6-10 days",IF(S77&lt;=30,"11-30 days","30+ days")))))</f>
        <v/>
      </c>
      <c r="U77" s="6">
        <f>IFERROR(INDEX('Break Register'!$C$2:$C$10,MATCH(E77,'Break Register'!$A$2:$A$10,0)),"")</f>
        <v/>
      </c>
      <c r="V77" s="11">
        <f>ABS(M77)</f>
        <v/>
      </c>
      <c r="W77" s="6">
        <f>IF(Q77="MATCHED",0,1)</f>
        <v/>
      </c>
    </row>
    <row r="78">
      <c r="A78" s="6" t="inlineStr">
        <is>
          <t>EQGL</t>
        </is>
      </c>
      <c r="B78" s="6" t="inlineStr">
        <is>
          <t>ET0082</t>
        </is>
      </c>
      <c r="C78" s="6" t="inlineStr">
        <is>
          <t>Vanguard S&amp;P 500</t>
        </is>
      </c>
      <c r="D78" s="6" t="inlineStr">
        <is>
          <t>ETF</t>
        </is>
      </c>
      <c r="E78" s="6">
        <f>A78&amp;"|"&amp;B78</f>
        <v/>
      </c>
      <c r="F78" s="12">
        <f>IFERROR(INDEX('Internal Book'!$E$2:$E$125,MATCH(E78,'Internal Book'!$H$2:$H$125,0)),0)</f>
        <v/>
      </c>
      <c r="G78" s="13">
        <f>IFERROR(INDEX('Internal Book'!$F$2:$F$125,MATCH(E78,'Internal Book'!$H$2:$H$125,0)),0)</f>
        <v/>
      </c>
      <c r="H78" s="11">
        <f>IFERROR(INDEX('Internal Book'!$G$2:$G$125,MATCH(E78,'Internal Book'!$H$2:$H$125,0)),0)</f>
        <v/>
      </c>
      <c r="I78" s="12">
        <f>IFERROR(INDEX('Custodian Statement'!$E$2:$E$125,MATCH(E78,'Custodian Statement'!$H$2:$H$125,0)),0)</f>
        <v/>
      </c>
      <c r="J78" s="13">
        <f>IFERROR(INDEX('Custodian Statement'!$F$2:$F$125,MATCH(E78,'Custodian Statement'!$H$2:$H$125,0)),0)</f>
        <v/>
      </c>
      <c r="K78" s="11">
        <f>IFERROR(INDEX('Custodian Statement'!$G$2:$G$125,MATCH(E78,'Custodian Statement'!$H$2:$H$125,0)),0)</f>
        <v/>
      </c>
      <c r="L78" s="12">
        <f>F78-I78</f>
        <v/>
      </c>
      <c r="M78" s="11">
        <f>H78-K78</f>
        <v/>
      </c>
      <c r="N78" s="12">
        <f>IFERROR((G78-J78)/J78*10000,0)</f>
        <v/>
      </c>
      <c r="O78" s="6">
        <f>COUNTIF('Internal Book'!$H$2:$H$125,E78)</f>
        <v/>
      </c>
      <c r="P78" s="6">
        <f>COUNTIF('Custodian Statement'!$H$2:$H$125,E78)</f>
        <v/>
      </c>
      <c r="Q78" s="6">
        <f>IF(O78=0,"MISSING IN INTERNAL",IF(P78=0,"MISSING IN CUSTODIAN",IF(AND(D78="Cash",ABS(M78)&gt;Parameters!$B$4),"CASH BREAK",IF(L78&lt;&gt;0,"QUANTITY BREAK",IF(ABS(N78)&gt;Parameters!$B$3,"PRICE BREAK",IF(ABS(M78)&gt;Parameters!$B$4,"MV BREAK","MATCHED"))))))</f>
        <v/>
      </c>
      <c r="R78" s="14">
        <f>IFERROR(INDEX('Break Register'!$B$2:$B$10,MATCH(E78,'Break Register'!$A$2:$A$10,0)),"")</f>
        <v/>
      </c>
      <c r="S78" s="12">
        <f>IF(R78="","",Parameters!$B$2-R78)</f>
        <v/>
      </c>
      <c r="T78" s="6">
        <f>IF(S78="","",IF(S78&lt;=2,"0-2 days",IF(S78&lt;=5,"3-5 days",IF(S78&lt;=10,"6-10 days",IF(S78&lt;=30,"11-30 days","30+ days")))))</f>
        <v/>
      </c>
      <c r="U78" s="6">
        <f>IFERROR(INDEX('Break Register'!$C$2:$C$10,MATCH(E78,'Break Register'!$A$2:$A$10,0)),"")</f>
        <v/>
      </c>
      <c r="V78" s="11">
        <f>ABS(M78)</f>
        <v/>
      </c>
      <c r="W78" s="6">
        <f>IF(Q78="MATCHED",0,1)</f>
        <v/>
      </c>
    </row>
    <row r="79">
      <c r="A79" s="6" t="inlineStr">
        <is>
          <t>EQGL</t>
        </is>
      </c>
      <c r="B79" s="6" t="inlineStr">
        <is>
          <t>ET0085</t>
        </is>
      </c>
      <c r="C79" s="6" t="inlineStr">
        <is>
          <t>iShares US Treasury</t>
        </is>
      </c>
      <c r="D79" s="6" t="inlineStr">
        <is>
          <t>ETF</t>
        </is>
      </c>
      <c r="E79" s="6">
        <f>A79&amp;"|"&amp;B79</f>
        <v/>
      </c>
      <c r="F79" s="12">
        <f>IFERROR(INDEX('Internal Book'!$E$2:$E$125,MATCH(E79,'Internal Book'!$H$2:$H$125,0)),0)</f>
        <v/>
      </c>
      <c r="G79" s="13">
        <f>IFERROR(INDEX('Internal Book'!$F$2:$F$125,MATCH(E79,'Internal Book'!$H$2:$H$125,0)),0)</f>
        <v/>
      </c>
      <c r="H79" s="11">
        <f>IFERROR(INDEX('Internal Book'!$G$2:$G$125,MATCH(E79,'Internal Book'!$H$2:$H$125,0)),0)</f>
        <v/>
      </c>
      <c r="I79" s="12">
        <f>IFERROR(INDEX('Custodian Statement'!$E$2:$E$125,MATCH(E79,'Custodian Statement'!$H$2:$H$125,0)),0)</f>
        <v/>
      </c>
      <c r="J79" s="13">
        <f>IFERROR(INDEX('Custodian Statement'!$F$2:$F$125,MATCH(E79,'Custodian Statement'!$H$2:$H$125,0)),0)</f>
        <v/>
      </c>
      <c r="K79" s="11">
        <f>IFERROR(INDEX('Custodian Statement'!$G$2:$G$125,MATCH(E79,'Custodian Statement'!$H$2:$H$125,0)),0)</f>
        <v/>
      </c>
      <c r="L79" s="12">
        <f>F79-I79</f>
        <v/>
      </c>
      <c r="M79" s="11">
        <f>H79-K79</f>
        <v/>
      </c>
      <c r="N79" s="12">
        <f>IFERROR((G79-J79)/J79*10000,0)</f>
        <v/>
      </c>
      <c r="O79" s="6">
        <f>COUNTIF('Internal Book'!$H$2:$H$125,E79)</f>
        <v/>
      </c>
      <c r="P79" s="6">
        <f>COUNTIF('Custodian Statement'!$H$2:$H$125,E79)</f>
        <v/>
      </c>
      <c r="Q79" s="6">
        <f>IF(O79=0,"MISSING IN INTERNAL",IF(P79=0,"MISSING IN CUSTODIAN",IF(AND(D79="Cash",ABS(M79)&gt;Parameters!$B$4),"CASH BREAK",IF(L79&lt;&gt;0,"QUANTITY BREAK",IF(ABS(N79)&gt;Parameters!$B$3,"PRICE BREAK",IF(ABS(M79)&gt;Parameters!$B$4,"MV BREAK","MATCHED"))))))</f>
        <v/>
      </c>
      <c r="R79" s="14">
        <f>IFERROR(INDEX('Break Register'!$B$2:$B$10,MATCH(E79,'Break Register'!$A$2:$A$10,0)),"")</f>
        <v/>
      </c>
      <c r="S79" s="12">
        <f>IF(R79="","",Parameters!$B$2-R79)</f>
        <v/>
      </c>
      <c r="T79" s="6">
        <f>IF(S79="","",IF(S79&lt;=2,"0-2 days",IF(S79&lt;=5,"3-5 days",IF(S79&lt;=10,"6-10 days",IF(S79&lt;=30,"11-30 days","30+ days")))))</f>
        <v/>
      </c>
      <c r="U79" s="6">
        <f>IFERROR(INDEX('Break Register'!$C$2:$C$10,MATCH(E79,'Break Register'!$A$2:$A$10,0)),"")</f>
        <v/>
      </c>
      <c r="V79" s="11">
        <f>ABS(M79)</f>
        <v/>
      </c>
      <c r="W79" s="6">
        <f>IF(Q79="MATCHED",0,1)</f>
        <v/>
      </c>
    </row>
    <row r="80">
      <c r="A80" s="6" t="inlineStr">
        <is>
          <t>FIIG</t>
        </is>
      </c>
      <c r="B80" s="6" t="inlineStr">
        <is>
          <t>BD0051</t>
        </is>
      </c>
      <c r="C80" s="6" t="inlineStr">
        <is>
          <t>US Treasury 2.5% 2030</t>
        </is>
      </c>
      <c r="D80" s="6" t="inlineStr">
        <is>
          <t>Bond</t>
        </is>
      </c>
      <c r="E80" s="6">
        <f>A80&amp;"|"&amp;B80</f>
        <v/>
      </c>
      <c r="F80" s="12">
        <f>IFERROR(INDEX('Internal Book'!$E$2:$E$125,MATCH(E80,'Internal Book'!$H$2:$H$125,0)),0)</f>
        <v/>
      </c>
      <c r="G80" s="13">
        <f>IFERROR(INDEX('Internal Book'!$F$2:$F$125,MATCH(E80,'Internal Book'!$H$2:$H$125,0)),0)</f>
        <v/>
      </c>
      <c r="H80" s="11">
        <f>IFERROR(INDEX('Internal Book'!$G$2:$G$125,MATCH(E80,'Internal Book'!$H$2:$H$125,0)),0)</f>
        <v/>
      </c>
      <c r="I80" s="12">
        <f>IFERROR(INDEX('Custodian Statement'!$E$2:$E$125,MATCH(E80,'Custodian Statement'!$H$2:$H$125,0)),0)</f>
        <v/>
      </c>
      <c r="J80" s="13">
        <f>IFERROR(INDEX('Custodian Statement'!$F$2:$F$125,MATCH(E80,'Custodian Statement'!$H$2:$H$125,0)),0)</f>
        <v/>
      </c>
      <c r="K80" s="11">
        <f>IFERROR(INDEX('Custodian Statement'!$G$2:$G$125,MATCH(E80,'Custodian Statement'!$H$2:$H$125,0)),0)</f>
        <v/>
      </c>
      <c r="L80" s="12">
        <f>F80-I80</f>
        <v/>
      </c>
      <c r="M80" s="11">
        <f>H80-K80</f>
        <v/>
      </c>
      <c r="N80" s="12">
        <f>IFERROR((G80-J80)/J80*10000,0)</f>
        <v/>
      </c>
      <c r="O80" s="6">
        <f>COUNTIF('Internal Book'!$H$2:$H$125,E80)</f>
        <v/>
      </c>
      <c r="P80" s="6">
        <f>COUNTIF('Custodian Statement'!$H$2:$H$125,E80)</f>
        <v/>
      </c>
      <c r="Q80" s="6">
        <f>IF(O80=0,"MISSING IN INTERNAL",IF(P80=0,"MISSING IN CUSTODIAN",IF(AND(D80="Cash",ABS(M80)&gt;Parameters!$B$4),"CASH BREAK",IF(L80&lt;&gt;0,"QUANTITY BREAK",IF(ABS(N80)&gt;Parameters!$B$3,"PRICE BREAK",IF(ABS(M80)&gt;Parameters!$B$4,"MV BREAK","MATCHED"))))))</f>
        <v/>
      </c>
      <c r="R80" s="14">
        <f>IFERROR(INDEX('Break Register'!$B$2:$B$10,MATCH(E80,'Break Register'!$A$2:$A$10,0)),"")</f>
        <v/>
      </c>
      <c r="S80" s="12">
        <f>IF(R80="","",Parameters!$B$2-R80)</f>
        <v/>
      </c>
      <c r="T80" s="6">
        <f>IF(S80="","",IF(S80&lt;=2,"0-2 days",IF(S80&lt;=5,"3-5 days",IF(S80&lt;=10,"6-10 days",IF(S80&lt;=30,"11-30 days","30+ days")))))</f>
        <v/>
      </c>
      <c r="U80" s="6">
        <f>IFERROR(INDEX('Break Register'!$C$2:$C$10,MATCH(E80,'Break Register'!$A$2:$A$10,0)),"")</f>
        <v/>
      </c>
      <c r="V80" s="11">
        <f>ABS(M80)</f>
        <v/>
      </c>
      <c r="W80" s="6">
        <f>IF(Q80="MATCHED",0,1)</f>
        <v/>
      </c>
    </row>
    <row r="81">
      <c r="A81" s="6" t="inlineStr">
        <is>
          <t>FIIG</t>
        </is>
      </c>
      <c r="B81" s="6" t="inlineStr">
        <is>
          <t>BD0052</t>
        </is>
      </c>
      <c r="C81" s="6" t="inlineStr">
        <is>
          <t>US Treasury 3.0% 2033</t>
        </is>
      </c>
      <c r="D81" s="6" t="inlineStr">
        <is>
          <t>Bond</t>
        </is>
      </c>
      <c r="E81" s="6">
        <f>A81&amp;"|"&amp;B81</f>
        <v/>
      </c>
      <c r="F81" s="12">
        <f>IFERROR(INDEX('Internal Book'!$E$2:$E$125,MATCH(E81,'Internal Book'!$H$2:$H$125,0)),0)</f>
        <v/>
      </c>
      <c r="G81" s="13">
        <f>IFERROR(INDEX('Internal Book'!$F$2:$F$125,MATCH(E81,'Internal Book'!$H$2:$H$125,0)),0)</f>
        <v/>
      </c>
      <c r="H81" s="11">
        <f>IFERROR(INDEX('Internal Book'!$G$2:$G$125,MATCH(E81,'Internal Book'!$H$2:$H$125,0)),0)</f>
        <v/>
      </c>
      <c r="I81" s="12">
        <f>IFERROR(INDEX('Custodian Statement'!$E$2:$E$125,MATCH(E81,'Custodian Statement'!$H$2:$H$125,0)),0)</f>
        <v/>
      </c>
      <c r="J81" s="13">
        <f>IFERROR(INDEX('Custodian Statement'!$F$2:$F$125,MATCH(E81,'Custodian Statement'!$H$2:$H$125,0)),0)</f>
        <v/>
      </c>
      <c r="K81" s="11">
        <f>IFERROR(INDEX('Custodian Statement'!$G$2:$G$125,MATCH(E81,'Custodian Statement'!$H$2:$H$125,0)),0)</f>
        <v/>
      </c>
      <c r="L81" s="12">
        <f>F81-I81</f>
        <v/>
      </c>
      <c r="M81" s="11">
        <f>H81-K81</f>
        <v/>
      </c>
      <c r="N81" s="12">
        <f>IFERROR((G81-J81)/J81*10000,0)</f>
        <v/>
      </c>
      <c r="O81" s="6">
        <f>COUNTIF('Internal Book'!$H$2:$H$125,E81)</f>
        <v/>
      </c>
      <c r="P81" s="6">
        <f>COUNTIF('Custodian Statement'!$H$2:$H$125,E81)</f>
        <v/>
      </c>
      <c r="Q81" s="6">
        <f>IF(O81=0,"MISSING IN INTERNAL",IF(P81=0,"MISSING IN CUSTODIAN",IF(AND(D81="Cash",ABS(M81)&gt;Parameters!$B$4),"CASH BREAK",IF(L81&lt;&gt;0,"QUANTITY BREAK",IF(ABS(N81)&gt;Parameters!$B$3,"PRICE BREAK",IF(ABS(M81)&gt;Parameters!$B$4,"MV BREAK","MATCHED"))))))</f>
        <v/>
      </c>
      <c r="R81" s="14">
        <f>IFERROR(INDEX('Break Register'!$B$2:$B$10,MATCH(E81,'Break Register'!$A$2:$A$10,0)),"")</f>
        <v/>
      </c>
      <c r="S81" s="12">
        <f>IF(R81="","",Parameters!$B$2-R81)</f>
        <v/>
      </c>
      <c r="T81" s="6">
        <f>IF(S81="","",IF(S81&lt;=2,"0-2 days",IF(S81&lt;=5,"3-5 days",IF(S81&lt;=10,"6-10 days",IF(S81&lt;=30,"11-30 days","30+ days")))))</f>
        <v/>
      </c>
      <c r="U81" s="6">
        <f>IFERROR(INDEX('Break Register'!$C$2:$C$10,MATCH(E81,'Break Register'!$A$2:$A$10,0)),"")</f>
        <v/>
      </c>
      <c r="V81" s="11">
        <f>ABS(M81)</f>
        <v/>
      </c>
      <c r="W81" s="6">
        <f>IF(Q81="MATCHED",0,1)</f>
        <v/>
      </c>
    </row>
    <row r="82">
      <c r="A82" s="6" t="inlineStr">
        <is>
          <t>FIIG</t>
        </is>
      </c>
      <c r="B82" s="6" t="inlineStr">
        <is>
          <t>BD0053</t>
        </is>
      </c>
      <c r="C82" s="6" t="inlineStr">
        <is>
          <t>Bund 1.5% 2031</t>
        </is>
      </c>
      <c r="D82" s="6" t="inlineStr">
        <is>
          <t>Bond</t>
        </is>
      </c>
      <c r="E82" s="6">
        <f>A82&amp;"|"&amp;B82</f>
        <v/>
      </c>
      <c r="F82" s="12">
        <f>IFERROR(INDEX('Internal Book'!$E$2:$E$125,MATCH(E82,'Internal Book'!$H$2:$H$125,0)),0)</f>
        <v/>
      </c>
      <c r="G82" s="13">
        <f>IFERROR(INDEX('Internal Book'!$F$2:$F$125,MATCH(E82,'Internal Book'!$H$2:$H$125,0)),0)</f>
        <v/>
      </c>
      <c r="H82" s="11">
        <f>IFERROR(INDEX('Internal Book'!$G$2:$G$125,MATCH(E82,'Internal Book'!$H$2:$H$125,0)),0)</f>
        <v/>
      </c>
      <c r="I82" s="12">
        <f>IFERROR(INDEX('Custodian Statement'!$E$2:$E$125,MATCH(E82,'Custodian Statement'!$H$2:$H$125,0)),0)</f>
        <v/>
      </c>
      <c r="J82" s="13">
        <f>IFERROR(INDEX('Custodian Statement'!$F$2:$F$125,MATCH(E82,'Custodian Statement'!$H$2:$H$125,0)),0)</f>
        <v/>
      </c>
      <c r="K82" s="11">
        <f>IFERROR(INDEX('Custodian Statement'!$G$2:$G$125,MATCH(E82,'Custodian Statement'!$H$2:$H$125,0)),0)</f>
        <v/>
      </c>
      <c r="L82" s="12">
        <f>F82-I82</f>
        <v/>
      </c>
      <c r="M82" s="11">
        <f>H82-K82</f>
        <v/>
      </c>
      <c r="N82" s="12">
        <f>IFERROR((G82-J82)/J82*10000,0)</f>
        <v/>
      </c>
      <c r="O82" s="6">
        <f>COUNTIF('Internal Book'!$H$2:$H$125,E82)</f>
        <v/>
      </c>
      <c r="P82" s="6">
        <f>COUNTIF('Custodian Statement'!$H$2:$H$125,E82)</f>
        <v/>
      </c>
      <c r="Q82" s="6">
        <f>IF(O82=0,"MISSING IN INTERNAL",IF(P82=0,"MISSING IN CUSTODIAN",IF(AND(D82="Cash",ABS(M82)&gt;Parameters!$B$4),"CASH BREAK",IF(L82&lt;&gt;0,"QUANTITY BREAK",IF(ABS(N82)&gt;Parameters!$B$3,"PRICE BREAK",IF(ABS(M82)&gt;Parameters!$B$4,"MV BREAK","MATCHED"))))))</f>
        <v/>
      </c>
      <c r="R82" s="14">
        <f>IFERROR(INDEX('Break Register'!$B$2:$B$10,MATCH(E82,'Break Register'!$A$2:$A$10,0)),"")</f>
        <v/>
      </c>
      <c r="S82" s="12">
        <f>IF(R82="","",Parameters!$B$2-R82)</f>
        <v/>
      </c>
      <c r="T82" s="6">
        <f>IF(S82="","",IF(S82&lt;=2,"0-2 days",IF(S82&lt;=5,"3-5 days",IF(S82&lt;=10,"6-10 days",IF(S82&lt;=30,"11-30 days","30+ days")))))</f>
        <v/>
      </c>
      <c r="U82" s="6">
        <f>IFERROR(INDEX('Break Register'!$C$2:$C$10,MATCH(E82,'Break Register'!$A$2:$A$10,0)),"")</f>
        <v/>
      </c>
      <c r="V82" s="11">
        <f>ABS(M82)</f>
        <v/>
      </c>
      <c r="W82" s="6">
        <f>IF(Q82="MATCHED",0,1)</f>
        <v/>
      </c>
    </row>
    <row r="83">
      <c r="A83" s="6" t="inlineStr">
        <is>
          <t>FIIG</t>
        </is>
      </c>
      <c r="B83" s="6" t="inlineStr">
        <is>
          <t>BD0054</t>
        </is>
      </c>
      <c r="C83" s="6" t="inlineStr">
        <is>
          <t>UK Gilt 4.25% 2032</t>
        </is>
      </c>
      <c r="D83" s="6" t="inlineStr">
        <is>
          <t>Bond</t>
        </is>
      </c>
      <c r="E83" s="6">
        <f>A83&amp;"|"&amp;B83</f>
        <v/>
      </c>
      <c r="F83" s="12">
        <f>IFERROR(INDEX('Internal Book'!$E$2:$E$125,MATCH(E83,'Internal Book'!$H$2:$H$125,0)),0)</f>
        <v/>
      </c>
      <c r="G83" s="13">
        <f>IFERROR(INDEX('Internal Book'!$F$2:$F$125,MATCH(E83,'Internal Book'!$H$2:$H$125,0)),0)</f>
        <v/>
      </c>
      <c r="H83" s="11">
        <f>IFERROR(INDEX('Internal Book'!$G$2:$G$125,MATCH(E83,'Internal Book'!$H$2:$H$125,0)),0)</f>
        <v/>
      </c>
      <c r="I83" s="12">
        <f>IFERROR(INDEX('Custodian Statement'!$E$2:$E$125,MATCH(E83,'Custodian Statement'!$H$2:$H$125,0)),0)</f>
        <v/>
      </c>
      <c r="J83" s="13">
        <f>IFERROR(INDEX('Custodian Statement'!$F$2:$F$125,MATCH(E83,'Custodian Statement'!$H$2:$H$125,0)),0)</f>
        <v/>
      </c>
      <c r="K83" s="11">
        <f>IFERROR(INDEX('Custodian Statement'!$G$2:$G$125,MATCH(E83,'Custodian Statement'!$H$2:$H$125,0)),0)</f>
        <v/>
      </c>
      <c r="L83" s="12">
        <f>F83-I83</f>
        <v/>
      </c>
      <c r="M83" s="11">
        <f>H83-K83</f>
        <v/>
      </c>
      <c r="N83" s="12">
        <f>IFERROR((G83-J83)/J83*10000,0)</f>
        <v/>
      </c>
      <c r="O83" s="6">
        <f>COUNTIF('Internal Book'!$H$2:$H$125,E83)</f>
        <v/>
      </c>
      <c r="P83" s="6">
        <f>COUNTIF('Custodian Statement'!$H$2:$H$125,E83)</f>
        <v/>
      </c>
      <c r="Q83" s="6">
        <f>IF(O83=0,"MISSING IN INTERNAL",IF(P83=0,"MISSING IN CUSTODIAN",IF(AND(D83="Cash",ABS(M83)&gt;Parameters!$B$4),"CASH BREAK",IF(L83&lt;&gt;0,"QUANTITY BREAK",IF(ABS(N83)&gt;Parameters!$B$3,"PRICE BREAK",IF(ABS(M83)&gt;Parameters!$B$4,"MV BREAK","MATCHED"))))))</f>
        <v/>
      </c>
      <c r="R83" s="14">
        <f>IFERROR(INDEX('Break Register'!$B$2:$B$10,MATCH(E83,'Break Register'!$A$2:$A$10,0)),"")</f>
        <v/>
      </c>
      <c r="S83" s="12">
        <f>IF(R83="","",Parameters!$B$2-R83)</f>
        <v/>
      </c>
      <c r="T83" s="6">
        <f>IF(S83="","",IF(S83&lt;=2,"0-2 days",IF(S83&lt;=5,"3-5 days",IF(S83&lt;=10,"6-10 days",IF(S83&lt;=30,"11-30 days","30+ days")))))</f>
        <v/>
      </c>
      <c r="U83" s="6">
        <f>IFERROR(INDEX('Break Register'!$C$2:$C$10,MATCH(E83,'Break Register'!$A$2:$A$10,0)),"")</f>
        <v/>
      </c>
      <c r="V83" s="11">
        <f>ABS(M83)</f>
        <v/>
      </c>
      <c r="W83" s="6">
        <f>IF(Q83="MATCHED",0,1)</f>
        <v/>
      </c>
    </row>
    <row r="84">
      <c r="A84" s="6" t="inlineStr">
        <is>
          <t>FIIG</t>
        </is>
      </c>
      <c r="B84" s="6" t="inlineStr">
        <is>
          <t>BD0055</t>
        </is>
      </c>
      <c r="C84" s="6" t="inlineStr">
        <is>
          <t>Apple 3.35% 2029</t>
        </is>
      </c>
      <c r="D84" s="6" t="inlineStr">
        <is>
          <t>Bond</t>
        </is>
      </c>
      <c r="E84" s="6">
        <f>A84&amp;"|"&amp;B84</f>
        <v/>
      </c>
      <c r="F84" s="12">
        <f>IFERROR(INDEX('Internal Book'!$E$2:$E$125,MATCH(E84,'Internal Book'!$H$2:$H$125,0)),0)</f>
        <v/>
      </c>
      <c r="G84" s="13">
        <f>IFERROR(INDEX('Internal Book'!$F$2:$F$125,MATCH(E84,'Internal Book'!$H$2:$H$125,0)),0)</f>
        <v/>
      </c>
      <c r="H84" s="11">
        <f>IFERROR(INDEX('Internal Book'!$G$2:$G$125,MATCH(E84,'Internal Book'!$H$2:$H$125,0)),0)</f>
        <v/>
      </c>
      <c r="I84" s="12">
        <f>IFERROR(INDEX('Custodian Statement'!$E$2:$E$125,MATCH(E84,'Custodian Statement'!$H$2:$H$125,0)),0)</f>
        <v/>
      </c>
      <c r="J84" s="13">
        <f>IFERROR(INDEX('Custodian Statement'!$F$2:$F$125,MATCH(E84,'Custodian Statement'!$H$2:$H$125,0)),0)</f>
        <v/>
      </c>
      <c r="K84" s="11">
        <f>IFERROR(INDEX('Custodian Statement'!$G$2:$G$125,MATCH(E84,'Custodian Statement'!$H$2:$H$125,0)),0)</f>
        <v/>
      </c>
      <c r="L84" s="12">
        <f>F84-I84</f>
        <v/>
      </c>
      <c r="M84" s="11">
        <f>H84-K84</f>
        <v/>
      </c>
      <c r="N84" s="12">
        <f>IFERROR((G84-J84)/J84*10000,0)</f>
        <v/>
      </c>
      <c r="O84" s="6">
        <f>COUNTIF('Internal Book'!$H$2:$H$125,E84)</f>
        <v/>
      </c>
      <c r="P84" s="6">
        <f>COUNTIF('Custodian Statement'!$H$2:$H$125,E84)</f>
        <v/>
      </c>
      <c r="Q84" s="6">
        <f>IF(O84=0,"MISSING IN INTERNAL",IF(P84=0,"MISSING IN CUSTODIAN",IF(AND(D84="Cash",ABS(M84)&gt;Parameters!$B$4),"CASH BREAK",IF(L84&lt;&gt;0,"QUANTITY BREAK",IF(ABS(N84)&gt;Parameters!$B$3,"PRICE BREAK",IF(ABS(M84)&gt;Parameters!$B$4,"MV BREAK","MATCHED"))))))</f>
        <v/>
      </c>
      <c r="R84" s="14">
        <f>IFERROR(INDEX('Break Register'!$B$2:$B$10,MATCH(E84,'Break Register'!$A$2:$A$10,0)),"")</f>
        <v/>
      </c>
      <c r="S84" s="12">
        <f>IF(R84="","",Parameters!$B$2-R84)</f>
        <v/>
      </c>
      <c r="T84" s="6">
        <f>IF(S84="","",IF(S84&lt;=2,"0-2 days",IF(S84&lt;=5,"3-5 days",IF(S84&lt;=10,"6-10 days",IF(S84&lt;=30,"11-30 days","30+ days")))))</f>
        <v/>
      </c>
      <c r="U84" s="6">
        <f>IFERROR(INDEX('Break Register'!$C$2:$C$10,MATCH(E84,'Break Register'!$A$2:$A$10,0)),"")</f>
        <v/>
      </c>
      <c r="V84" s="11">
        <f>ABS(M84)</f>
        <v/>
      </c>
      <c r="W84" s="6">
        <f>IF(Q84="MATCHED",0,1)</f>
        <v/>
      </c>
    </row>
    <row r="85">
      <c r="A85" s="6" t="inlineStr">
        <is>
          <t>FIIG</t>
        </is>
      </c>
      <c r="B85" s="6" t="inlineStr">
        <is>
          <t>BD0056</t>
        </is>
      </c>
      <c r="C85" s="6" t="inlineStr">
        <is>
          <t>Microsoft 2.9% 2030</t>
        </is>
      </c>
      <c r="D85" s="6" t="inlineStr">
        <is>
          <t>Bond</t>
        </is>
      </c>
      <c r="E85" s="6">
        <f>A85&amp;"|"&amp;B85</f>
        <v/>
      </c>
      <c r="F85" s="12">
        <f>IFERROR(INDEX('Internal Book'!$E$2:$E$125,MATCH(E85,'Internal Book'!$H$2:$H$125,0)),0)</f>
        <v/>
      </c>
      <c r="G85" s="13">
        <f>IFERROR(INDEX('Internal Book'!$F$2:$F$125,MATCH(E85,'Internal Book'!$H$2:$H$125,0)),0)</f>
        <v/>
      </c>
      <c r="H85" s="11">
        <f>IFERROR(INDEX('Internal Book'!$G$2:$G$125,MATCH(E85,'Internal Book'!$H$2:$H$125,0)),0)</f>
        <v/>
      </c>
      <c r="I85" s="12">
        <f>IFERROR(INDEX('Custodian Statement'!$E$2:$E$125,MATCH(E85,'Custodian Statement'!$H$2:$H$125,0)),0)</f>
        <v/>
      </c>
      <c r="J85" s="13">
        <f>IFERROR(INDEX('Custodian Statement'!$F$2:$F$125,MATCH(E85,'Custodian Statement'!$H$2:$H$125,0)),0)</f>
        <v/>
      </c>
      <c r="K85" s="11">
        <f>IFERROR(INDEX('Custodian Statement'!$G$2:$G$125,MATCH(E85,'Custodian Statement'!$H$2:$H$125,0)),0)</f>
        <v/>
      </c>
      <c r="L85" s="12">
        <f>F85-I85</f>
        <v/>
      </c>
      <c r="M85" s="11">
        <f>H85-K85</f>
        <v/>
      </c>
      <c r="N85" s="12">
        <f>IFERROR((G85-J85)/J85*10000,0)</f>
        <v/>
      </c>
      <c r="O85" s="6">
        <f>COUNTIF('Internal Book'!$H$2:$H$125,E85)</f>
        <v/>
      </c>
      <c r="P85" s="6">
        <f>COUNTIF('Custodian Statement'!$H$2:$H$125,E85)</f>
        <v/>
      </c>
      <c r="Q85" s="6">
        <f>IF(O85=0,"MISSING IN INTERNAL",IF(P85=0,"MISSING IN CUSTODIAN",IF(AND(D85="Cash",ABS(M85)&gt;Parameters!$B$4),"CASH BREAK",IF(L85&lt;&gt;0,"QUANTITY BREAK",IF(ABS(N85)&gt;Parameters!$B$3,"PRICE BREAK",IF(ABS(M85)&gt;Parameters!$B$4,"MV BREAK","MATCHED"))))))</f>
        <v/>
      </c>
      <c r="R85" s="14">
        <f>IFERROR(INDEX('Break Register'!$B$2:$B$10,MATCH(E85,'Break Register'!$A$2:$A$10,0)),"")</f>
        <v/>
      </c>
      <c r="S85" s="12">
        <f>IF(R85="","",Parameters!$B$2-R85)</f>
        <v/>
      </c>
      <c r="T85" s="6">
        <f>IF(S85="","",IF(S85&lt;=2,"0-2 days",IF(S85&lt;=5,"3-5 days",IF(S85&lt;=10,"6-10 days",IF(S85&lt;=30,"11-30 days","30+ days")))))</f>
        <v/>
      </c>
      <c r="U85" s="6">
        <f>IFERROR(INDEX('Break Register'!$C$2:$C$10,MATCH(E85,'Break Register'!$A$2:$A$10,0)),"")</f>
        <v/>
      </c>
      <c r="V85" s="11">
        <f>ABS(M85)</f>
        <v/>
      </c>
      <c r="W85" s="6">
        <f>IF(Q85="MATCHED",0,1)</f>
        <v/>
      </c>
    </row>
    <row r="86">
      <c r="A86" s="6" t="inlineStr">
        <is>
          <t>FIIG</t>
        </is>
      </c>
      <c r="B86" s="6" t="inlineStr">
        <is>
          <t>BD0057</t>
        </is>
      </c>
      <c r="C86" s="6" t="inlineStr">
        <is>
          <t>Shell 2.5% 2028</t>
        </is>
      </c>
      <c r="D86" s="6" t="inlineStr">
        <is>
          <t>Bond</t>
        </is>
      </c>
      <c r="E86" s="6">
        <f>A86&amp;"|"&amp;B86</f>
        <v/>
      </c>
      <c r="F86" s="12">
        <f>IFERROR(INDEX('Internal Book'!$E$2:$E$125,MATCH(E86,'Internal Book'!$H$2:$H$125,0)),0)</f>
        <v/>
      </c>
      <c r="G86" s="13">
        <f>IFERROR(INDEX('Internal Book'!$F$2:$F$125,MATCH(E86,'Internal Book'!$H$2:$H$125,0)),0)</f>
        <v/>
      </c>
      <c r="H86" s="11">
        <f>IFERROR(INDEX('Internal Book'!$G$2:$G$125,MATCH(E86,'Internal Book'!$H$2:$H$125,0)),0)</f>
        <v/>
      </c>
      <c r="I86" s="12">
        <f>IFERROR(INDEX('Custodian Statement'!$E$2:$E$125,MATCH(E86,'Custodian Statement'!$H$2:$H$125,0)),0)</f>
        <v/>
      </c>
      <c r="J86" s="13">
        <f>IFERROR(INDEX('Custodian Statement'!$F$2:$F$125,MATCH(E86,'Custodian Statement'!$H$2:$H$125,0)),0)</f>
        <v/>
      </c>
      <c r="K86" s="11">
        <f>IFERROR(INDEX('Custodian Statement'!$G$2:$G$125,MATCH(E86,'Custodian Statement'!$H$2:$H$125,0)),0)</f>
        <v/>
      </c>
      <c r="L86" s="12">
        <f>F86-I86</f>
        <v/>
      </c>
      <c r="M86" s="11">
        <f>H86-K86</f>
        <v/>
      </c>
      <c r="N86" s="12">
        <f>IFERROR((G86-J86)/J86*10000,0)</f>
        <v/>
      </c>
      <c r="O86" s="6">
        <f>COUNTIF('Internal Book'!$H$2:$H$125,E86)</f>
        <v/>
      </c>
      <c r="P86" s="6">
        <f>COUNTIF('Custodian Statement'!$H$2:$H$125,E86)</f>
        <v/>
      </c>
      <c r="Q86" s="6">
        <f>IF(O86=0,"MISSING IN INTERNAL",IF(P86=0,"MISSING IN CUSTODIAN",IF(AND(D86="Cash",ABS(M86)&gt;Parameters!$B$4),"CASH BREAK",IF(L86&lt;&gt;0,"QUANTITY BREAK",IF(ABS(N86)&gt;Parameters!$B$3,"PRICE BREAK",IF(ABS(M86)&gt;Parameters!$B$4,"MV BREAK","MATCHED"))))))</f>
        <v/>
      </c>
      <c r="R86" s="14">
        <f>IFERROR(INDEX('Break Register'!$B$2:$B$10,MATCH(E86,'Break Register'!$A$2:$A$10,0)),"")</f>
        <v/>
      </c>
      <c r="S86" s="12">
        <f>IF(R86="","",Parameters!$B$2-R86)</f>
        <v/>
      </c>
      <c r="T86" s="6">
        <f>IF(S86="","",IF(S86&lt;=2,"0-2 days",IF(S86&lt;=5,"3-5 days",IF(S86&lt;=10,"6-10 days",IF(S86&lt;=30,"11-30 days","30+ days")))))</f>
        <v/>
      </c>
      <c r="U86" s="6">
        <f>IFERROR(INDEX('Break Register'!$C$2:$C$10,MATCH(E86,'Break Register'!$A$2:$A$10,0)),"")</f>
        <v/>
      </c>
      <c r="V86" s="11">
        <f>ABS(M86)</f>
        <v/>
      </c>
      <c r="W86" s="6">
        <f>IF(Q86="MATCHED",0,1)</f>
        <v/>
      </c>
    </row>
    <row r="87">
      <c r="A87" s="6" t="inlineStr">
        <is>
          <t>FIIG</t>
        </is>
      </c>
      <c r="B87" s="6" t="inlineStr">
        <is>
          <t>BD0058</t>
        </is>
      </c>
      <c r="C87" s="6" t="inlineStr">
        <is>
          <t>JPM 4.0% 2031</t>
        </is>
      </c>
      <c r="D87" s="6" t="inlineStr">
        <is>
          <t>Bond</t>
        </is>
      </c>
      <c r="E87" s="6">
        <f>A87&amp;"|"&amp;B87</f>
        <v/>
      </c>
      <c r="F87" s="12">
        <f>IFERROR(INDEX('Internal Book'!$E$2:$E$125,MATCH(E87,'Internal Book'!$H$2:$H$125,0)),0)</f>
        <v/>
      </c>
      <c r="G87" s="13">
        <f>IFERROR(INDEX('Internal Book'!$F$2:$F$125,MATCH(E87,'Internal Book'!$H$2:$H$125,0)),0)</f>
        <v/>
      </c>
      <c r="H87" s="11">
        <f>IFERROR(INDEX('Internal Book'!$G$2:$G$125,MATCH(E87,'Internal Book'!$H$2:$H$125,0)),0)</f>
        <v/>
      </c>
      <c r="I87" s="12">
        <f>IFERROR(INDEX('Custodian Statement'!$E$2:$E$125,MATCH(E87,'Custodian Statement'!$H$2:$H$125,0)),0)</f>
        <v/>
      </c>
      <c r="J87" s="13">
        <f>IFERROR(INDEX('Custodian Statement'!$F$2:$F$125,MATCH(E87,'Custodian Statement'!$H$2:$H$125,0)),0)</f>
        <v/>
      </c>
      <c r="K87" s="11">
        <f>IFERROR(INDEX('Custodian Statement'!$G$2:$G$125,MATCH(E87,'Custodian Statement'!$H$2:$H$125,0)),0)</f>
        <v/>
      </c>
      <c r="L87" s="12">
        <f>F87-I87</f>
        <v/>
      </c>
      <c r="M87" s="11">
        <f>H87-K87</f>
        <v/>
      </c>
      <c r="N87" s="12">
        <f>IFERROR((G87-J87)/J87*10000,0)</f>
        <v/>
      </c>
      <c r="O87" s="6">
        <f>COUNTIF('Internal Book'!$H$2:$H$125,E87)</f>
        <v/>
      </c>
      <c r="P87" s="6">
        <f>COUNTIF('Custodian Statement'!$H$2:$H$125,E87)</f>
        <v/>
      </c>
      <c r="Q87" s="6">
        <f>IF(O87=0,"MISSING IN INTERNAL",IF(P87=0,"MISSING IN CUSTODIAN",IF(AND(D87="Cash",ABS(M87)&gt;Parameters!$B$4),"CASH BREAK",IF(L87&lt;&gt;0,"QUANTITY BREAK",IF(ABS(N87)&gt;Parameters!$B$3,"PRICE BREAK",IF(ABS(M87)&gt;Parameters!$B$4,"MV BREAK","MATCHED"))))))</f>
        <v/>
      </c>
      <c r="R87" s="14">
        <f>IFERROR(INDEX('Break Register'!$B$2:$B$10,MATCH(E87,'Break Register'!$A$2:$A$10,0)),"")</f>
        <v/>
      </c>
      <c r="S87" s="12">
        <f>IF(R87="","",Parameters!$B$2-R87)</f>
        <v/>
      </c>
      <c r="T87" s="6">
        <f>IF(S87="","",IF(S87&lt;=2,"0-2 days",IF(S87&lt;=5,"3-5 days",IF(S87&lt;=10,"6-10 days",IF(S87&lt;=30,"11-30 days","30+ days")))))</f>
        <v/>
      </c>
      <c r="U87" s="6">
        <f>IFERROR(INDEX('Break Register'!$C$2:$C$10,MATCH(E87,'Break Register'!$A$2:$A$10,0)),"")</f>
        <v/>
      </c>
      <c r="V87" s="11">
        <f>ABS(M87)</f>
        <v/>
      </c>
      <c r="W87" s="6">
        <f>IF(Q87="MATCHED",0,1)</f>
        <v/>
      </c>
    </row>
    <row r="88">
      <c r="A88" s="6" t="inlineStr">
        <is>
          <t>FIIG</t>
        </is>
      </c>
      <c r="B88" s="6" t="inlineStr">
        <is>
          <t>BD0059</t>
        </is>
      </c>
      <c r="C88" s="6" t="inlineStr">
        <is>
          <t>Toyota 2.1% 2027</t>
        </is>
      </c>
      <c r="D88" s="6" t="inlineStr">
        <is>
          <t>Bond</t>
        </is>
      </c>
      <c r="E88" s="6">
        <f>A88&amp;"|"&amp;B88</f>
        <v/>
      </c>
      <c r="F88" s="12">
        <f>IFERROR(INDEX('Internal Book'!$E$2:$E$125,MATCH(E88,'Internal Book'!$H$2:$H$125,0)),0)</f>
        <v/>
      </c>
      <c r="G88" s="13">
        <f>IFERROR(INDEX('Internal Book'!$F$2:$F$125,MATCH(E88,'Internal Book'!$H$2:$H$125,0)),0)</f>
        <v/>
      </c>
      <c r="H88" s="11">
        <f>IFERROR(INDEX('Internal Book'!$G$2:$G$125,MATCH(E88,'Internal Book'!$H$2:$H$125,0)),0)</f>
        <v/>
      </c>
      <c r="I88" s="12">
        <f>IFERROR(INDEX('Custodian Statement'!$E$2:$E$125,MATCH(E88,'Custodian Statement'!$H$2:$H$125,0)),0)</f>
        <v/>
      </c>
      <c r="J88" s="13">
        <f>IFERROR(INDEX('Custodian Statement'!$F$2:$F$125,MATCH(E88,'Custodian Statement'!$H$2:$H$125,0)),0)</f>
        <v/>
      </c>
      <c r="K88" s="11">
        <f>IFERROR(INDEX('Custodian Statement'!$G$2:$G$125,MATCH(E88,'Custodian Statement'!$H$2:$H$125,0)),0)</f>
        <v/>
      </c>
      <c r="L88" s="12">
        <f>F88-I88</f>
        <v/>
      </c>
      <c r="M88" s="11">
        <f>H88-K88</f>
        <v/>
      </c>
      <c r="N88" s="12">
        <f>IFERROR((G88-J88)/J88*10000,0)</f>
        <v/>
      </c>
      <c r="O88" s="6">
        <f>COUNTIF('Internal Book'!$H$2:$H$125,E88)</f>
        <v/>
      </c>
      <c r="P88" s="6">
        <f>COUNTIF('Custodian Statement'!$H$2:$H$125,E88)</f>
        <v/>
      </c>
      <c r="Q88" s="6">
        <f>IF(O88=0,"MISSING IN INTERNAL",IF(P88=0,"MISSING IN CUSTODIAN",IF(AND(D88="Cash",ABS(M88)&gt;Parameters!$B$4),"CASH BREAK",IF(L88&lt;&gt;0,"QUANTITY BREAK",IF(ABS(N88)&gt;Parameters!$B$3,"PRICE BREAK",IF(ABS(M88)&gt;Parameters!$B$4,"MV BREAK","MATCHED"))))))</f>
        <v/>
      </c>
      <c r="R88" s="14">
        <f>IFERROR(INDEX('Break Register'!$B$2:$B$10,MATCH(E88,'Break Register'!$A$2:$A$10,0)),"")</f>
        <v/>
      </c>
      <c r="S88" s="12">
        <f>IF(R88="","",Parameters!$B$2-R88)</f>
        <v/>
      </c>
      <c r="T88" s="6">
        <f>IF(S88="","",IF(S88&lt;=2,"0-2 days",IF(S88&lt;=5,"3-5 days",IF(S88&lt;=10,"6-10 days",IF(S88&lt;=30,"11-30 days","30+ days")))))</f>
        <v/>
      </c>
      <c r="U88" s="6">
        <f>IFERROR(INDEX('Break Register'!$C$2:$C$10,MATCH(E88,'Break Register'!$A$2:$A$10,0)),"")</f>
        <v/>
      </c>
      <c r="V88" s="11">
        <f>ABS(M88)</f>
        <v/>
      </c>
      <c r="W88" s="6">
        <f>IF(Q88="MATCHED",0,1)</f>
        <v/>
      </c>
    </row>
    <row r="89">
      <c r="A89" s="6" t="inlineStr">
        <is>
          <t>FIIG</t>
        </is>
      </c>
      <c r="B89" s="6" t="inlineStr">
        <is>
          <t>BD0060</t>
        </is>
      </c>
      <c r="C89" s="6" t="inlineStr">
        <is>
          <t>France OAT 2.0% 2032</t>
        </is>
      </c>
      <c r="D89" s="6" t="inlineStr">
        <is>
          <t>Bond</t>
        </is>
      </c>
      <c r="E89" s="6">
        <f>A89&amp;"|"&amp;B89</f>
        <v/>
      </c>
      <c r="F89" s="12">
        <f>IFERROR(INDEX('Internal Book'!$E$2:$E$125,MATCH(E89,'Internal Book'!$H$2:$H$125,0)),0)</f>
        <v/>
      </c>
      <c r="G89" s="13">
        <f>IFERROR(INDEX('Internal Book'!$F$2:$F$125,MATCH(E89,'Internal Book'!$H$2:$H$125,0)),0)</f>
        <v/>
      </c>
      <c r="H89" s="11">
        <f>IFERROR(INDEX('Internal Book'!$G$2:$G$125,MATCH(E89,'Internal Book'!$H$2:$H$125,0)),0)</f>
        <v/>
      </c>
      <c r="I89" s="12">
        <f>IFERROR(INDEX('Custodian Statement'!$E$2:$E$125,MATCH(E89,'Custodian Statement'!$H$2:$H$125,0)),0)</f>
        <v/>
      </c>
      <c r="J89" s="13">
        <f>IFERROR(INDEX('Custodian Statement'!$F$2:$F$125,MATCH(E89,'Custodian Statement'!$H$2:$H$125,0)),0)</f>
        <v/>
      </c>
      <c r="K89" s="11">
        <f>IFERROR(INDEX('Custodian Statement'!$G$2:$G$125,MATCH(E89,'Custodian Statement'!$H$2:$H$125,0)),0)</f>
        <v/>
      </c>
      <c r="L89" s="12">
        <f>F89-I89</f>
        <v/>
      </c>
      <c r="M89" s="11">
        <f>H89-K89</f>
        <v/>
      </c>
      <c r="N89" s="12">
        <f>IFERROR((G89-J89)/J89*10000,0)</f>
        <v/>
      </c>
      <c r="O89" s="6">
        <f>COUNTIF('Internal Book'!$H$2:$H$125,E89)</f>
        <v/>
      </c>
      <c r="P89" s="6">
        <f>COUNTIF('Custodian Statement'!$H$2:$H$125,E89)</f>
        <v/>
      </c>
      <c r="Q89" s="6">
        <f>IF(O89=0,"MISSING IN INTERNAL",IF(P89=0,"MISSING IN CUSTODIAN",IF(AND(D89="Cash",ABS(M89)&gt;Parameters!$B$4),"CASH BREAK",IF(L89&lt;&gt;0,"QUANTITY BREAK",IF(ABS(N89)&gt;Parameters!$B$3,"PRICE BREAK",IF(ABS(M89)&gt;Parameters!$B$4,"MV BREAK","MATCHED"))))))</f>
        <v/>
      </c>
      <c r="R89" s="14">
        <f>IFERROR(INDEX('Break Register'!$B$2:$B$10,MATCH(E89,'Break Register'!$A$2:$A$10,0)),"")</f>
        <v/>
      </c>
      <c r="S89" s="12">
        <f>IF(R89="","",Parameters!$B$2-R89)</f>
        <v/>
      </c>
      <c r="T89" s="6">
        <f>IF(S89="","",IF(S89&lt;=2,"0-2 days",IF(S89&lt;=5,"3-5 days",IF(S89&lt;=10,"6-10 days",IF(S89&lt;=30,"11-30 days","30+ days")))))</f>
        <v/>
      </c>
      <c r="U89" s="6">
        <f>IFERROR(INDEX('Break Register'!$C$2:$C$10,MATCH(E89,'Break Register'!$A$2:$A$10,0)),"")</f>
        <v/>
      </c>
      <c r="V89" s="11">
        <f>ABS(M89)</f>
        <v/>
      </c>
      <c r="W89" s="6">
        <f>IF(Q89="MATCHED",0,1)</f>
        <v/>
      </c>
    </row>
    <row r="90">
      <c r="A90" s="6" t="inlineStr">
        <is>
          <t>FIIG</t>
        </is>
      </c>
      <c r="B90" s="6" t="inlineStr">
        <is>
          <t>BD0061</t>
        </is>
      </c>
      <c r="C90" s="6" t="inlineStr">
        <is>
          <t>Corporate Note Series 01</t>
        </is>
      </c>
      <c r="D90" s="6" t="inlineStr">
        <is>
          <t>Bond</t>
        </is>
      </c>
      <c r="E90" s="6">
        <f>A90&amp;"|"&amp;B90</f>
        <v/>
      </c>
      <c r="F90" s="12">
        <f>IFERROR(INDEX('Internal Book'!$E$2:$E$125,MATCH(E90,'Internal Book'!$H$2:$H$125,0)),0)</f>
        <v/>
      </c>
      <c r="G90" s="13">
        <f>IFERROR(INDEX('Internal Book'!$F$2:$F$125,MATCH(E90,'Internal Book'!$H$2:$H$125,0)),0)</f>
        <v/>
      </c>
      <c r="H90" s="11">
        <f>IFERROR(INDEX('Internal Book'!$G$2:$G$125,MATCH(E90,'Internal Book'!$H$2:$H$125,0)),0)</f>
        <v/>
      </c>
      <c r="I90" s="12">
        <f>IFERROR(INDEX('Custodian Statement'!$E$2:$E$125,MATCH(E90,'Custodian Statement'!$H$2:$H$125,0)),0)</f>
        <v/>
      </c>
      <c r="J90" s="13">
        <f>IFERROR(INDEX('Custodian Statement'!$F$2:$F$125,MATCH(E90,'Custodian Statement'!$H$2:$H$125,0)),0)</f>
        <v/>
      </c>
      <c r="K90" s="11">
        <f>IFERROR(INDEX('Custodian Statement'!$G$2:$G$125,MATCH(E90,'Custodian Statement'!$H$2:$H$125,0)),0)</f>
        <v/>
      </c>
      <c r="L90" s="12">
        <f>F90-I90</f>
        <v/>
      </c>
      <c r="M90" s="11">
        <f>H90-K90</f>
        <v/>
      </c>
      <c r="N90" s="12">
        <f>IFERROR((G90-J90)/J90*10000,0)</f>
        <v/>
      </c>
      <c r="O90" s="6">
        <f>COUNTIF('Internal Book'!$H$2:$H$125,E90)</f>
        <v/>
      </c>
      <c r="P90" s="6">
        <f>COUNTIF('Custodian Statement'!$H$2:$H$125,E90)</f>
        <v/>
      </c>
      <c r="Q90" s="6">
        <f>IF(O90=0,"MISSING IN INTERNAL",IF(P90=0,"MISSING IN CUSTODIAN",IF(AND(D90="Cash",ABS(M90)&gt;Parameters!$B$4),"CASH BREAK",IF(L90&lt;&gt;0,"QUANTITY BREAK",IF(ABS(N90)&gt;Parameters!$B$3,"PRICE BREAK",IF(ABS(M90)&gt;Parameters!$B$4,"MV BREAK","MATCHED"))))))</f>
        <v/>
      </c>
      <c r="R90" s="14">
        <f>IFERROR(INDEX('Break Register'!$B$2:$B$10,MATCH(E90,'Break Register'!$A$2:$A$10,0)),"")</f>
        <v/>
      </c>
      <c r="S90" s="12">
        <f>IF(R90="","",Parameters!$B$2-R90)</f>
        <v/>
      </c>
      <c r="T90" s="6">
        <f>IF(S90="","",IF(S90&lt;=2,"0-2 days",IF(S90&lt;=5,"3-5 days",IF(S90&lt;=10,"6-10 days",IF(S90&lt;=30,"11-30 days","30+ days")))))</f>
        <v/>
      </c>
      <c r="U90" s="6">
        <f>IFERROR(INDEX('Break Register'!$C$2:$C$10,MATCH(E90,'Break Register'!$A$2:$A$10,0)),"")</f>
        <v/>
      </c>
      <c r="V90" s="11">
        <f>ABS(M90)</f>
        <v/>
      </c>
      <c r="W90" s="6">
        <f>IF(Q90="MATCHED",0,1)</f>
        <v/>
      </c>
    </row>
    <row r="91">
      <c r="A91" s="6" t="inlineStr">
        <is>
          <t>FIIG</t>
        </is>
      </c>
      <c r="B91" s="6" t="inlineStr">
        <is>
          <t>BD0065</t>
        </is>
      </c>
      <c r="C91" s="6" t="inlineStr">
        <is>
          <t>Corporate Note Series 05</t>
        </is>
      </c>
      <c r="D91" s="6" t="inlineStr">
        <is>
          <t>Bond</t>
        </is>
      </c>
      <c r="E91" s="6">
        <f>A91&amp;"|"&amp;B91</f>
        <v/>
      </c>
      <c r="F91" s="12">
        <f>IFERROR(INDEX('Internal Book'!$E$2:$E$125,MATCH(E91,'Internal Book'!$H$2:$H$125,0)),0)</f>
        <v/>
      </c>
      <c r="G91" s="13">
        <f>IFERROR(INDEX('Internal Book'!$F$2:$F$125,MATCH(E91,'Internal Book'!$H$2:$H$125,0)),0)</f>
        <v/>
      </c>
      <c r="H91" s="11">
        <f>IFERROR(INDEX('Internal Book'!$G$2:$G$125,MATCH(E91,'Internal Book'!$H$2:$H$125,0)),0)</f>
        <v/>
      </c>
      <c r="I91" s="12">
        <f>IFERROR(INDEX('Custodian Statement'!$E$2:$E$125,MATCH(E91,'Custodian Statement'!$H$2:$H$125,0)),0)</f>
        <v/>
      </c>
      <c r="J91" s="13">
        <f>IFERROR(INDEX('Custodian Statement'!$F$2:$F$125,MATCH(E91,'Custodian Statement'!$H$2:$H$125,0)),0)</f>
        <v/>
      </c>
      <c r="K91" s="11">
        <f>IFERROR(INDEX('Custodian Statement'!$G$2:$G$125,MATCH(E91,'Custodian Statement'!$H$2:$H$125,0)),0)</f>
        <v/>
      </c>
      <c r="L91" s="12">
        <f>F91-I91</f>
        <v/>
      </c>
      <c r="M91" s="11">
        <f>H91-K91</f>
        <v/>
      </c>
      <c r="N91" s="12">
        <f>IFERROR((G91-J91)/J91*10000,0)</f>
        <v/>
      </c>
      <c r="O91" s="6">
        <f>COUNTIF('Internal Book'!$H$2:$H$125,E91)</f>
        <v/>
      </c>
      <c r="P91" s="6">
        <f>COUNTIF('Custodian Statement'!$H$2:$H$125,E91)</f>
        <v/>
      </c>
      <c r="Q91" s="6">
        <f>IF(O91=0,"MISSING IN INTERNAL",IF(P91=0,"MISSING IN CUSTODIAN",IF(AND(D91="Cash",ABS(M91)&gt;Parameters!$B$4),"CASH BREAK",IF(L91&lt;&gt;0,"QUANTITY BREAK",IF(ABS(N91)&gt;Parameters!$B$3,"PRICE BREAK",IF(ABS(M91)&gt;Parameters!$B$4,"MV BREAK","MATCHED"))))))</f>
        <v/>
      </c>
      <c r="R91" s="14">
        <f>IFERROR(INDEX('Break Register'!$B$2:$B$10,MATCH(E91,'Break Register'!$A$2:$A$10,0)),"")</f>
        <v/>
      </c>
      <c r="S91" s="12">
        <f>IF(R91="","",Parameters!$B$2-R91)</f>
        <v/>
      </c>
      <c r="T91" s="6">
        <f>IF(S91="","",IF(S91&lt;=2,"0-2 days",IF(S91&lt;=5,"3-5 days",IF(S91&lt;=10,"6-10 days",IF(S91&lt;=30,"11-30 days","30+ days")))))</f>
        <v/>
      </c>
      <c r="U91" s="6">
        <f>IFERROR(INDEX('Break Register'!$C$2:$C$10,MATCH(E91,'Break Register'!$A$2:$A$10,0)),"")</f>
        <v/>
      </c>
      <c r="V91" s="11">
        <f>ABS(M91)</f>
        <v/>
      </c>
      <c r="W91" s="6">
        <f>IF(Q91="MATCHED",0,1)</f>
        <v/>
      </c>
    </row>
    <row r="92">
      <c r="A92" s="6" t="inlineStr">
        <is>
          <t>FIIG</t>
        </is>
      </c>
      <c r="B92" s="6" t="inlineStr">
        <is>
          <t>BD0066</t>
        </is>
      </c>
      <c r="C92" s="6" t="inlineStr">
        <is>
          <t>Corporate Note Series 06</t>
        </is>
      </c>
      <c r="D92" s="6" t="inlineStr">
        <is>
          <t>Bond</t>
        </is>
      </c>
      <c r="E92" s="6">
        <f>A92&amp;"|"&amp;B92</f>
        <v/>
      </c>
      <c r="F92" s="12">
        <f>IFERROR(INDEX('Internal Book'!$E$2:$E$125,MATCH(E92,'Internal Book'!$H$2:$H$125,0)),0)</f>
        <v/>
      </c>
      <c r="G92" s="13">
        <f>IFERROR(INDEX('Internal Book'!$F$2:$F$125,MATCH(E92,'Internal Book'!$H$2:$H$125,0)),0)</f>
        <v/>
      </c>
      <c r="H92" s="11">
        <f>IFERROR(INDEX('Internal Book'!$G$2:$G$125,MATCH(E92,'Internal Book'!$H$2:$H$125,0)),0)</f>
        <v/>
      </c>
      <c r="I92" s="12">
        <f>IFERROR(INDEX('Custodian Statement'!$E$2:$E$125,MATCH(E92,'Custodian Statement'!$H$2:$H$125,0)),0)</f>
        <v/>
      </c>
      <c r="J92" s="13">
        <f>IFERROR(INDEX('Custodian Statement'!$F$2:$F$125,MATCH(E92,'Custodian Statement'!$H$2:$H$125,0)),0)</f>
        <v/>
      </c>
      <c r="K92" s="11">
        <f>IFERROR(INDEX('Custodian Statement'!$G$2:$G$125,MATCH(E92,'Custodian Statement'!$H$2:$H$125,0)),0)</f>
        <v/>
      </c>
      <c r="L92" s="12">
        <f>F92-I92</f>
        <v/>
      </c>
      <c r="M92" s="11">
        <f>H92-K92</f>
        <v/>
      </c>
      <c r="N92" s="12">
        <f>IFERROR((G92-J92)/J92*10000,0)</f>
        <v/>
      </c>
      <c r="O92" s="6">
        <f>COUNTIF('Internal Book'!$H$2:$H$125,E92)</f>
        <v/>
      </c>
      <c r="P92" s="6">
        <f>COUNTIF('Custodian Statement'!$H$2:$H$125,E92)</f>
        <v/>
      </c>
      <c r="Q92" s="6">
        <f>IF(O92=0,"MISSING IN INTERNAL",IF(P92=0,"MISSING IN CUSTODIAN",IF(AND(D92="Cash",ABS(M92)&gt;Parameters!$B$4),"CASH BREAK",IF(L92&lt;&gt;0,"QUANTITY BREAK",IF(ABS(N92)&gt;Parameters!$B$3,"PRICE BREAK",IF(ABS(M92)&gt;Parameters!$B$4,"MV BREAK","MATCHED"))))))</f>
        <v/>
      </c>
      <c r="R92" s="14">
        <f>IFERROR(INDEX('Break Register'!$B$2:$B$10,MATCH(E92,'Break Register'!$A$2:$A$10,0)),"")</f>
        <v/>
      </c>
      <c r="S92" s="12">
        <f>IF(R92="","",Parameters!$B$2-R92)</f>
        <v/>
      </c>
      <c r="T92" s="6">
        <f>IF(S92="","",IF(S92&lt;=2,"0-2 days",IF(S92&lt;=5,"3-5 days",IF(S92&lt;=10,"6-10 days",IF(S92&lt;=30,"11-30 days","30+ days")))))</f>
        <v/>
      </c>
      <c r="U92" s="6">
        <f>IFERROR(INDEX('Break Register'!$C$2:$C$10,MATCH(E92,'Break Register'!$A$2:$A$10,0)),"")</f>
        <v/>
      </c>
      <c r="V92" s="11">
        <f>ABS(M92)</f>
        <v/>
      </c>
      <c r="W92" s="6">
        <f>IF(Q92="MATCHED",0,1)</f>
        <v/>
      </c>
    </row>
    <row r="93">
      <c r="A93" s="6" t="inlineStr">
        <is>
          <t>FIIG</t>
        </is>
      </c>
      <c r="B93" s="6" t="inlineStr">
        <is>
          <t>BD0067</t>
        </is>
      </c>
      <c r="C93" s="6" t="inlineStr">
        <is>
          <t>Corporate Note Series 07</t>
        </is>
      </c>
      <c r="D93" s="6" t="inlineStr">
        <is>
          <t>Bond</t>
        </is>
      </c>
      <c r="E93" s="6">
        <f>A93&amp;"|"&amp;B93</f>
        <v/>
      </c>
      <c r="F93" s="12">
        <f>IFERROR(INDEX('Internal Book'!$E$2:$E$125,MATCH(E93,'Internal Book'!$H$2:$H$125,0)),0)</f>
        <v/>
      </c>
      <c r="G93" s="13">
        <f>IFERROR(INDEX('Internal Book'!$F$2:$F$125,MATCH(E93,'Internal Book'!$H$2:$H$125,0)),0)</f>
        <v/>
      </c>
      <c r="H93" s="11">
        <f>IFERROR(INDEX('Internal Book'!$G$2:$G$125,MATCH(E93,'Internal Book'!$H$2:$H$125,0)),0)</f>
        <v/>
      </c>
      <c r="I93" s="12">
        <f>IFERROR(INDEX('Custodian Statement'!$E$2:$E$125,MATCH(E93,'Custodian Statement'!$H$2:$H$125,0)),0)</f>
        <v/>
      </c>
      <c r="J93" s="13">
        <f>IFERROR(INDEX('Custodian Statement'!$F$2:$F$125,MATCH(E93,'Custodian Statement'!$H$2:$H$125,0)),0)</f>
        <v/>
      </c>
      <c r="K93" s="11">
        <f>IFERROR(INDEX('Custodian Statement'!$G$2:$G$125,MATCH(E93,'Custodian Statement'!$H$2:$H$125,0)),0)</f>
        <v/>
      </c>
      <c r="L93" s="12">
        <f>F93-I93</f>
        <v/>
      </c>
      <c r="M93" s="11">
        <f>H93-K93</f>
        <v/>
      </c>
      <c r="N93" s="12">
        <f>IFERROR((G93-J93)/J93*10000,0)</f>
        <v/>
      </c>
      <c r="O93" s="6">
        <f>COUNTIF('Internal Book'!$H$2:$H$125,E93)</f>
        <v/>
      </c>
      <c r="P93" s="6">
        <f>COUNTIF('Custodian Statement'!$H$2:$H$125,E93)</f>
        <v/>
      </c>
      <c r="Q93" s="6">
        <f>IF(O93=0,"MISSING IN INTERNAL",IF(P93=0,"MISSING IN CUSTODIAN",IF(AND(D93="Cash",ABS(M93)&gt;Parameters!$B$4),"CASH BREAK",IF(L93&lt;&gt;0,"QUANTITY BREAK",IF(ABS(N93)&gt;Parameters!$B$3,"PRICE BREAK",IF(ABS(M93)&gt;Parameters!$B$4,"MV BREAK","MATCHED"))))))</f>
        <v/>
      </c>
      <c r="R93" s="14">
        <f>IFERROR(INDEX('Break Register'!$B$2:$B$10,MATCH(E93,'Break Register'!$A$2:$A$10,0)),"")</f>
        <v/>
      </c>
      <c r="S93" s="12">
        <f>IF(R93="","",Parameters!$B$2-R93)</f>
        <v/>
      </c>
      <c r="T93" s="6">
        <f>IF(S93="","",IF(S93&lt;=2,"0-2 days",IF(S93&lt;=5,"3-5 days",IF(S93&lt;=10,"6-10 days",IF(S93&lt;=30,"11-30 days","30+ days")))))</f>
        <v/>
      </c>
      <c r="U93" s="6">
        <f>IFERROR(INDEX('Break Register'!$C$2:$C$10,MATCH(E93,'Break Register'!$A$2:$A$10,0)),"")</f>
        <v/>
      </c>
      <c r="V93" s="11">
        <f>ABS(M93)</f>
        <v/>
      </c>
      <c r="W93" s="6">
        <f>IF(Q93="MATCHED",0,1)</f>
        <v/>
      </c>
    </row>
    <row r="94">
      <c r="A94" s="6" t="inlineStr">
        <is>
          <t>FIIG</t>
        </is>
      </c>
      <c r="B94" s="6" t="inlineStr">
        <is>
          <t>BD0068</t>
        </is>
      </c>
      <c r="C94" s="6" t="inlineStr">
        <is>
          <t>Corporate Note Series 08</t>
        </is>
      </c>
      <c r="D94" s="6" t="inlineStr">
        <is>
          <t>Bond</t>
        </is>
      </c>
      <c r="E94" s="6">
        <f>A94&amp;"|"&amp;B94</f>
        <v/>
      </c>
      <c r="F94" s="12">
        <f>IFERROR(INDEX('Internal Book'!$E$2:$E$125,MATCH(E94,'Internal Book'!$H$2:$H$125,0)),0)</f>
        <v/>
      </c>
      <c r="G94" s="13">
        <f>IFERROR(INDEX('Internal Book'!$F$2:$F$125,MATCH(E94,'Internal Book'!$H$2:$H$125,0)),0)</f>
        <v/>
      </c>
      <c r="H94" s="11">
        <f>IFERROR(INDEX('Internal Book'!$G$2:$G$125,MATCH(E94,'Internal Book'!$H$2:$H$125,0)),0)</f>
        <v/>
      </c>
      <c r="I94" s="12">
        <f>IFERROR(INDEX('Custodian Statement'!$E$2:$E$125,MATCH(E94,'Custodian Statement'!$H$2:$H$125,0)),0)</f>
        <v/>
      </c>
      <c r="J94" s="13">
        <f>IFERROR(INDEX('Custodian Statement'!$F$2:$F$125,MATCH(E94,'Custodian Statement'!$H$2:$H$125,0)),0)</f>
        <v/>
      </c>
      <c r="K94" s="11">
        <f>IFERROR(INDEX('Custodian Statement'!$G$2:$G$125,MATCH(E94,'Custodian Statement'!$H$2:$H$125,0)),0)</f>
        <v/>
      </c>
      <c r="L94" s="12">
        <f>F94-I94</f>
        <v/>
      </c>
      <c r="M94" s="11">
        <f>H94-K94</f>
        <v/>
      </c>
      <c r="N94" s="12">
        <f>IFERROR((G94-J94)/J94*10000,0)</f>
        <v/>
      </c>
      <c r="O94" s="6">
        <f>COUNTIF('Internal Book'!$H$2:$H$125,E94)</f>
        <v/>
      </c>
      <c r="P94" s="6">
        <f>COUNTIF('Custodian Statement'!$H$2:$H$125,E94)</f>
        <v/>
      </c>
      <c r="Q94" s="6">
        <f>IF(O94=0,"MISSING IN INTERNAL",IF(P94=0,"MISSING IN CUSTODIAN",IF(AND(D94="Cash",ABS(M94)&gt;Parameters!$B$4),"CASH BREAK",IF(L94&lt;&gt;0,"QUANTITY BREAK",IF(ABS(N94)&gt;Parameters!$B$3,"PRICE BREAK",IF(ABS(M94)&gt;Parameters!$B$4,"MV BREAK","MATCHED"))))))</f>
        <v/>
      </c>
      <c r="R94" s="14">
        <f>IFERROR(INDEX('Break Register'!$B$2:$B$10,MATCH(E94,'Break Register'!$A$2:$A$10,0)),"")</f>
        <v/>
      </c>
      <c r="S94" s="12">
        <f>IF(R94="","",Parameters!$B$2-R94)</f>
        <v/>
      </c>
      <c r="T94" s="6">
        <f>IF(S94="","",IF(S94&lt;=2,"0-2 days",IF(S94&lt;=5,"3-5 days",IF(S94&lt;=10,"6-10 days",IF(S94&lt;=30,"11-30 days","30+ days")))))</f>
        <v/>
      </c>
      <c r="U94" s="6">
        <f>IFERROR(INDEX('Break Register'!$C$2:$C$10,MATCH(E94,'Break Register'!$A$2:$A$10,0)),"")</f>
        <v/>
      </c>
      <c r="V94" s="11">
        <f>ABS(M94)</f>
        <v/>
      </c>
      <c r="W94" s="6">
        <f>IF(Q94="MATCHED",0,1)</f>
        <v/>
      </c>
    </row>
    <row r="95">
      <c r="A95" s="6" t="inlineStr">
        <is>
          <t>FIIG</t>
        </is>
      </c>
      <c r="B95" s="6" t="inlineStr">
        <is>
          <t>BD0069</t>
        </is>
      </c>
      <c r="C95" s="6" t="inlineStr">
        <is>
          <t>Corporate Note Series 09</t>
        </is>
      </c>
      <c r="D95" s="6" t="inlineStr">
        <is>
          <t>Bond</t>
        </is>
      </c>
      <c r="E95" s="6">
        <f>A95&amp;"|"&amp;B95</f>
        <v/>
      </c>
      <c r="F95" s="12">
        <f>IFERROR(INDEX('Internal Book'!$E$2:$E$125,MATCH(E95,'Internal Book'!$H$2:$H$125,0)),0)</f>
        <v/>
      </c>
      <c r="G95" s="13">
        <f>IFERROR(INDEX('Internal Book'!$F$2:$F$125,MATCH(E95,'Internal Book'!$H$2:$H$125,0)),0)</f>
        <v/>
      </c>
      <c r="H95" s="11">
        <f>IFERROR(INDEX('Internal Book'!$G$2:$G$125,MATCH(E95,'Internal Book'!$H$2:$H$125,0)),0)</f>
        <v/>
      </c>
      <c r="I95" s="12">
        <f>IFERROR(INDEX('Custodian Statement'!$E$2:$E$125,MATCH(E95,'Custodian Statement'!$H$2:$H$125,0)),0)</f>
        <v/>
      </c>
      <c r="J95" s="13">
        <f>IFERROR(INDEX('Custodian Statement'!$F$2:$F$125,MATCH(E95,'Custodian Statement'!$H$2:$H$125,0)),0)</f>
        <v/>
      </c>
      <c r="K95" s="11">
        <f>IFERROR(INDEX('Custodian Statement'!$G$2:$G$125,MATCH(E95,'Custodian Statement'!$H$2:$H$125,0)),0)</f>
        <v/>
      </c>
      <c r="L95" s="12">
        <f>F95-I95</f>
        <v/>
      </c>
      <c r="M95" s="11">
        <f>H95-K95</f>
        <v/>
      </c>
      <c r="N95" s="12">
        <f>IFERROR((G95-J95)/J95*10000,0)</f>
        <v/>
      </c>
      <c r="O95" s="6">
        <f>COUNTIF('Internal Book'!$H$2:$H$125,E95)</f>
        <v/>
      </c>
      <c r="P95" s="6">
        <f>COUNTIF('Custodian Statement'!$H$2:$H$125,E95)</f>
        <v/>
      </c>
      <c r="Q95" s="6">
        <f>IF(O95=0,"MISSING IN INTERNAL",IF(P95=0,"MISSING IN CUSTODIAN",IF(AND(D95="Cash",ABS(M95)&gt;Parameters!$B$4),"CASH BREAK",IF(L95&lt;&gt;0,"QUANTITY BREAK",IF(ABS(N95)&gt;Parameters!$B$3,"PRICE BREAK",IF(ABS(M95)&gt;Parameters!$B$4,"MV BREAK","MATCHED"))))))</f>
        <v/>
      </c>
      <c r="R95" s="14">
        <f>IFERROR(INDEX('Break Register'!$B$2:$B$10,MATCH(E95,'Break Register'!$A$2:$A$10,0)),"")</f>
        <v/>
      </c>
      <c r="S95" s="12">
        <f>IF(R95="","",Parameters!$B$2-R95)</f>
        <v/>
      </c>
      <c r="T95" s="6">
        <f>IF(S95="","",IF(S95&lt;=2,"0-2 days",IF(S95&lt;=5,"3-5 days",IF(S95&lt;=10,"6-10 days",IF(S95&lt;=30,"11-30 days","30+ days")))))</f>
        <v/>
      </c>
      <c r="U95" s="6">
        <f>IFERROR(INDEX('Break Register'!$C$2:$C$10,MATCH(E95,'Break Register'!$A$2:$A$10,0)),"")</f>
        <v/>
      </c>
      <c r="V95" s="11">
        <f>ABS(M95)</f>
        <v/>
      </c>
      <c r="W95" s="6">
        <f>IF(Q95="MATCHED",0,1)</f>
        <v/>
      </c>
    </row>
    <row r="96">
      <c r="A96" s="6" t="inlineStr">
        <is>
          <t>FIIG</t>
        </is>
      </c>
      <c r="B96" s="6" t="inlineStr">
        <is>
          <t>BD0071</t>
        </is>
      </c>
      <c r="C96" s="6" t="inlineStr">
        <is>
          <t>Corporate Note Series 11</t>
        </is>
      </c>
      <c r="D96" s="6" t="inlineStr">
        <is>
          <t>Bond</t>
        </is>
      </c>
      <c r="E96" s="6">
        <f>A96&amp;"|"&amp;B96</f>
        <v/>
      </c>
      <c r="F96" s="12">
        <f>IFERROR(INDEX('Internal Book'!$E$2:$E$125,MATCH(E96,'Internal Book'!$H$2:$H$125,0)),0)</f>
        <v/>
      </c>
      <c r="G96" s="13">
        <f>IFERROR(INDEX('Internal Book'!$F$2:$F$125,MATCH(E96,'Internal Book'!$H$2:$H$125,0)),0)</f>
        <v/>
      </c>
      <c r="H96" s="11">
        <f>IFERROR(INDEX('Internal Book'!$G$2:$G$125,MATCH(E96,'Internal Book'!$H$2:$H$125,0)),0)</f>
        <v/>
      </c>
      <c r="I96" s="12">
        <f>IFERROR(INDEX('Custodian Statement'!$E$2:$E$125,MATCH(E96,'Custodian Statement'!$H$2:$H$125,0)),0)</f>
        <v/>
      </c>
      <c r="J96" s="13">
        <f>IFERROR(INDEX('Custodian Statement'!$F$2:$F$125,MATCH(E96,'Custodian Statement'!$H$2:$H$125,0)),0)</f>
        <v/>
      </c>
      <c r="K96" s="11">
        <f>IFERROR(INDEX('Custodian Statement'!$G$2:$G$125,MATCH(E96,'Custodian Statement'!$H$2:$H$125,0)),0)</f>
        <v/>
      </c>
      <c r="L96" s="12">
        <f>F96-I96</f>
        <v/>
      </c>
      <c r="M96" s="11">
        <f>H96-K96</f>
        <v/>
      </c>
      <c r="N96" s="12">
        <f>IFERROR((G96-J96)/J96*10000,0)</f>
        <v/>
      </c>
      <c r="O96" s="6">
        <f>COUNTIF('Internal Book'!$H$2:$H$125,E96)</f>
        <v/>
      </c>
      <c r="P96" s="6">
        <f>COUNTIF('Custodian Statement'!$H$2:$H$125,E96)</f>
        <v/>
      </c>
      <c r="Q96" s="6">
        <f>IF(O96=0,"MISSING IN INTERNAL",IF(P96=0,"MISSING IN CUSTODIAN",IF(AND(D96="Cash",ABS(M96)&gt;Parameters!$B$4),"CASH BREAK",IF(L96&lt;&gt;0,"QUANTITY BREAK",IF(ABS(N96)&gt;Parameters!$B$3,"PRICE BREAK",IF(ABS(M96)&gt;Parameters!$B$4,"MV BREAK","MATCHED"))))))</f>
        <v/>
      </c>
      <c r="R96" s="14">
        <f>IFERROR(INDEX('Break Register'!$B$2:$B$10,MATCH(E96,'Break Register'!$A$2:$A$10,0)),"")</f>
        <v/>
      </c>
      <c r="S96" s="12">
        <f>IF(R96="","",Parameters!$B$2-R96)</f>
        <v/>
      </c>
      <c r="T96" s="6">
        <f>IF(S96="","",IF(S96&lt;=2,"0-2 days",IF(S96&lt;=5,"3-5 days",IF(S96&lt;=10,"6-10 days",IF(S96&lt;=30,"11-30 days","30+ days")))))</f>
        <v/>
      </c>
      <c r="U96" s="6">
        <f>IFERROR(INDEX('Break Register'!$C$2:$C$10,MATCH(E96,'Break Register'!$A$2:$A$10,0)),"")</f>
        <v/>
      </c>
      <c r="V96" s="11">
        <f>ABS(M96)</f>
        <v/>
      </c>
      <c r="W96" s="6">
        <f>IF(Q96="MATCHED",0,1)</f>
        <v/>
      </c>
    </row>
    <row r="97">
      <c r="A97" s="6" t="inlineStr">
        <is>
          <t>FIIG</t>
        </is>
      </c>
      <c r="B97" s="6" t="inlineStr">
        <is>
          <t>BD0073</t>
        </is>
      </c>
      <c r="C97" s="6" t="inlineStr">
        <is>
          <t>Corporate Note Series 13</t>
        </is>
      </c>
      <c r="D97" s="6" t="inlineStr">
        <is>
          <t>Bond</t>
        </is>
      </c>
      <c r="E97" s="6">
        <f>A97&amp;"|"&amp;B97</f>
        <v/>
      </c>
      <c r="F97" s="12">
        <f>IFERROR(INDEX('Internal Book'!$E$2:$E$125,MATCH(E97,'Internal Book'!$H$2:$H$125,0)),0)</f>
        <v/>
      </c>
      <c r="G97" s="13">
        <f>IFERROR(INDEX('Internal Book'!$F$2:$F$125,MATCH(E97,'Internal Book'!$H$2:$H$125,0)),0)</f>
        <v/>
      </c>
      <c r="H97" s="11">
        <f>IFERROR(INDEX('Internal Book'!$G$2:$G$125,MATCH(E97,'Internal Book'!$H$2:$H$125,0)),0)</f>
        <v/>
      </c>
      <c r="I97" s="12">
        <f>IFERROR(INDEX('Custodian Statement'!$E$2:$E$125,MATCH(E97,'Custodian Statement'!$H$2:$H$125,0)),0)</f>
        <v/>
      </c>
      <c r="J97" s="13">
        <f>IFERROR(INDEX('Custodian Statement'!$F$2:$F$125,MATCH(E97,'Custodian Statement'!$H$2:$H$125,0)),0)</f>
        <v/>
      </c>
      <c r="K97" s="11">
        <f>IFERROR(INDEX('Custodian Statement'!$G$2:$G$125,MATCH(E97,'Custodian Statement'!$H$2:$H$125,0)),0)</f>
        <v/>
      </c>
      <c r="L97" s="12">
        <f>F97-I97</f>
        <v/>
      </c>
      <c r="M97" s="11">
        <f>H97-K97</f>
        <v/>
      </c>
      <c r="N97" s="12">
        <f>IFERROR((G97-J97)/J97*10000,0)</f>
        <v/>
      </c>
      <c r="O97" s="6">
        <f>COUNTIF('Internal Book'!$H$2:$H$125,E97)</f>
        <v/>
      </c>
      <c r="P97" s="6">
        <f>COUNTIF('Custodian Statement'!$H$2:$H$125,E97)</f>
        <v/>
      </c>
      <c r="Q97" s="6">
        <f>IF(O97=0,"MISSING IN INTERNAL",IF(P97=0,"MISSING IN CUSTODIAN",IF(AND(D97="Cash",ABS(M97)&gt;Parameters!$B$4),"CASH BREAK",IF(L97&lt;&gt;0,"QUANTITY BREAK",IF(ABS(N97)&gt;Parameters!$B$3,"PRICE BREAK",IF(ABS(M97)&gt;Parameters!$B$4,"MV BREAK","MATCHED"))))))</f>
        <v/>
      </c>
      <c r="R97" s="14">
        <f>IFERROR(INDEX('Break Register'!$B$2:$B$10,MATCH(E97,'Break Register'!$A$2:$A$10,0)),"")</f>
        <v/>
      </c>
      <c r="S97" s="12">
        <f>IF(R97="","",Parameters!$B$2-R97)</f>
        <v/>
      </c>
      <c r="T97" s="6">
        <f>IF(S97="","",IF(S97&lt;=2,"0-2 days",IF(S97&lt;=5,"3-5 days",IF(S97&lt;=10,"6-10 days",IF(S97&lt;=30,"11-30 days","30+ days")))))</f>
        <v/>
      </c>
      <c r="U97" s="6">
        <f>IFERROR(INDEX('Break Register'!$C$2:$C$10,MATCH(E97,'Break Register'!$A$2:$A$10,0)),"")</f>
        <v/>
      </c>
      <c r="V97" s="11">
        <f>ABS(M97)</f>
        <v/>
      </c>
      <c r="W97" s="6">
        <f>IF(Q97="MATCHED",0,1)</f>
        <v/>
      </c>
    </row>
    <row r="98">
      <c r="A98" s="6" t="inlineStr">
        <is>
          <t>FIIG</t>
        </is>
      </c>
      <c r="B98" s="6" t="inlineStr">
        <is>
          <t>BD0077</t>
        </is>
      </c>
      <c r="C98" s="6" t="inlineStr">
        <is>
          <t>Corporate Note Series 17</t>
        </is>
      </c>
      <c r="D98" s="6" t="inlineStr">
        <is>
          <t>Bond</t>
        </is>
      </c>
      <c r="E98" s="6">
        <f>A98&amp;"|"&amp;B98</f>
        <v/>
      </c>
      <c r="F98" s="12">
        <f>IFERROR(INDEX('Internal Book'!$E$2:$E$125,MATCH(E98,'Internal Book'!$H$2:$H$125,0)),0)</f>
        <v/>
      </c>
      <c r="G98" s="13">
        <f>IFERROR(INDEX('Internal Book'!$F$2:$F$125,MATCH(E98,'Internal Book'!$H$2:$H$125,0)),0)</f>
        <v/>
      </c>
      <c r="H98" s="11">
        <f>IFERROR(INDEX('Internal Book'!$G$2:$G$125,MATCH(E98,'Internal Book'!$H$2:$H$125,0)),0)</f>
        <v/>
      </c>
      <c r="I98" s="12">
        <f>IFERROR(INDEX('Custodian Statement'!$E$2:$E$125,MATCH(E98,'Custodian Statement'!$H$2:$H$125,0)),0)</f>
        <v/>
      </c>
      <c r="J98" s="13">
        <f>IFERROR(INDEX('Custodian Statement'!$F$2:$F$125,MATCH(E98,'Custodian Statement'!$H$2:$H$125,0)),0)</f>
        <v/>
      </c>
      <c r="K98" s="11">
        <f>IFERROR(INDEX('Custodian Statement'!$G$2:$G$125,MATCH(E98,'Custodian Statement'!$H$2:$H$125,0)),0)</f>
        <v/>
      </c>
      <c r="L98" s="12">
        <f>F98-I98</f>
        <v/>
      </c>
      <c r="M98" s="11">
        <f>H98-K98</f>
        <v/>
      </c>
      <c r="N98" s="12">
        <f>IFERROR((G98-J98)/J98*10000,0)</f>
        <v/>
      </c>
      <c r="O98" s="6">
        <f>COUNTIF('Internal Book'!$H$2:$H$125,E98)</f>
        <v/>
      </c>
      <c r="P98" s="6">
        <f>COUNTIF('Custodian Statement'!$H$2:$H$125,E98)</f>
        <v/>
      </c>
      <c r="Q98" s="6">
        <f>IF(O98=0,"MISSING IN INTERNAL",IF(P98=0,"MISSING IN CUSTODIAN",IF(AND(D98="Cash",ABS(M98)&gt;Parameters!$B$4),"CASH BREAK",IF(L98&lt;&gt;0,"QUANTITY BREAK",IF(ABS(N98)&gt;Parameters!$B$3,"PRICE BREAK",IF(ABS(M98)&gt;Parameters!$B$4,"MV BREAK","MATCHED"))))))</f>
        <v/>
      </c>
      <c r="R98" s="14">
        <f>IFERROR(INDEX('Break Register'!$B$2:$B$10,MATCH(E98,'Break Register'!$A$2:$A$10,0)),"")</f>
        <v/>
      </c>
      <c r="S98" s="12">
        <f>IF(R98="","",Parameters!$B$2-R98)</f>
        <v/>
      </c>
      <c r="T98" s="6">
        <f>IF(S98="","",IF(S98&lt;=2,"0-2 days",IF(S98&lt;=5,"3-5 days",IF(S98&lt;=10,"6-10 days",IF(S98&lt;=30,"11-30 days","30+ days")))))</f>
        <v/>
      </c>
      <c r="U98" s="6">
        <f>IFERROR(INDEX('Break Register'!$C$2:$C$10,MATCH(E98,'Break Register'!$A$2:$A$10,0)),"")</f>
        <v/>
      </c>
      <c r="V98" s="11">
        <f>ABS(M98)</f>
        <v/>
      </c>
      <c r="W98" s="6">
        <f>IF(Q98="MATCHED",0,1)</f>
        <v/>
      </c>
    </row>
    <row r="99">
      <c r="A99" s="6" t="inlineStr">
        <is>
          <t>FIIG</t>
        </is>
      </c>
      <c r="B99" s="6" t="inlineStr">
        <is>
          <t>CASH_USD_FIIG</t>
        </is>
      </c>
      <c r="C99" s="6" t="inlineStr">
        <is>
          <t>USD Cash</t>
        </is>
      </c>
      <c r="D99" s="6" t="inlineStr">
        <is>
          <t>Cash</t>
        </is>
      </c>
      <c r="E99" s="6">
        <f>A99&amp;"|"&amp;B99</f>
        <v/>
      </c>
      <c r="F99" s="12">
        <f>IFERROR(INDEX('Internal Book'!$E$2:$E$125,MATCH(E99,'Internal Book'!$H$2:$H$125,0)),0)</f>
        <v/>
      </c>
      <c r="G99" s="13">
        <f>IFERROR(INDEX('Internal Book'!$F$2:$F$125,MATCH(E99,'Internal Book'!$H$2:$H$125,0)),0)</f>
        <v/>
      </c>
      <c r="H99" s="11">
        <f>IFERROR(INDEX('Internal Book'!$G$2:$G$125,MATCH(E99,'Internal Book'!$H$2:$H$125,0)),0)</f>
        <v/>
      </c>
      <c r="I99" s="12">
        <f>IFERROR(INDEX('Custodian Statement'!$E$2:$E$125,MATCH(E99,'Custodian Statement'!$H$2:$H$125,0)),0)</f>
        <v/>
      </c>
      <c r="J99" s="13">
        <f>IFERROR(INDEX('Custodian Statement'!$F$2:$F$125,MATCH(E99,'Custodian Statement'!$H$2:$H$125,0)),0)</f>
        <v/>
      </c>
      <c r="K99" s="11">
        <f>IFERROR(INDEX('Custodian Statement'!$G$2:$G$125,MATCH(E99,'Custodian Statement'!$H$2:$H$125,0)),0)</f>
        <v/>
      </c>
      <c r="L99" s="12">
        <f>F99-I99</f>
        <v/>
      </c>
      <c r="M99" s="11">
        <f>H99-K99</f>
        <v/>
      </c>
      <c r="N99" s="12">
        <f>IFERROR((G99-J99)/J99*10000,0)</f>
        <v/>
      </c>
      <c r="O99" s="6">
        <f>COUNTIF('Internal Book'!$H$2:$H$125,E99)</f>
        <v/>
      </c>
      <c r="P99" s="6">
        <f>COUNTIF('Custodian Statement'!$H$2:$H$125,E99)</f>
        <v/>
      </c>
      <c r="Q99" s="6">
        <f>IF(O99=0,"MISSING IN INTERNAL",IF(P99=0,"MISSING IN CUSTODIAN",IF(AND(D99="Cash",ABS(M99)&gt;Parameters!$B$4),"CASH BREAK",IF(L99&lt;&gt;0,"QUANTITY BREAK",IF(ABS(N99)&gt;Parameters!$B$3,"PRICE BREAK",IF(ABS(M99)&gt;Parameters!$B$4,"MV BREAK","MATCHED"))))))</f>
        <v/>
      </c>
      <c r="R99" s="14">
        <f>IFERROR(INDEX('Break Register'!$B$2:$B$10,MATCH(E99,'Break Register'!$A$2:$A$10,0)),"")</f>
        <v/>
      </c>
      <c r="S99" s="12">
        <f>IF(R99="","",Parameters!$B$2-R99)</f>
        <v/>
      </c>
      <c r="T99" s="6">
        <f>IF(S99="","",IF(S99&lt;=2,"0-2 days",IF(S99&lt;=5,"3-5 days",IF(S99&lt;=10,"6-10 days",IF(S99&lt;=30,"11-30 days","30+ days")))))</f>
        <v/>
      </c>
      <c r="U99" s="6">
        <f>IFERROR(INDEX('Break Register'!$C$2:$C$10,MATCH(E99,'Break Register'!$A$2:$A$10,0)),"")</f>
        <v/>
      </c>
      <c r="V99" s="11">
        <f>ABS(M99)</f>
        <v/>
      </c>
      <c r="W99" s="6">
        <f>IF(Q99="MATCHED",0,1)</f>
        <v/>
      </c>
    </row>
    <row r="100">
      <c r="A100" s="6" t="inlineStr">
        <is>
          <t>FIIG</t>
        </is>
      </c>
      <c r="B100" s="6" t="inlineStr">
        <is>
          <t>ET0082</t>
        </is>
      </c>
      <c r="C100" s="6" t="inlineStr">
        <is>
          <t>Vanguard S&amp;P 500</t>
        </is>
      </c>
      <c r="D100" s="6" t="inlineStr">
        <is>
          <t>ETF</t>
        </is>
      </c>
      <c r="E100" s="6">
        <f>A100&amp;"|"&amp;B100</f>
        <v/>
      </c>
      <c r="F100" s="12">
        <f>IFERROR(INDEX('Internal Book'!$E$2:$E$125,MATCH(E100,'Internal Book'!$H$2:$H$125,0)),0)</f>
        <v/>
      </c>
      <c r="G100" s="13">
        <f>IFERROR(INDEX('Internal Book'!$F$2:$F$125,MATCH(E100,'Internal Book'!$H$2:$H$125,0)),0)</f>
        <v/>
      </c>
      <c r="H100" s="11">
        <f>IFERROR(INDEX('Internal Book'!$G$2:$G$125,MATCH(E100,'Internal Book'!$H$2:$H$125,0)),0)</f>
        <v/>
      </c>
      <c r="I100" s="12">
        <f>IFERROR(INDEX('Custodian Statement'!$E$2:$E$125,MATCH(E100,'Custodian Statement'!$H$2:$H$125,0)),0)</f>
        <v/>
      </c>
      <c r="J100" s="13">
        <f>IFERROR(INDEX('Custodian Statement'!$F$2:$F$125,MATCH(E100,'Custodian Statement'!$H$2:$H$125,0)),0)</f>
        <v/>
      </c>
      <c r="K100" s="11">
        <f>IFERROR(INDEX('Custodian Statement'!$G$2:$G$125,MATCH(E100,'Custodian Statement'!$H$2:$H$125,0)),0)</f>
        <v/>
      </c>
      <c r="L100" s="12">
        <f>F100-I100</f>
        <v/>
      </c>
      <c r="M100" s="11">
        <f>H100-K100</f>
        <v/>
      </c>
      <c r="N100" s="12">
        <f>IFERROR((G100-J100)/J100*10000,0)</f>
        <v/>
      </c>
      <c r="O100" s="6">
        <f>COUNTIF('Internal Book'!$H$2:$H$125,E100)</f>
        <v/>
      </c>
      <c r="P100" s="6">
        <f>COUNTIF('Custodian Statement'!$H$2:$H$125,E100)</f>
        <v/>
      </c>
      <c r="Q100" s="6">
        <f>IF(O100=0,"MISSING IN INTERNAL",IF(P100=0,"MISSING IN CUSTODIAN",IF(AND(D100="Cash",ABS(M100)&gt;Parameters!$B$4),"CASH BREAK",IF(L100&lt;&gt;0,"QUANTITY BREAK",IF(ABS(N100)&gt;Parameters!$B$3,"PRICE BREAK",IF(ABS(M100)&gt;Parameters!$B$4,"MV BREAK","MATCHED"))))))</f>
        <v/>
      </c>
      <c r="R100" s="14">
        <f>IFERROR(INDEX('Break Register'!$B$2:$B$10,MATCH(E100,'Break Register'!$A$2:$A$10,0)),"")</f>
        <v/>
      </c>
      <c r="S100" s="12">
        <f>IF(R100="","",Parameters!$B$2-R100)</f>
        <v/>
      </c>
      <c r="T100" s="6">
        <f>IF(S100="","",IF(S100&lt;=2,"0-2 days",IF(S100&lt;=5,"3-5 days",IF(S100&lt;=10,"6-10 days",IF(S100&lt;=30,"11-30 days","30+ days")))))</f>
        <v/>
      </c>
      <c r="U100" s="6">
        <f>IFERROR(INDEX('Break Register'!$C$2:$C$10,MATCH(E100,'Break Register'!$A$2:$A$10,0)),"")</f>
        <v/>
      </c>
      <c r="V100" s="11">
        <f>ABS(M100)</f>
        <v/>
      </c>
      <c r="W100" s="6">
        <f>IF(Q100="MATCHED",0,1)</f>
        <v/>
      </c>
    </row>
    <row r="101">
      <c r="A101" s="6" t="inlineStr">
        <is>
          <t>FIIG</t>
        </is>
      </c>
      <c r="B101" s="6" t="inlineStr">
        <is>
          <t>ET0083</t>
        </is>
      </c>
      <c r="C101" s="6" t="inlineStr">
        <is>
          <t>SPDR Gold Shares</t>
        </is>
      </c>
      <c r="D101" s="6" t="inlineStr">
        <is>
          <t>ETF</t>
        </is>
      </c>
      <c r="E101" s="6">
        <f>A101&amp;"|"&amp;B101</f>
        <v/>
      </c>
      <c r="F101" s="12">
        <f>IFERROR(INDEX('Internal Book'!$E$2:$E$125,MATCH(E101,'Internal Book'!$H$2:$H$125,0)),0)</f>
        <v/>
      </c>
      <c r="G101" s="13">
        <f>IFERROR(INDEX('Internal Book'!$F$2:$F$125,MATCH(E101,'Internal Book'!$H$2:$H$125,0)),0)</f>
        <v/>
      </c>
      <c r="H101" s="11">
        <f>IFERROR(INDEX('Internal Book'!$G$2:$G$125,MATCH(E101,'Internal Book'!$H$2:$H$125,0)),0)</f>
        <v/>
      </c>
      <c r="I101" s="12">
        <f>IFERROR(INDEX('Custodian Statement'!$E$2:$E$125,MATCH(E101,'Custodian Statement'!$H$2:$H$125,0)),0)</f>
        <v/>
      </c>
      <c r="J101" s="13">
        <f>IFERROR(INDEX('Custodian Statement'!$F$2:$F$125,MATCH(E101,'Custodian Statement'!$H$2:$H$125,0)),0)</f>
        <v/>
      </c>
      <c r="K101" s="11">
        <f>IFERROR(INDEX('Custodian Statement'!$G$2:$G$125,MATCH(E101,'Custodian Statement'!$H$2:$H$125,0)),0)</f>
        <v/>
      </c>
      <c r="L101" s="12">
        <f>F101-I101</f>
        <v/>
      </c>
      <c r="M101" s="11">
        <f>H101-K101</f>
        <v/>
      </c>
      <c r="N101" s="12">
        <f>IFERROR((G101-J101)/J101*10000,0)</f>
        <v/>
      </c>
      <c r="O101" s="6">
        <f>COUNTIF('Internal Book'!$H$2:$H$125,E101)</f>
        <v/>
      </c>
      <c r="P101" s="6">
        <f>COUNTIF('Custodian Statement'!$H$2:$H$125,E101)</f>
        <v/>
      </c>
      <c r="Q101" s="6">
        <f>IF(O101=0,"MISSING IN INTERNAL",IF(P101=0,"MISSING IN CUSTODIAN",IF(AND(D101="Cash",ABS(M101)&gt;Parameters!$B$4),"CASH BREAK",IF(L101&lt;&gt;0,"QUANTITY BREAK",IF(ABS(N101)&gt;Parameters!$B$3,"PRICE BREAK",IF(ABS(M101)&gt;Parameters!$B$4,"MV BREAK","MATCHED"))))))</f>
        <v/>
      </c>
      <c r="R101" s="14">
        <f>IFERROR(INDEX('Break Register'!$B$2:$B$10,MATCH(E101,'Break Register'!$A$2:$A$10,0)),"")</f>
        <v/>
      </c>
      <c r="S101" s="12">
        <f>IF(R101="","",Parameters!$B$2-R101)</f>
        <v/>
      </c>
      <c r="T101" s="6">
        <f>IF(S101="","",IF(S101&lt;=2,"0-2 days",IF(S101&lt;=5,"3-5 days",IF(S101&lt;=10,"6-10 days",IF(S101&lt;=30,"11-30 days","30+ days")))))</f>
        <v/>
      </c>
      <c r="U101" s="6">
        <f>IFERROR(INDEX('Break Register'!$C$2:$C$10,MATCH(E101,'Break Register'!$A$2:$A$10,0)),"")</f>
        <v/>
      </c>
      <c r="V101" s="11">
        <f>ABS(M101)</f>
        <v/>
      </c>
      <c r="W101" s="6">
        <f>IF(Q101="MATCHED",0,1)</f>
        <v/>
      </c>
    </row>
    <row r="102">
      <c r="A102" s="6" t="inlineStr">
        <is>
          <t>FIIG</t>
        </is>
      </c>
      <c r="B102" s="6" t="inlineStr">
        <is>
          <t>ET0084</t>
        </is>
      </c>
      <c r="C102" s="6" t="inlineStr">
        <is>
          <t>iShares EUR Corp Bond</t>
        </is>
      </c>
      <c r="D102" s="6" t="inlineStr">
        <is>
          <t>ETF</t>
        </is>
      </c>
      <c r="E102" s="6">
        <f>A102&amp;"|"&amp;B102</f>
        <v/>
      </c>
      <c r="F102" s="12">
        <f>IFERROR(INDEX('Internal Book'!$E$2:$E$125,MATCH(E102,'Internal Book'!$H$2:$H$125,0)),0)</f>
        <v/>
      </c>
      <c r="G102" s="13">
        <f>IFERROR(INDEX('Internal Book'!$F$2:$F$125,MATCH(E102,'Internal Book'!$H$2:$H$125,0)),0)</f>
        <v/>
      </c>
      <c r="H102" s="11">
        <f>IFERROR(INDEX('Internal Book'!$G$2:$G$125,MATCH(E102,'Internal Book'!$H$2:$H$125,0)),0)</f>
        <v/>
      </c>
      <c r="I102" s="12">
        <f>IFERROR(INDEX('Custodian Statement'!$E$2:$E$125,MATCH(E102,'Custodian Statement'!$H$2:$H$125,0)),0)</f>
        <v/>
      </c>
      <c r="J102" s="13">
        <f>IFERROR(INDEX('Custodian Statement'!$F$2:$F$125,MATCH(E102,'Custodian Statement'!$H$2:$H$125,0)),0)</f>
        <v/>
      </c>
      <c r="K102" s="11">
        <f>IFERROR(INDEX('Custodian Statement'!$G$2:$G$125,MATCH(E102,'Custodian Statement'!$H$2:$H$125,0)),0)</f>
        <v/>
      </c>
      <c r="L102" s="12">
        <f>F102-I102</f>
        <v/>
      </c>
      <c r="M102" s="11">
        <f>H102-K102</f>
        <v/>
      </c>
      <c r="N102" s="12">
        <f>IFERROR((G102-J102)/J102*10000,0)</f>
        <v/>
      </c>
      <c r="O102" s="6">
        <f>COUNTIF('Internal Book'!$H$2:$H$125,E102)</f>
        <v/>
      </c>
      <c r="P102" s="6">
        <f>COUNTIF('Custodian Statement'!$H$2:$H$125,E102)</f>
        <v/>
      </c>
      <c r="Q102" s="6">
        <f>IF(O102=0,"MISSING IN INTERNAL",IF(P102=0,"MISSING IN CUSTODIAN",IF(AND(D102="Cash",ABS(M102)&gt;Parameters!$B$4),"CASH BREAK",IF(L102&lt;&gt;0,"QUANTITY BREAK",IF(ABS(N102)&gt;Parameters!$B$3,"PRICE BREAK",IF(ABS(M102)&gt;Parameters!$B$4,"MV BREAK","MATCHED"))))))</f>
        <v/>
      </c>
      <c r="R102" s="14">
        <f>IFERROR(INDEX('Break Register'!$B$2:$B$10,MATCH(E102,'Break Register'!$A$2:$A$10,0)),"")</f>
        <v/>
      </c>
      <c r="S102" s="12">
        <f>IF(R102="","",Parameters!$B$2-R102)</f>
        <v/>
      </c>
      <c r="T102" s="6">
        <f>IF(S102="","",IF(S102&lt;=2,"0-2 days",IF(S102&lt;=5,"3-5 days",IF(S102&lt;=10,"6-10 days",IF(S102&lt;=30,"11-30 days","30+ days")))))</f>
        <v/>
      </c>
      <c r="U102" s="6">
        <f>IFERROR(INDEX('Break Register'!$C$2:$C$10,MATCH(E102,'Break Register'!$A$2:$A$10,0)),"")</f>
        <v/>
      </c>
      <c r="V102" s="11">
        <f>ABS(M102)</f>
        <v/>
      </c>
      <c r="W102" s="6">
        <f>IF(Q102="MATCHED",0,1)</f>
        <v/>
      </c>
    </row>
    <row r="103">
      <c r="A103" s="6" t="inlineStr">
        <is>
          <t>MMUS</t>
        </is>
      </c>
      <c r="B103" s="6" t="inlineStr">
        <is>
          <t>BD0051</t>
        </is>
      </c>
      <c r="C103" s="6" t="inlineStr">
        <is>
          <t>US Treasury 2.5% 2030</t>
        </is>
      </c>
      <c r="D103" s="6" t="inlineStr">
        <is>
          <t>Bond</t>
        </is>
      </c>
      <c r="E103" s="6">
        <f>A103&amp;"|"&amp;B103</f>
        <v/>
      </c>
      <c r="F103" s="12">
        <f>IFERROR(INDEX('Internal Book'!$E$2:$E$125,MATCH(E103,'Internal Book'!$H$2:$H$125,0)),0)</f>
        <v/>
      </c>
      <c r="G103" s="13">
        <f>IFERROR(INDEX('Internal Book'!$F$2:$F$125,MATCH(E103,'Internal Book'!$H$2:$H$125,0)),0)</f>
        <v/>
      </c>
      <c r="H103" s="11">
        <f>IFERROR(INDEX('Internal Book'!$G$2:$G$125,MATCH(E103,'Internal Book'!$H$2:$H$125,0)),0)</f>
        <v/>
      </c>
      <c r="I103" s="12">
        <f>IFERROR(INDEX('Custodian Statement'!$E$2:$E$125,MATCH(E103,'Custodian Statement'!$H$2:$H$125,0)),0)</f>
        <v/>
      </c>
      <c r="J103" s="13">
        <f>IFERROR(INDEX('Custodian Statement'!$F$2:$F$125,MATCH(E103,'Custodian Statement'!$H$2:$H$125,0)),0)</f>
        <v/>
      </c>
      <c r="K103" s="11">
        <f>IFERROR(INDEX('Custodian Statement'!$G$2:$G$125,MATCH(E103,'Custodian Statement'!$H$2:$H$125,0)),0)</f>
        <v/>
      </c>
      <c r="L103" s="12">
        <f>F103-I103</f>
        <v/>
      </c>
      <c r="M103" s="11">
        <f>H103-K103</f>
        <v/>
      </c>
      <c r="N103" s="12">
        <f>IFERROR((G103-J103)/J103*10000,0)</f>
        <v/>
      </c>
      <c r="O103" s="6">
        <f>COUNTIF('Internal Book'!$H$2:$H$125,E103)</f>
        <v/>
      </c>
      <c r="P103" s="6">
        <f>COUNTIF('Custodian Statement'!$H$2:$H$125,E103)</f>
        <v/>
      </c>
      <c r="Q103" s="6">
        <f>IF(O103=0,"MISSING IN INTERNAL",IF(P103=0,"MISSING IN CUSTODIAN",IF(AND(D103="Cash",ABS(M103)&gt;Parameters!$B$4),"CASH BREAK",IF(L103&lt;&gt;0,"QUANTITY BREAK",IF(ABS(N103)&gt;Parameters!$B$3,"PRICE BREAK",IF(ABS(M103)&gt;Parameters!$B$4,"MV BREAK","MATCHED"))))))</f>
        <v/>
      </c>
      <c r="R103" s="14">
        <f>IFERROR(INDEX('Break Register'!$B$2:$B$10,MATCH(E103,'Break Register'!$A$2:$A$10,0)),"")</f>
        <v/>
      </c>
      <c r="S103" s="12">
        <f>IF(R103="","",Parameters!$B$2-R103)</f>
        <v/>
      </c>
      <c r="T103" s="6">
        <f>IF(S103="","",IF(S103&lt;=2,"0-2 days",IF(S103&lt;=5,"3-5 days",IF(S103&lt;=10,"6-10 days",IF(S103&lt;=30,"11-30 days","30+ days")))))</f>
        <v/>
      </c>
      <c r="U103" s="6">
        <f>IFERROR(INDEX('Break Register'!$C$2:$C$10,MATCH(E103,'Break Register'!$A$2:$A$10,0)),"")</f>
        <v/>
      </c>
      <c r="V103" s="11">
        <f>ABS(M103)</f>
        <v/>
      </c>
      <c r="W103" s="6">
        <f>IF(Q103="MATCHED",0,1)</f>
        <v/>
      </c>
    </row>
    <row r="104">
      <c r="A104" s="6" t="inlineStr">
        <is>
          <t>MMUS</t>
        </is>
      </c>
      <c r="B104" s="6" t="inlineStr">
        <is>
          <t>BD0052</t>
        </is>
      </c>
      <c r="C104" s="6" t="inlineStr">
        <is>
          <t>US Treasury 3.0% 2033</t>
        </is>
      </c>
      <c r="D104" s="6" t="inlineStr">
        <is>
          <t>Bond</t>
        </is>
      </c>
      <c r="E104" s="6">
        <f>A104&amp;"|"&amp;B104</f>
        <v/>
      </c>
      <c r="F104" s="12">
        <f>IFERROR(INDEX('Internal Book'!$E$2:$E$125,MATCH(E104,'Internal Book'!$H$2:$H$125,0)),0)</f>
        <v/>
      </c>
      <c r="G104" s="13">
        <f>IFERROR(INDEX('Internal Book'!$F$2:$F$125,MATCH(E104,'Internal Book'!$H$2:$H$125,0)),0)</f>
        <v/>
      </c>
      <c r="H104" s="11">
        <f>IFERROR(INDEX('Internal Book'!$G$2:$G$125,MATCH(E104,'Internal Book'!$H$2:$H$125,0)),0)</f>
        <v/>
      </c>
      <c r="I104" s="12">
        <f>IFERROR(INDEX('Custodian Statement'!$E$2:$E$125,MATCH(E104,'Custodian Statement'!$H$2:$H$125,0)),0)</f>
        <v/>
      </c>
      <c r="J104" s="13">
        <f>IFERROR(INDEX('Custodian Statement'!$F$2:$F$125,MATCH(E104,'Custodian Statement'!$H$2:$H$125,0)),0)</f>
        <v/>
      </c>
      <c r="K104" s="11">
        <f>IFERROR(INDEX('Custodian Statement'!$G$2:$G$125,MATCH(E104,'Custodian Statement'!$H$2:$H$125,0)),0)</f>
        <v/>
      </c>
      <c r="L104" s="12">
        <f>F104-I104</f>
        <v/>
      </c>
      <c r="M104" s="11">
        <f>H104-K104</f>
        <v/>
      </c>
      <c r="N104" s="12">
        <f>IFERROR((G104-J104)/J104*10000,0)</f>
        <v/>
      </c>
      <c r="O104" s="6">
        <f>COUNTIF('Internal Book'!$H$2:$H$125,E104)</f>
        <v/>
      </c>
      <c r="P104" s="6">
        <f>COUNTIF('Custodian Statement'!$H$2:$H$125,E104)</f>
        <v/>
      </c>
      <c r="Q104" s="6">
        <f>IF(O104=0,"MISSING IN INTERNAL",IF(P104=0,"MISSING IN CUSTODIAN",IF(AND(D104="Cash",ABS(M104)&gt;Parameters!$B$4),"CASH BREAK",IF(L104&lt;&gt;0,"QUANTITY BREAK",IF(ABS(N104)&gt;Parameters!$B$3,"PRICE BREAK",IF(ABS(M104)&gt;Parameters!$B$4,"MV BREAK","MATCHED"))))))</f>
        <v/>
      </c>
      <c r="R104" s="14">
        <f>IFERROR(INDEX('Break Register'!$B$2:$B$10,MATCH(E104,'Break Register'!$A$2:$A$10,0)),"")</f>
        <v/>
      </c>
      <c r="S104" s="12">
        <f>IF(R104="","",Parameters!$B$2-R104)</f>
        <v/>
      </c>
      <c r="T104" s="6">
        <f>IF(S104="","",IF(S104&lt;=2,"0-2 days",IF(S104&lt;=5,"3-5 days",IF(S104&lt;=10,"6-10 days",IF(S104&lt;=30,"11-30 days","30+ days")))))</f>
        <v/>
      </c>
      <c r="U104" s="6">
        <f>IFERROR(INDEX('Break Register'!$C$2:$C$10,MATCH(E104,'Break Register'!$A$2:$A$10,0)),"")</f>
        <v/>
      </c>
      <c r="V104" s="11">
        <f>ABS(M104)</f>
        <v/>
      </c>
      <c r="W104" s="6">
        <f>IF(Q104="MATCHED",0,1)</f>
        <v/>
      </c>
    </row>
    <row r="105">
      <c r="A105" s="6" t="inlineStr">
        <is>
          <t>MMUS</t>
        </is>
      </c>
      <c r="B105" s="6" t="inlineStr">
        <is>
          <t>BD0054</t>
        </is>
      </c>
      <c r="C105" s="6" t="inlineStr">
        <is>
          <t>UK Gilt 4.25% 2032</t>
        </is>
      </c>
      <c r="D105" s="6" t="inlineStr">
        <is>
          <t>Bond</t>
        </is>
      </c>
      <c r="E105" s="6">
        <f>A105&amp;"|"&amp;B105</f>
        <v/>
      </c>
      <c r="F105" s="12">
        <f>IFERROR(INDEX('Internal Book'!$E$2:$E$125,MATCH(E105,'Internal Book'!$H$2:$H$125,0)),0)</f>
        <v/>
      </c>
      <c r="G105" s="13">
        <f>IFERROR(INDEX('Internal Book'!$F$2:$F$125,MATCH(E105,'Internal Book'!$H$2:$H$125,0)),0)</f>
        <v/>
      </c>
      <c r="H105" s="11">
        <f>IFERROR(INDEX('Internal Book'!$G$2:$G$125,MATCH(E105,'Internal Book'!$H$2:$H$125,0)),0)</f>
        <v/>
      </c>
      <c r="I105" s="12">
        <f>IFERROR(INDEX('Custodian Statement'!$E$2:$E$125,MATCH(E105,'Custodian Statement'!$H$2:$H$125,0)),0)</f>
        <v/>
      </c>
      <c r="J105" s="13">
        <f>IFERROR(INDEX('Custodian Statement'!$F$2:$F$125,MATCH(E105,'Custodian Statement'!$H$2:$H$125,0)),0)</f>
        <v/>
      </c>
      <c r="K105" s="11">
        <f>IFERROR(INDEX('Custodian Statement'!$G$2:$G$125,MATCH(E105,'Custodian Statement'!$H$2:$H$125,0)),0)</f>
        <v/>
      </c>
      <c r="L105" s="12">
        <f>F105-I105</f>
        <v/>
      </c>
      <c r="M105" s="11">
        <f>H105-K105</f>
        <v/>
      </c>
      <c r="N105" s="12">
        <f>IFERROR((G105-J105)/J105*10000,0)</f>
        <v/>
      </c>
      <c r="O105" s="6">
        <f>COUNTIF('Internal Book'!$H$2:$H$125,E105)</f>
        <v/>
      </c>
      <c r="P105" s="6">
        <f>COUNTIF('Custodian Statement'!$H$2:$H$125,E105)</f>
        <v/>
      </c>
      <c r="Q105" s="6">
        <f>IF(O105=0,"MISSING IN INTERNAL",IF(P105=0,"MISSING IN CUSTODIAN",IF(AND(D105="Cash",ABS(M105)&gt;Parameters!$B$4),"CASH BREAK",IF(L105&lt;&gt;0,"QUANTITY BREAK",IF(ABS(N105)&gt;Parameters!$B$3,"PRICE BREAK",IF(ABS(M105)&gt;Parameters!$B$4,"MV BREAK","MATCHED"))))))</f>
        <v/>
      </c>
      <c r="R105" s="14">
        <f>IFERROR(INDEX('Break Register'!$B$2:$B$10,MATCH(E105,'Break Register'!$A$2:$A$10,0)),"")</f>
        <v/>
      </c>
      <c r="S105" s="12">
        <f>IF(R105="","",Parameters!$B$2-R105)</f>
        <v/>
      </c>
      <c r="T105" s="6">
        <f>IF(S105="","",IF(S105&lt;=2,"0-2 days",IF(S105&lt;=5,"3-5 days",IF(S105&lt;=10,"6-10 days",IF(S105&lt;=30,"11-30 days","30+ days")))))</f>
        <v/>
      </c>
      <c r="U105" s="6">
        <f>IFERROR(INDEX('Break Register'!$C$2:$C$10,MATCH(E105,'Break Register'!$A$2:$A$10,0)),"")</f>
        <v/>
      </c>
      <c r="V105" s="11">
        <f>ABS(M105)</f>
        <v/>
      </c>
      <c r="W105" s="6">
        <f>IF(Q105="MATCHED",0,1)</f>
        <v/>
      </c>
    </row>
    <row r="106">
      <c r="A106" s="6" t="inlineStr">
        <is>
          <t>MMUS</t>
        </is>
      </c>
      <c r="B106" s="6" t="inlineStr">
        <is>
          <t>BD0056</t>
        </is>
      </c>
      <c r="C106" s="6" t="inlineStr">
        <is>
          <t>Microsoft 2.9% 2030</t>
        </is>
      </c>
      <c r="D106" s="6" t="inlineStr">
        <is>
          <t>Bond</t>
        </is>
      </c>
      <c r="E106" s="6">
        <f>A106&amp;"|"&amp;B106</f>
        <v/>
      </c>
      <c r="F106" s="12">
        <f>IFERROR(INDEX('Internal Book'!$E$2:$E$125,MATCH(E106,'Internal Book'!$H$2:$H$125,0)),0)</f>
        <v/>
      </c>
      <c r="G106" s="13">
        <f>IFERROR(INDEX('Internal Book'!$F$2:$F$125,MATCH(E106,'Internal Book'!$H$2:$H$125,0)),0)</f>
        <v/>
      </c>
      <c r="H106" s="11">
        <f>IFERROR(INDEX('Internal Book'!$G$2:$G$125,MATCH(E106,'Internal Book'!$H$2:$H$125,0)),0)</f>
        <v/>
      </c>
      <c r="I106" s="12">
        <f>IFERROR(INDEX('Custodian Statement'!$E$2:$E$125,MATCH(E106,'Custodian Statement'!$H$2:$H$125,0)),0)</f>
        <v/>
      </c>
      <c r="J106" s="13">
        <f>IFERROR(INDEX('Custodian Statement'!$F$2:$F$125,MATCH(E106,'Custodian Statement'!$H$2:$H$125,0)),0)</f>
        <v/>
      </c>
      <c r="K106" s="11">
        <f>IFERROR(INDEX('Custodian Statement'!$G$2:$G$125,MATCH(E106,'Custodian Statement'!$H$2:$H$125,0)),0)</f>
        <v/>
      </c>
      <c r="L106" s="12">
        <f>F106-I106</f>
        <v/>
      </c>
      <c r="M106" s="11">
        <f>H106-K106</f>
        <v/>
      </c>
      <c r="N106" s="12">
        <f>IFERROR((G106-J106)/J106*10000,0)</f>
        <v/>
      </c>
      <c r="O106" s="6">
        <f>COUNTIF('Internal Book'!$H$2:$H$125,E106)</f>
        <v/>
      </c>
      <c r="P106" s="6">
        <f>COUNTIF('Custodian Statement'!$H$2:$H$125,E106)</f>
        <v/>
      </c>
      <c r="Q106" s="6">
        <f>IF(O106=0,"MISSING IN INTERNAL",IF(P106=0,"MISSING IN CUSTODIAN",IF(AND(D106="Cash",ABS(M106)&gt;Parameters!$B$4),"CASH BREAK",IF(L106&lt;&gt;0,"QUANTITY BREAK",IF(ABS(N106)&gt;Parameters!$B$3,"PRICE BREAK",IF(ABS(M106)&gt;Parameters!$B$4,"MV BREAK","MATCHED"))))))</f>
        <v/>
      </c>
      <c r="R106" s="14">
        <f>IFERROR(INDEX('Break Register'!$B$2:$B$10,MATCH(E106,'Break Register'!$A$2:$A$10,0)),"")</f>
        <v/>
      </c>
      <c r="S106" s="12">
        <f>IF(R106="","",Parameters!$B$2-R106)</f>
        <v/>
      </c>
      <c r="T106" s="6">
        <f>IF(S106="","",IF(S106&lt;=2,"0-2 days",IF(S106&lt;=5,"3-5 days",IF(S106&lt;=10,"6-10 days",IF(S106&lt;=30,"11-30 days","30+ days")))))</f>
        <v/>
      </c>
      <c r="U106" s="6">
        <f>IFERROR(INDEX('Break Register'!$C$2:$C$10,MATCH(E106,'Break Register'!$A$2:$A$10,0)),"")</f>
        <v/>
      </c>
      <c r="V106" s="11">
        <f>ABS(M106)</f>
        <v/>
      </c>
      <c r="W106" s="6">
        <f>IF(Q106="MATCHED",0,1)</f>
        <v/>
      </c>
    </row>
    <row r="107">
      <c r="A107" s="6" t="inlineStr">
        <is>
          <t>MMUS</t>
        </is>
      </c>
      <c r="B107" s="6" t="inlineStr">
        <is>
          <t>BD0057</t>
        </is>
      </c>
      <c r="C107" s="6" t="inlineStr">
        <is>
          <t>Shell 2.5% 2028</t>
        </is>
      </c>
      <c r="D107" s="6" t="inlineStr">
        <is>
          <t>Bond</t>
        </is>
      </c>
      <c r="E107" s="6">
        <f>A107&amp;"|"&amp;B107</f>
        <v/>
      </c>
      <c r="F107" s="12">
        <f>IFERROR(INDEX('Internal Book'!$E$2:$E$125,MATCH(E107,'Internal Book'!$H$2:$H$125,0)),0)</f>
        <v/>
      </c>
      <c r="G107" s="13">
        <f>IFERROR(INDEX('Internal Book'!$F$2:$F$125,MATCH(E107,'Internal Book'!$H$2:$H$125,0)),0)</f>
        <v/>
      </c>
      <c r="H107" s="11">
        <f>IFERROR(INDEX('Internal Book'!$G$2:$G$125,MATCH(E107,'Internal Book'!$H$2:$H$125,0)),0)</f>
        <v/>
      </c>
      <c r="I107" s="12">
        <f>IFERROR(INDEX('Custodian Statement'!$E$2:$E$125,MATCH(E107,'Custodian Statement'!$H$2:$H$125,0)),0)</f>
        <v/>
      </c>
      <c r="J107" s="13">
        <f>IFERROR(INDEX('Custodian Statement'!$F$2:$F$125,MATCH(E107,'Custodian Statement'!$H$2:$H$125,0)),0)</f>
        <v/>
      </c>
      <c r="K107" s="11">
        <f>IFERROR(INDEX('Custodian Statement'!$G$2:$G$125,MATCH(E107,'Custodian Statement'!$H$2:$H$125,0)),0)</f>
        <v/>
      </c>
      <c r="L107" s="12">
        <f>F107-I107</f>
        <v/>
      </c>
      <c r="M107" s="11">
        <f>H107-K107</f>
        <v/>
      </c>
      <c r="N107" s="12">
        <f>IFERROR((G107-J107)/J107*10000,0)</f>
        <v/>
      </c>
      <c r="O107" s="6">
        <f>COUNTIF('Internal Book'!$H$2:$H$125,E107)</f>
        <v/>
      </c>
      <c r="P107" s="6">
        <f>COUNTIF('Custodian Statement'!$H$2:$H$125,E107)</f>
        <v/>
      </c>
      <c r="Q107" s="6">
        <f>IF(O107=0,"MISSING IN INTERNAL",IF(P107=0,"MISSING IN CUSTODIAN",IF(AND(D107="Cash",ABS(M107)&gt;Parameters!$B$4),"CASH BREAK",IF(L107&lt;&gt;0,"QUANTITY BREAK",IF(ABS(N107)&gt;Parameters!$B$3,"PRICE BREAK",IF(ABS(M107)&gt;Parameters!$B$4,"MV BREAK","MATCHED"))))))</f>
        <v/>
      </c>
      <c r="R107" s="14">
        <f>IFERROR(INDEX('Break Register'!$B$2:$B$10,MATCH(E107,'Break Register'!$A$2:$A$10,0)),"")</f>
        <v/>
      </c>
      <c r="S107" s="12">
        <f>IF(R107="","",Parameters!$B$2-R107)</f>
        <v/>
      </c>
      <c r="T107" s="6">
        <f>IF(S107="","",IF(S107&lt;=2,"0-2 days",IF(S107&lt;=5,"3-5 days",IF(S107&lt;=10,"6-10 days",IF(S107&lt;=30,"11-30 days","30+ days")))))</f>
        <v/>
      </c>
      <c r="U107" s="6">
        <f>IFERROR(INDEX('Break Register'!$C$2:$C$10,MATCH(E107,'Break Register'!$A$2:$A$10,0)),"")</f>
        <v/>
      </c>
      <c r="V107" s="11">
        <f>ABS(M107)</f>
        <v/>
      </c>
      <c r="W107" s="6">
        <f>IF(Q107="MATCHED",0,1)</f>
        <v/>
      </c>
    </row>
    <row r="108">
      <c r="A108" s="6" t="inlineStr">
        <is>
          <t>MMUS</t>
        </is>
      </c>
      <c r="B108" s="6" t="inlineStr">
        <is>
          <t>BD0058</t>
        </is>
      </c>
      <c r="C108" s="6" t="inlineStr">
        <is>
          <t>JPM 4.0% 2031</t>
        </is>
      </c>
      <c r="D108" s="6" t="inlineStr">
        <is>
          <t>Bond</t>
        </is>
      </c>
      <c r="E108" s="6">
        <f>A108&amp;"|"&amp;B108</f>
        <v/>
      </c>
      <c r="F108" s="12">
        <f>IFERROR(INDEX('Internal Book'!$E$2:$E$125,MATCH(E108,'Internal Book'!$H$2:$H$125,0)),0)</f>
        <v/>
      </c>
      <c r="G108" s="13">
        <f>IFERROR(INDEX('Internal Book'!$F$2:$F$125,MATCH(E108,'Internal Book'!$H$2:$H$125,0)),0)</f>
        <v/>
      </c>
      <c r="H108" s="11">
        <f>IFERROR(INDEX('Internal Book'!$G$2:$G$125,MATCH(E108,'Internal Book'!$H$2:$H$125,0)),0)</f>
        <v/>
      </c>
      <c r="I108" s="12">
        <f>IFERROR(INDEX('Custodian Statement'!$E$2:$E$125,MATCH(E108,'Custodian Statement'!$H$2:$H$125,0)),0)</f>
        <v/>
      </c>
      <c r="J108" s="13">
        <f>IFERROR(INDEX('Custodian Statement'!$F$2:$F$125,MATCH(E108,'Custodian Statement'!$H$2:$H$125,0)),0)</f>
        <v/>
      </c>
      <c r="K108" s="11">
        <f>IFERROR(INDEX('Custodian Statement'!$G$2:$G$125,MATCH(E108,'Custodian Statement'!$H$2:$H$125,0)),0)</f>
        <v/>
      </c>
      <c r="L108" s="12">
        <f>F108-I108</f>
        <v/>
      </c>
      <c r="M108" s="11">
        <f>H108-K108</f>
        <v/>
      </c>
      <c r="N108" s="12">
        <f>IFERROR((G108-J108)/J108*10000,0)</f>
        <v/>
      </c>
      <c r="O108" s="6">
        <f>COUNTIF('Internal Book'!$H$2:$H$125,E108)</f>
        <v/>
      </c>
      <c r="P108" s="6">
        <f>COUNTIF('Custodian Statement'!$H$2:$H$125,E108)</f>
        <v/>
      </c>
      <c r="Q108" s="6">
        <f>IF(O108=0,"MISSING IN INTERNAL",IF(P108=0,"MISSING IN CUSTODIAN",IF(AND(D108="Cash",ABS(M108)&gt;Parameters!$B$4),"CASH BREAK",IF(L108&lt;&gt;0,"QUANTITY BREAK",IF(ABS(N108)&gt;Parameters!$B$3,"PRICE BREAK",IF(ABS(M108)&gt;Parameters!$B$4,"MV BREAK","MATCHED"))))))</f>
        <v/>
      </c>
      <c r="R108" s="14">
        <f>IFERROR(INDEX('Break Register'!$B$2:$B$10,MATCH(E108,'Break Register'!$A$2:$A$10,0)),"")</f>
        <v/>
      </c>
      <c r="S108" s="12">
        <f>IF(R108="","",Parameters!$B$2-R108)</f>
        <v/>
      </c>
      <c r="T108" s="6">
        <f>IF(S108="","",IF(S108&lt;=2,"0-2 days",IF(S108&lt;=5,"3-5 days",IF(S108&lt;=10,"6-10 days",IF(S108&lt;=30,"11-30 days","30+ days")))))</f>
        <v/>
      </c>
      <c r="U108" s="6">
        <f>IFERROR(INDEX('Break Register'!$C$2:$C$10,MATCH(E108,'Break Register'!$A$2:$A$10,0)),"")</f>
        <v/>
      </c>
      <c r="V108" s="11">
        <f>ABS(M108)</f>
        <v/>
      </c>
      <c r="W108" s="6">
        <f>IF(Q108="MATCHED",0,1)</f>
        <v/>
      </c>
    </row>
    <row r="109">
      <c r="A109" s="6" t="inlineStr">
        <is>
          <t>MMUS</t>
        </is>
      </c>
      <c r="B109" s="6" t="inlineStr">
        <is>
          <t>BD0059</t>
        </is>
      </c>
      <c r="C109" s="6" t="inlineStr">
        <is>
          <t>Toyota 2.1% 2027</t>
        </is>
      </c>
      <c r="D109" s="6" t="inlineStr">
        <is>
          <t>Bond</t>
        </is>
      </c>
      <c r="E109" s="6">
        <f>A109&amp;"|"&amp;B109</f>
        <v/>
      </c>
      <c r="F109" s="12">
        <f>IFERROR(INDEX('Internal Book'!$E$2:$E$125,MATCH(E109,'Internal Book'!$H$2:$H$125,0)),0)</f>
        <v/>
      </c>
      <c r="G109" s="13">
        <f>IFERROR(INDEX('Internal Book'!$F$2:$F$125,MATCH(E109,'Internal Book'!$H$2:$H$125,0)),0)</f>
        <v/>
      </c>
      <c r="H109" s="11">
        <f>IFERROR(INDEX('Internal Book'!$G$2:$G$125,MATCH(E109,'Internal Book'!$H$2:$H$125,0)),0)</f>
        <v/>
      </c>
      <c r="I109" s="12">
        <f>IFERROR(INDEX('Custodian Statement'!$E$2:$E$125,MATCH(E109,'Custodian Statement'!$H$2:$H$125,0)),0)</f>
        <v/>
      </c>
      <c r="J109" s="13">
        <f>IFERROR(INDEX('Custodian Statement'!$F$2:$F$125,MATCH(E109,'Custodian Statement'!$H$2:$H$125,0)),0)</f>
        <v/>
      </c>
      <c r="K109" s="11">
        <f>IFERROR(INDEX('Custodian Statement'!$G$2:$G$125,MATCH(E109,'Custodian Statement'!$H$2:$H$125,0)),0)</f>
        <v/>
      </c>
      <c r="L109" s="12">
        <f>F109-I109</f>
        <v/>
      </c>
      <c r="M109" s="11">
        <f>H109-K109</f>
        <v/>
      </c>
      <c r="N109" s="12">
        <f>IFERROR((G109-J109)/J109*10000,0)</f>
        <v/>
      </c>
      <c r="O109" s="6">
        <f>COUNTIF('Internal Book'!$H$2:$H$125,E109)</f>
        <v/>
      </c>
      <c r="P109" s="6">
        <f>COUNTIF('Custodian Statement'!$H$2:$H$125,E109)</f>
        <v/>
      </c>
      <c r="Q109" s="6">
        <f>IF(O109=0,"MISSING IN INTERNAL",IF(P109=0,"MISSING IN CUSTODIAN",IF(AND(D109="Cash",ABS(M109)&gt;Parameters!$B$4),"CASH BREAK",IF(L109&lt;&gt;0,"QUANTITY BREAK",IF(ABS(N109)&gt;Parameters!$B$3,"PRICE BREAK",IF(ABS(M109)&gt;Parameters!$B$4,"MV BREAK","MATCHED"))))))</f>
        <v/>
      </c>
      <c r="R109" s="14">
        <f>IFERROR(INDEX('Break Register'!$B$2:$B$10,MATCH(E109,'Break Register'!$A$2:$A$10,0)),"")</f>
        <v/>
      </c>
      <c r="S109" s="12">
        <f>IF(R109="","",Parameters!$B$2-R109)</f>
        <v/>
      </c>
      <c r="T109" s="6">
        <f>IF(S109="","",IF(S109&lt;=2,"0-2 days",IF(S109&lt;=5,"3-5 days",IF(S109&lt;=10,"6-10 days",IF(S109&lt;=30,"11-30 days","30+ days")))))</f>
        <v/>
      </c>
      <c r="U109" s="6">
        <f>IFERROR(INDEX('Break Register'!$C$2:$C$10,MATCH(E109,'Break Register'!$A$2:$A$10,0)),"")</f>
        <v/>
      </c>
      <c r="V109" s="11">
        <f>ABS(M109)</f>
        <v/>
      </c>
      <c r="W109" s="6">
        <f>IF(Q109="MATCHED",0,1)</f>
        <v/>
      </c>
    </row>
    <row r="110">
      <c r="A110" s="6" t="inlineStr">
        <is>
          <t>MMUS</t>
        </is>
      </c>
      <c r="B110" s="6" t="inlineStr">
        <is>
          <t>BD0060</t>
        </is>
      </c>
      <c r="C110" s="6" t="inlineStr">
        <is>
          <t>France OAT 2.0% 2032</t>
        </is>
      </c>
      <c r="D110" s="6" t="inlineStr">
        <is>
          <t>Bond</t>
        </is>
      </c>
      <c r="E110" s="6">
        <f>A110&amp;"|"&amp;B110</f>
        <v/>
      </c>
      <c r="F110" s="12">
        <f>IFERROR(INDEX('Internal Book'!$E$2:$E$125,MATCH(E110,'Internal Book'!$H$2:$H$125,0)),0)</f>
        <v/>
      </c>
      <c r="G110" s="13">
        <f>IFERROR(INDEX('Internal Book'!$F$2:$F$125,MATCH(E110,'Internal Book'!$H$2:$H$125,0)),0)</f>
        <v/>
      </c>
      <c r="H110" s="11">
        <f>IFERROR(INDEX('Internal Book'!$G$2:$G$125,MATCH(E110,'Internal Book'!$H$2:$H$125,0)),0)</f>
        <v/>
      </c>
      <c r="I110" s="12">
        <f>IFERROR(INDEX('Custodian Statement'!$E$2:$E$125,MATCH(E110,'Custodian Statement'!$H$2:$H$125,0)),0)</f>
        <v/>
      </c>
      <c r="J110" s="13">
        <f>IFERROR(INDEX('Custodian Statement'!$F$2:$F$125,MATCH(E110,'Custodian Statement'!$H$2:$H$125,0)),0)</f>
        <v/>
      </c>
      <c r="K110" s="11">
        <f>IFERROR(INDEX('Custodian Statement'!$G$2:$G$125,MATCH(E110,'Custodian Statement'!$H$2:$H$125,0)),0)</f>
        <v/>
      </c>
      <c r="L110" s="12">
        <f>F110-I110</f>
        <v/>
      </c>
      <c r="M110" s="11">
        <f>H110-K110</f>
        <v/>
      </c>
      <c r="N110" s="12">
        <f>IFERROR((G110-J110)/J110*10000,0)</f>
        <v/>
      </c>
      <c r="O110" s="6">
        <f>COUNTIF('Internal Book'!$H$2:$H$125,E110)</f>
        <v/>
      </c>
      <c r="P110" s="6">
        <f>COUNTIF('Custodian Statement'!$H$2:$H$125,E110)</f>
        <v/>
      </c>
      <c r="Q110" s="6">
        <f>IF(O110=0,"MISSING IN INTERNAL",IF(P110=0,"MISSING IN CUSTODIAN",IF(AND(D110="Cash",ABS(M110)&gt;Parameters!$B$4),"CASH BREAK",IF(L110&lt;&gt;0,"QUANTITY BREAK",IF(ABS(N110)&gt;Parameters!$B$3,"PRICE BREAK",IF(ABS(M110)&gt;Parameters!$B$4,"MV BREAK","MATCHED"))))))</f>
        <v/>
      </c>
      <c r="R110" s="14">
        <f>IFERROR(INDEX('Break Register'!$B$2:$B$10,MATCH(E110,'Break Register'!$A$2:$A$10,0)),"")</f>
        <v/>
      </c>
      <c r="S110" s="12">
        <f>IF(R110="","",Parameters!$B$2-R110)</f>
        <v/>
      </c>
      <c r="T110" s="6">
        <f>IF(S110="","",IF(S110&lt;=2,"0-2 days",IF(S110&lt;=5,"3-5 days",IF(S110&lt;=10,"6-10 days",IF(S110&lt;=30,"11-30 days","30+ days")))))</f>
        <v/>
      </c>
      <c r="U110" s="6">
        <f>IFERROR(INDEX('Break Register'!$C$2:$C$10,MATCH(E110,'Break Register'!$A$2:$A$10,0)),"")</f>
        <v/>
      </c>
      <c r="V110" s="11">
        <f>ABS(M110)</f>
        <v/>
      </c>
      <c r="W110" s="6">
        <f>IF(Q110="MATCHED",0,1)</f>
        <v/>
      </c>
    </row>
    <row r="111">
      <c r="A111" s="6" t="inlineStr">
        <is>
          <t>MMUS</t>
        </is>
      </c>
      <c r="B111" s="6" t="inlineStr">
        <is>
          <t>BD0061</t>
        </is>
      </c>
      <c r="C111" s="6" t="inlineStr">
        <is>
          <t>Corporate Note Series 01</t>
        </is>
      </c>
      <c r="D111" s="6" t="inlineStr">
        <is>
          <t>Bond</t>
        </is>
      </c>
      <c r="E111" s="6">
        <f>A111&amp;"|"&amp;B111</f>
        <v/>
      </c>
      <c r="F111" s="12">
        <f>IFERROR(INDEX('Internal Book'!$E$2:$E$125,MATCH(E111,'Internal Book'!$H$2:$H$125,0)),0)</f>
        <v/>
      </c>
      <c r="G111" s="13">
        <f>IFERROR(INDEX('Internal Book'!$F$2:$F$125,MATCH(E111,'Internal Book'!$H$2:$H$125,0)),0)</f>
        <v/>
      </c>
      <c r="H111" s="11">
        <f>IFERROR(INDEX('Internal Book'!$G$2:$G$125,MATCH(E111,'Internal Book'!$H$2:$H$125,0)),0)</f>
        <v/>
      </c>
      <c r="I111" s="12">
        <f>IFERROR(INDEX('Custodian Statement'!$E$2:$E$125,MATCH(E111,'Custodian Statement'!$H$2:$H$125,0)),0)</f>
        <v/>
      </c>
      <c r="J111" s="13">
        <f>IFERROR(INDEX('Custodian Statement'!$F$2:$F$125,MATCH(E111,'Custodian Statement'!$H$2:$H$125,0)),0)</f>
        <v/>
      </c>
      <c r="K111" s="11">
        <f>IFERROR(INDEX('Custodian Statement'!$G$2:$G$125,MATCH(E111,'Custodian Statement'!$H$2:$H$125,0)),0)</f>
        <v/>
      </c>
      <c r="L111" s="12">
        <f>F111-I111</f>
        <v/>
      </c>
      <c r="M111" s="11">
        <f>H111-K111</f>
        <v/>
      </c>
      <c r="N111" s="12">
        <f>IFERROR((G111-J111)/J111*10000,0)</f>
        <v/>
      </c>
      <c r="O111" s="6">
        <f>COUNTIF('Internal Book'!$H$2:$H$125,E111)</f>
        <v/>
      </c>
      <c r="P111" s="6">
        <f>COUNTIF('Custodian Statement'!$H$2:$H$125,E111)</f>
        <v/>
      </c>
      <c r="Q111" s="6">
        <f>IF(O111=0,"MISSING IN INTERNAL",IF(P111=0,"MISSING IN CUSTODIAN",IF(AND(D111="Cash",ABS(M111)&gt;Parameters!$B$4),"CASH BREAK",IF(L111&lt;&gt;0,"QUANTITY BREAK",IF(ABS(N111)&gt;Parameters!$B$3,"PRICE BREAK",IF(ABS(M111)&gt;Parameters!$B$4,"MV BREAK","MATCHED"))))))</f>
        <v/>
      </c>
      <c r="R111" s="14">
        <f>IFERROR(INDEX('Break Register'!$B$2:$B$10,MATCH(E111,'Break Register'!$A$2:$A$10,0)),"")</f>
        <v/>
      </c>
      <c r="S111" s="12">
        <f>IF(R111="","",Parameters!$B$2-R111)</f>
        <v/>
      </c>
      <c r="T111" s="6">
        <f>IF(S111="","",IF(S111&lt;=2,"0-2 days",IF(S111&lt;=5,"3-5 days",IF(S111&lt;=10,"6-10 days",IF(S111&lt;=30,"11-30 days","30+ days")))))</f>
        <v/>
      </c>
      <c r="U111" s="6">
        <f>IFERROR(INDEX('Break Register'!$C$2:$C$10,MATCH(E111,'Break Register'!$A$2:$A$10,0)),"")</f>
        <v/>
      </c>
      <c r="V111" s="11">
        <f>ABS(M111)</f>
        <v/>
      </c>
      <c r="W111" s="6">
        <f>IF(Q111="MATCHED",0,1)</f>
        <v/>
      </c>
    </row>
    <row r="112">
      <c r="A112" s="6" t="inlineStr">
        <is>
          <t>MMUS</t>
        </is>
      </c>
      <c r="B112" s="6" t="inlineStr">
        <is>
          <t>BD0063</t>
        </is>
      </c>
      <c r="C112" s="6" t="inlineStr">
        <is>
          <t>Corporate Note Series 03</t>
        </is>
      </c>
      <c r="D112" s="6" t="inlineStr">
        <is>
          <t>Bond</t>
        </is>
      </c>
      <c r="E112" s="6">
        <f>A112&amp;"|"&amp;B112</f>
        <v/>
      </c>
      <c r="F112" s="12">
        <f>IFERROR(INDEX('Internal Book'!$E$2:$E$125,MATCH(E112,'Internal Book'!$H$2:$H$125,0)),0)</f>
        <v/>
      </c>
      <c r="G112" s="13">
        <f>IFERROR(INDEX('Internal Book'!$F$2:$F$125,MATCH(E112,'Internal Book'!$H$2:$H$125,0)),0)</f>
        <v/>
      </c>
      <c r="H112" s="11">
        <f>IFERROR(INDEX('Internal Book'!$G$2:$G$125,MATCH(E112,'Internal Book'!$H$2:$H$125,0)),0)</f>
        <v/>
      </c>
      <c r="I112" s="12">
        <f>IFERROR(INDEX('Custodian Statement'!$E$2:$E$125,MATCH(E112,'Custodian Statement'!$H$2:$H$125,0)),0)</f>
        <v/>
      </c>
      <c r="J112" s="13">
        <f>IFERROR(INDEX('Custodian Statement'!$F$2:$F$125,MATCH(E112,'Custodian Statement'!$H$2:$H$125,0)),0)</f>
        <v/>
      </c>
      <c r="K112" s="11">
        <f>IFERROR(INDEX('Custodian Statement'!$G$2:$G$125,MATCH(E112,'Custodian Statement'!$H$2:$H$125,0)),0)</f>
        <v/>
      </c>
      <c r="L112" s="12">
        <f>F112-I112</f>
        <v/>
      </c>
      <c r="M112" s="11">
        <f>H112-K112</f>
        <v/>
      </c>
      <c r="N112" s="12">
        <f>IFERROR((G112-J112)/J112*10000,0)</f>
        <v/>
      </c>
      <c r="O112" s="6">
        <f>COUNTIF('Internal Book'!$H$2:$H$125,E112)</f>
        <v/>
      </c>
      <c r="P112" s="6">
        <f>COUNTIF('Custodian Statement'!$H$2:$H$125,E112)</f>
        <v/>
      </c>
      <c r="Q112" s="6">
        <f>IF(O112=0,"MISSING IN INTERNAL",IF(P112=0,"MISSING IN CUSTODIAN",IF(AND(D112="Cash",ABS(M112)&gt;Parameters!$B$4),"CASH BREAK",IF(L112&lt;&gt;0,"QUANTITY BREAK",IF(ABS(N112)&gt;Parameters!$B$3,"PRICE BREAK",IF(ABS(M112)&gt;Parameters!$B$4,"MV BREAK","MATCHED"))))))</f>
        <v/>
      </c>
      <c r="R112" s="14">
        <f>IFERROR(INDEX('Break Register'!$B$2:$B$10,MATCH(E112,'Break Register'!$A$2:$A$10,0)),"")</f>
        <v/>
      </c>
      <c r="S112" s="12">
        <f>IF(R112="","",Parameters!$B$2-R112)</f>
        <v/>
      </c>
      <c r="T112" s="6">
        <f>IF(S112="","",IF(S112&lt;=2,"0-2 days",IF(S112&lt;=5,"3-5 days",IF(S112&lt;=10,"6-10 days",IF(S112&lt;=30,"11-30 days","30+ days")))))</f>
        <v/>
      </c>
      <c r="U112" s="6">
        <f>IFERROR(INDEX('Break Register'!$C$2:$C$10,MATCH(E112,'Break Register'!$A$2:$A$10,0)),"")</f>
        <v/>
      </c>
      <c r="V112" s="11">
        <f>ABS(M112)</f>
        <v/>
      </c>
      <c r="W112" s="6">
        <f>IF(Q112="MATCHED",0,1)</f>
        <v/>
      </c>
    </row>
    <row r="113">
      <c r="A113" s="6" t="inlineStr">
        <is>
          <t>MMUS</t>
        </is>
      </c>
      <c r="B113" s="6" t="inlineStr">
        <is>
          <t>BD0064</t>
        </is>
      </c>
      <c r="C113" s="6" t="inlineStr">
        <is>
          <t>Corporate Note Series 04</t>
        </is>
      </c>
      <c r="D113" s="6" t="inlineStr">
        <is>
          <t>Bond</t>
        </is>
      </c>
      <c r="E113" s="6">
        <f>A113&amp;"|"&amp;B113</f>
        <v/>
      </c>
      <c r="F113" s="12">
        <f>IFERROR(INDEX('Internal Book'!$E$2:$E$125,MATCH(E113,'Internal Book'!$H$2:$H$125,0)),0)</f>
        <v/>
      </c>
      <c r="G113" s="13">
        <f>IFERROR(INDEX('Internal Book'!$F$2:$F$125,MATCH(E113,'Internal Book'!$H$2:$H$125,0)),0)</f>
        <v/>
      </c>
      <c r="H113" s="11">
        <f>IFERROR(INDEX('Internal Book'!$G$2:$G$125,MATCH(E113,'Internal Book'!$H$2:$H$125,0)),0)</f>
        <v/>
      </c>
      <c r="I113" s="12">
        <f>IFERROR(INDEX('Custodian Statement'!$E$2:$E$125,MATCH(E113,'Custodian Statement'!$H$2:$H$125,0)),0)</f>
        <v/>
      </c>
      <c r="J113" s="13">
        <f>IFERROR(INDEX('Custodian Statement'!$F$2:$F$125,MATCH(E113,'Custodian Statement'!$H$2:$H$125,0)),0)</f>
        <v/>
      </c>
      <c r="K113" s="11">
        <f>IFERROR(INDEX('Custodian Statement'!$G$2:$G$125,MATCH(E113,'Custodian Statement'!$H$2:$H$125,0)),0)</f>
        <v/>
      </c>
      <c r="L113" s="12">
        <f>F113-I113</f>
        <v/>
      </c>
      <c r="M113" s="11">
        <f>H113-K113</f>
        <v/>
      </c>
      <c r="N113" s="12">
        <f>IFERROR((G113-J113)/J113*10000,0)</f>
        <v/>
      </c>
      <c r="O113" s="6">
        <f>COUNTIF('Internal Book'!$H$2:$H$125,E113)</f>
        <v/>
      </c>
      <c r="P113" s="6">
        <f>COUNTIF('Custodian Statement'!$H$2:$H$125,E113)</f>
        <v/>
      </c>
      <c r="Q113" s="6">
        <f>IF(O113=0,"MISSING IN INTERNAL",IF(P113=0,"MISSING IN CUSTODIAN",IF(AND(D113="Cash",ABS(M113)&gt;Parameters!$B$4),"CASH BREAK",IF(L113&lt;&gt;0,"QUANTITY BREAK",IF(ABS(N113)&gt;Parameters!$B$3,"PRICE BREAK",IF(ABS(M113)&gt;Parameters!$B$4,"MV BREAK","MATCHED"))))))</f>
        <v/>
      </c>
      <c r="R113" s="14">
        <f>IFERROR(INDEX('Break Register'!$B$2:$B$10,MATCH(E113,'Break Register'!$A$2:$A$10,0)),"")</f>
        <v/>
      </c>
      <c r="S113" s="12">
        <f>IF(R113="","",Parameters!$B$2-R113)</f>
        <v/>
      </c>
      <c r="T113" s="6">
        <f>IF(S113="","",IF(S113&lt;=2,"0-2 days",IF(S113&lt;=5,"3-5 days",IF(S113&lt;=10,"6-10 days",IF(S113&lt;=30,"11-30 days","30+ days")))))</f>
        <v/>
      </c>
      <c r="U113" s="6">
        <f>IFERROR(INDEX('Break Register'!$C$2:$C$10,MATCH(E113,'Break Register'!$A$2:$A$10,0)),"")</f>
        <v/>
      </c>
      <c r="V113" s="11">
        <f>ABS(M113)</f>
        <v/>
      </c>
      <c r="W113" s="6">
        <f>IF(Q113="MATCHED",0,1)</f>
        <v/>
      </c>
    </row>
    <row r="114">
      <c r="A114" s="6" t="inlineStr">
        <is>
          <t>MMUS</t>
        </is>
      </c>
      <c r="B114" s="6" t="inlineStr">
        <is>
          <t>BD0065</t>
        </is>
      </c>
      <c r="C114" s="6" t="inlineStr">
        <is>
          <t>Corporate Note Series 05</t>
        </is>
      </c>
      <c r="D114" s="6" t="inlineStr">
        <is>
          <t>Bond</t>
        </is>
      </c>
      <c r="E114" s="6">
        <f>A114&amp;"|"&amp;B114</f>
        <v/>
      </c>
      <c r="F114" s="12">
        <f>IFERROR(INDEX('Internal Book'!$E$2:$E$125,MATCH(E114,'Internal Book'!$H$2:$H$125,0)),0)</f>
        <v/>
      </c>
      <c r="G114" s="13">
        <f>IFERROR(INDEX('Internal Book'!$F$2:$F$125,MATCH(E114,'Internal Book'!$H$2:$H$125,0)),0)</f>
        <v/>
      </c>
      <c r="H114" s="11">
        <f>IFERROR(INDEX('Internal Book'!$G$2:$G$125,MATCH(E114,'Internal Book'!$H$2:$H$125,0)),0)</f>
        <v/>
      </c>
      <c r="I114" s="12">
        <f>IFERROR(INDEX('Custodian Statement'!$E$2:$E$125,MATCH(E114,'Custodian Statement'!$H$2:$H$125,0)),0)</f>
        <v/>
      </c>
      <c r="J114" s="13">
        <f>IFERROR(INDEX('Custodian Statement'!$F$2:$F$125,MATCH(E114,'Custodian Statement'!$H$2:$H$125,0)),0)</f>
        <v/>
      </c>
      <c r="K114" s="11">
        <f>IFERROR(INDEX('Custodian Statement'!$G$2:$G$125,MATCH(E114,'Custodian Statement'!$H$2:$H$125,0)),0)</f>
        <v/>
      </c>
      <c r="L114" s="12">
        <f>F114-I114</f>
        <v/>
      </c>
      <c r="M114" s="11">
        <f>H114-K114</f>
        <v/>
      </c>
      <c r="N114" s="12">
        <f>IFERROR((G114-J114)/J114*10000,0)</f>
        <v/>
      </c>
      <c r="O114" s="6">
        <f>COUNTIF('Internal Book'!$H$2:$H$125,E114)</f>
        <v/>
      </c>
      <c r="P114" s="6">
        <f>COUNTIF('Custodian Statement'!$H$2:$H$125,E114)</f>
        <v/>
      </c>
      <c r="Q114" s="6">
        <f>IF(O114=0,"MISSING IN INTERNAL",IF(P114=0,"MISSING IN CUSTODIAN",IF(AND(D114="Cash",ABS(M114)&gt;Parameters!$B$4),"CASH BREAK",IF(L114&lt;&gt;0,"QUANTITY BREAK",IF(ABS(N114)&gt;Parameters!$B$3,"PRICE BREAK",IF(ABS(M114)&gt;Parameters!$B$4,"MV BREAK","MATCHED"))))))</f>
        <v/>
      </c>
      <c r="R114" s="14">
        <f>IFERROR(INDEX('Break Register'!$B$2:$B$10,MATCH(E114,'Break Register'!$A$2:$A$10,0)),"")</f>
        <v/>
      </c>
      <c r="S114" s="12">
        <f>IF(R114="","",Parameters!$B$2-R114)</f>
        <v/>
      </c>
      <c r="T114" s="6">
        <f>IF(S114="","",IF(S114&lt;=2,"0-2 days",IF(S114&lt;=5,"3-5 days",IF(S114&lt;=10,"6-10 days",IF(S114&lt;=30,"11-30 days","30+ days")))))</f>
        <v/>
      </c>
      <c r="U114" s="6">
        <f>IFERROR(INDEX('Break Register'!$C$2:$C$10,MATCH(E114,'Break Register'!$A$2:$A$10,0)),"")</f>
        <v/>
      </c>
      <c r="V114" s="11">
        <f>ABS(M114)</f>
        <v/>
      </c>
      <c r="W114" s="6">
        <f>IF(Q114="MATCHED",0,1)</f>
        <v/>
      </c>
    </row>
    <row r="115">
      <c r="A115" s="6" t="inlineStr">
        <is>
          <t>MMUS</t>
        </is>
      </c>
      <c r="B115" s="6" t="inlineStr">
        <is>
          <t>BD0066</t>
        </is>
      </c>
      <c r="C115" s="6" t="inlineStr">
        <is>
          <t>Corporate Note Series 06</t>
        </is>
      </c>
      <c r="D115" s="6" t="inlineStr">
        <is>
          <t>Bond</t>
        </is>
      </c>
      <c r="E115" s="6">
        <f>A115&amp;"|"&amp;B115</f>
        <v/>
      </c>
      <c r="F115" s="12">
        <f>IFERROR(INDEX('Internal Book'!$E$2:$E$125,MATCH(E115,'Internal Book'!$H$2:$H$125,0)),0)</f>
        <v/>
      </c>
      <c r="G115" s="13">
        <f>IFERROR(INDEX('Internal Book'!$F$2:$F$125,MATCH(E115,'Internal Book'!$H$2:$H$125,0)),0)</f>
        <v/>
      </c>
      <c r="H115" s="11">
        <f>IFERROR(INDEX('Internal Book'!$G$2:$G$125,MATCH(E115,'Internal Book'!$H$2:$H$125,0)),0)</f>
        <v/>
      </c>
      <c r="I115" s="12">
        <f>IFERROR(INDEX('Custodian Statement'!$E$2:$E$125,MATCH(E115,'Custodian Statement'!$H$2:$H$125,0)),0)</f>
        <v/>
      </c>
      <c r="J115" s="13">
        <f>IFERROR(INDEX('Custodian Statement'!$F$2:$F$125,MATCH(E115,'Custodian Statement'!$H$2:$H$125,0)),0)</f>
        <v/>
      </c>
      <c r="K115" s="11">
        <f>IFERROR(INDEX('Custodian Statement'!$G$2:$G$125,MATCH(E115,'Custodian Statement'!$H$2:$H$125,0)),0)</f>
        <v/>
      </c>
      <c r="L115" s="12">
        <f>F115-I115</f>
        <v/>
      </c>
      <c r="M115" s="11">
        <f>H115-K115</f>
        <v/>
      </c>
      <c r="N115" s="12">
        <f>IFERROR((G115-J115)/J115*10000,0)</f>
        <v/>
      </c>
      <c r="O115" s="6">
        <f>COUNTIF('Internal Book'!$H$2:$H$125,E115)</f>
        <v/>
      </c>
      <c r="P115" s="6">
        <f>COUNTIF('Custodian Statement'!$H$2:$H$125,E115)</f>
        <v/>
      </c>
      <c r="Q115" s="6">
        <f>IF(O115=0,"MISSING IN INTERNAL",IF(P115=0,"MISSING IN CUSTODIAN",IF(AND(D115="Cash",ABS(M115)&gt;Parameters!$B$4),"CASH BREAK",IF(L115&lt;&gt;0,"QUANTITY BREAK",IF(ABS(N115)&gt;Parameters!$B$3,"PRICE BREAK",IF(ABS(M115)&gt;Parameters!$B$4,"MV BREAK","MATCHED"))))))</f>
        <v/>
      </c>
      <c r="R115" s="14">
        <f>IFERROR(INDEX('Break Register'!$B$2:$B$10,MATCH(E115,'Break Register'!$A$2:$A$10,0)),"")</f>
        <v/>
      </c>
      <c r="S115" s="12">
        <f>IF(R115="","",Parameters!$B$2-R115)</f>
        <v/>
      </c>
      <c r="T115" s="6">
        <f>IF(S115="","",IF(S115&lt;=2,"0-2 days",IF(S115&lt;=5,"3-5 days",IF(S115&lt;=10,"6-10 days",IF(S115&lt;=30,"11-30 days","30+ days")))))</f>
        <v/>
      </c>
      <c r="U115" s="6">
        <f>IFERROR(INDEX('Break Register'!$C$2:$C$10,MATCH(E115,'Break Register'!$A$2:$A$10,0)),"")</f>
        <v/>
      </c>
      <c r="V115" s="11">
        <f>ABS(M115)</f>
        <v/>
      </c>
      <c r="W115" s="6">
        <f>IF(Q115="MATCHED",0,1)</f>
        <v/>
      </c>
    </row>
    <row r="116">
      <c r="A116" s="6" t="inlineStr">
        <is>
          <t>MMUS</t>
        </is>
      </c>
      <c r="B116" s="6" t="inlineStr">
        <is>
          <t>BD0067</t>
        </is>
      </c>
      <c r="C116" s="6" t="inlineStr">
        <is>
          <t>Corporate Note Series 07</t>
        </is>
      </c>
      <c r="D116" s="6" t="inlineStr">
        <is>
          <t>Bond</t>
        </is>
      </c>
      <c r="E116" s="6">
        <f>A116&amp;"|"&amp;B116</f>
        <v/>
      </c>
      <c r="F116" s="12">
        <f>IFERROR(INDEX('Internal Book'!$E$2:$E$125,MATCH(E116,'Internal Book'!$H$2:$H$125,0)),0)</f>
        <v/>
      </c>
      <c r="G116" s="13">
        <f>IFERROR(INDEX('Internal Book'!$F$2:$F$125,MATCH(E116,'Internal Book'!$H$2:$H$125,0)),0)</f>
        <v/>
      </c>
      <c r="H116" s="11">
        <f>IFERROR(INDEX('Internal Book'!$G$2:$G$125,MATCH(E116,'Internal Book'!$H$2:$H$125,0)),0)</f>
        <v/>
      </c>
      <c r="I116" s="12">
        <f>IFERROR(INDEX('Custodian Statement'!$E$2:$E$125,MATCH(E116,'Custodian Statement'!$H$2:$H$125,0)),0)</f>
        <v/>
      </c>
      <c r="J116" s="13">
        <f>IFERROR(INDEX('Custodian Statement'!$F$2:$F$125,MATCH(E116,'Custodian Statement'!$H$2:$H$125,0)),0)</f>
        <v/>
      </c>
      <c r="K116" s="11">
        <f>IFERROR(INDEX('Custodian Statement'!$G$2:$G$125,MATCH(E116,'Custodian Statement'!$H$2:$H$125,0)),0)</f>
        <v/>
      </c>
      <c r="L116" s="12">
        <f>F116-I116</f>
        <v/>
      </c>
      <c r="M116" s="11">
        <f>H116-K116</f>
        <v/>
      </c>
      <c r="N116" s="12">
        <f>IFERROR((G116-J116)/J116*10000,0)</f>
        <v/>
      </c>
      <c r="O116" s="6">
        <f>COUNTIF('Internal Book'!$H$2:$H$125,E116)</f>
        <v/>
      </c>
      <c r="P116" s="6">
        <f>COUNTIF('Custodian Statement'!$H$2:$H$125,E116)</f>
        <v/>
      </c>
      <c r="Q116" s="6">
        <f>IF(O116=0,"MISSING IN INTERNAL",IF(P116=0,"MISSING IN CUSTODIAN",IF(AND(D116="Cash",ABS(M116)&gt;Parameters!$B$4),"CASH BREAK",IF(L116&lt;&gt;0,"QUANTITY BREAK",IF(ABS(N116)&gt;Parameters!$B$3,"PRICE BREAK",IF(ABS(M116)&gt;Parameters!$B$4,"MV BREAK","MATCHED"))))))</f>
        <v/>
      </c>
      <c r="R116" s="14">
        <f>IFERROR(INDEX('Break Register'!$B$2:$B$10,MATCH(E116,'Break Register'!$A$2:$A$10,0)),"")</f>
        <v/>
      </c>
      <c r="S116" s="12">
        <f>IF(R116="","",Parameters!$B$2-R116)</f>
        <v/>
      </c>
      <c r="T116" s="6">
        <f>IF(S116="","",IF(S116&lt;=2,"0-2 days",IF(S116&lt;=5,"3-5 days",IF(S116&lt;=10,"6-10 days",IF(S116&lt;=30,"11-30 days","30+ days")))))</f>
        <v/>
      </c>
      <c r="U116" s="6">
        <f>IFERROR(INDEX('Break Register'!$C$2:$C$10,MATCH(E116,'Break Register'!$A$2:$A$10,0)),"")</f>
        <v/>
      </c>
      <c r="V116" s="11">
        <f>ABS(M116)</f>
        <v/>
      </c>
      <c r="W116" s="6">
        <f>IF(Q116="MATCHED",0,1)</f>
        <v/>
      </c>
    </row>
    <row r="117">
      <c r="A117" s="6" t="inlineStr">
        <is>
          <t>MMUS</t>
        </is>
      </c>
      <c r="B117" s="6" t="inlineStr">
        <is>
          <t>BD0068</t>
        </is>
      </c>
      <c r="C117" s="6" t="inlineStr">
        <is>
          <t>Corporate Note Series 08</t>
        </is>
      </c>
      <c r="D117" s="6" t="inlineStr">
        <is>
          <t>Bond</t>
        </is>
      </c>
      <c r="E117" s="6">
        <f>A117&amp;"|"&amp;B117</f>
        <v/>
      </c>
      <c r="F117" s="12">
        <f>IFERROR(INDEX('Internal Book'!$E$2:$E$125,MATCH(E117,'Internal Book'!$H$2:$H$125,0)),0)</f>
        <v/>
      </c>
      <c r="G117" s="13">
        <f>IFERROR(INDEX('Internal Book'!$F$2:$F$125,MATCH(E117,'Internal Book'!$H$2:$H$125,0)),0)</f>
        <v/>
      </c>
      <c r="H117" s="11">
        <f>IFERROR(INDEX('Internal Book'!$G$2:$G$125,MATCH(E117,'Internal Book'!$H$2:$H$125,0)),0)</f>
        <v/>
      </c>
      <c r="I117" s="12">
        <f>IFERROR(INDEX('Custodian Statement'!$E$2:$E$125,MATCH(E117,'Custodian Statement'!$H$2:$H$125,0)),0)</f>
        <v/>
      </c>
      <c r="J117" s="13">
        <f>IFERROR(INDEX('Custodian Statement'!$F$2:$F$125,MATCH(E117,'Custodian Statement'!$H$2:$H$125,0)),0)</f>
        <v/>
      </c>
      <c r="K117" s="11">
        <f>IFERROR(INDEX('Custodian Statement'!$G$2:$G$125,MATCH(E117,'Custodian Statement'!$H$2:$H$125,0)),0)</f>
        <v/>
      </c>
      <c r="L117" s="12">
        <f>F117-I117</f>
        <v/>
      </c>
      <c r="M117" s="11">
        <f>H117-K117</f>
        <v/>
      </c>
      <c r="N117" s="12">
        <f>IFERROR((G117-J117)/J117*10000,0)</f>
        <v/>
      </c>
      <c r="O117" s="6">
        <f>COUNTIF('Internal Book'!$H$2:$H$125,E117)</f>
        <v/>
      </c>
      <c r="P117" s="6">
        <f>COUNTIF('Custodian Statement'!$H$2:$H$125,E117)</f>
        <v/>
      </c>
      <c r="Q117" s="6">
        <f>IF(O117=0,"MISSING IN INTERNAL",IF(P117=0,"MISSING IN CUSTODIAN",IF(AND(D117="Cash",ABS(M117)&gt;Parameters!$B$4),"CASH BREAK",IF(L117&lt;&gt;0,"QUANTITY BREAK",IF(ABS(N117)&gt;Parameters!$B$3,"PRICE BREAK",IF(ABS(M117)&gt;Parameters!$B$4,"MV BREAK","MATCHED"))))))</f>
        <v/>
      </c>
      <c r="R117" s="14">
        <f>IFERROR(INDEX('Break Register'!$B$2:$B$10,MATCH(E117,'Break Register'!$A$2:$A$10,0)),"")</f>
        <v/>
      </c>
      <c r="S117" s="12">
        <f>IF(R117="","",Parameters!$B$2-R117)</f>
        <v/>
      </c>
      <c r="T117" s="6">
        <f>IF(S117="","",IF(S117&lt;=2,"0-2 days",IF(S117&lt;=5,"3-5 days",IF(S117&lt;=10,"6-10 days",IF(S117&lt;=30,"11-30 days","30+ days")))))</f>
        <v/>
      </c>
      <c r="U117" s="6">
        <f>IFERROR(INDEX('Break Register'!$C$2:$C$10,MATCH(E117,'Break Register'!$A$2:$A$10,0)),"")</f>
        <v/>
      </c>
      <c r="V117" s="11">
        <f>ABS(M117)</f>
        <v/>
      </c>
      <c r="W117" s="6">
        <f>IF(Q117="MATCHED",0,1)</f>
        <v/>
      </c>
    </row>
    <row r="118">
      <c r="A118" s="6" t="inlineStr">
        <is>
          <t>MMUS</t>
        </is>
      </c>
      <c r="B118" s="6" t="inlineStr">
        <is>
          <t>BD0069</t>
        </is>
      </c>
      <c r="C118" s="6" t="inlineStr">
        <is>
          <t>Corporate Note Series 09</t>
        </is>
      </c>
      <c r="D118" s="6" t="inlineStr">
        <is>
          <t>Bond</t>
        </is>
      </c>
      <c r="E118" s="6">
        <f>A118&amp;"|"&amp;B118</f>
        <v/>
      </c>
      <c r="F118" s="12">
        <f>IFERROR(INDEX('Internal Book'!$E$2:$E$125,MATCH(E118,'Internal Book'!$H$2:$H$125,0)),0)</f>
        <v/>
      </c>
      <c r="G118" s="13">
        <f>IFERROR(INDEX('Internal Book'!$F$2:$F$125,MATCH(E118,'Internal Book'!$H$2:$H$125,0)),0)</f>
        <v/>
      </c>
      <c r="H118" s="11">
        <f>IFERROR(INDEX('Internal Book'!$G$2:$G$125,MATCH(E118,'Internal Book'!$H$2:$H$125,0)),0)</f>
        <v/>
      </c>
      <c r="I118" s="12">
        <f>IFERROR(INDEX('Custodian Statement'!$E$2:$E$125,MATCH(E118,'Custodian Statement'!$H$2:$H$125,0)),0)</f>
        <v/>
      </c>
      <c r="J118" s="13">
        <f>IFERROR(INDEX('Custodian Statement'!$F$2:$F$125,MATCH(E118,'Custodian Statement'!$H$2:$H$125,0)),0)</f>
        <v/>
      </c>
      <c r="K118" s="11">
        <f>IFERROR(INDEX('Custodian Statement'!$G$2:$G$125,MATCH(E118,'Custodian Statement'!$H$2:$H$125,0)),0)</f>
        <v/>
      </c>
      <c r="L118" s="12">
        <f>F118-I118</f>
        <v/>
      </c>
      <c r="M118" s="11">
        <f>H118-K118</f>
        <v/>
      </c>
      <c r="N118" s="12">
        <f>IFERROR((G118-J118)/J118*10000,0)</f>
        <v/>
      </c>
      <c r="O118" s="6">
        <f>COUNTIF('Internal Book'!$H$2:$H$125,E118)</f>
        <v/>
      </c>
      <c r="P118" s="6">
        <f>COUNTIF('Custodian Statement'!$H$2:$H$125,E118)</f>
        <v/>
      </c>
      <c r="Q118" s="6">
        <f>IF(O118=0,"MISSING IN INTERNAL",IF(P118=0,"MISSING IN CUSTODIAN",IF(AND(D118="Cash",ABS(M118)&gt;Parameters!$B$4),"CASH BREAK",IF(L118&lt;&gt;0,"QUANTITY BREAK",IF(ABS(N118)&gt;Parameters!$B$3,"PRICE BREAK",IF(ABS(M118)&gt;Parameters!$B$4,"MV BREAK","MATCHED"))))))</f>
        <v/>
      </c>
      <c r="R118" s="14">
        <f>IFERROR(INDEX('Break Register'!$B$2:$B$10,MATCH(E118,'Break Register'!$A$2:$A$10,0)),"")</f>
        <v/>
      </c>
      <c r="S118" s="12">
        <f>IF(R118="","",Parameters!$B$2-R118)</f>
        <v/>
      </c>
      <c r="T118" s="6">
        <f>IF(S118="","",IF(S118&lt;=2,"0-2 days",IF(S118&lt;=5,"3-5 days",IF(S118&lt;=10,"6-10 days",IF(S118&lt;=30,"11-30 days","30+ days")))))</f>
        <v/>
      </c>
      <c r="U118" s="6">
        <f>IFERROR(INDEX('Break Register'!$C$2:$C$10,MATCH(E118,'Break Register'!$A$2:$A$10,0)),"")</f>
        <v/>
      </c>
      <c r="V118" s="11">
        <f>ABS(M118)</f>
        <v/>
      </c>
      <c r="W118" s="6">
        <f>IF(Q118="MATCHED",0,1)</f>
        <v/>
      </c>
    </row>
    <row r="119">
      <c r="A119" s="6" t="inlineStr">
        <is>
          <t>MMUS</t>
        </is>
      </c>
      <c r="B119" s="6" t="inlineStr">
        <is>
          <t>BD0071</t>
        </is>
      </c>
      <c r="C119" s="6" t="inlineStr">
        <is>
          <t>Corporate Note Series 11</t>
        </is>
      </c>
      <c r="D119" s="6" t="inlineStr">
        <is>
          <t>Bond</t>
        </is>
      </c>
      <c r="E119" s="6">
        <f>A119&amp;"|"&amp;B119</f>
        <v/>
      </c>
      <c r="F119" s="12">
        <f>IFERROR(INDEX('Internal Book'!$E$2:$E$125,MATCH(E119,'Internal Book'!$H$2:$H$125,0)),0)</f>
        <v/>
      </c>
      <c r="G119" s="13">
        <f>IFERROR(INDEX('Internal Book'!$F$2:$F$125,MATCH(E119,'Internal Book'!$H$2:$H$125,0)),0)</f>
        <v/>
      </c>
      <c r="H119" s="11">
        <f>IFERROR(INDEX('Internal Book'!$G$2:$G$125,MATCH(E119,'Internal Book'!$H$2:$H$125,0)),0)</f>
        <v/>
      </c>
      <c r="I119" s="12">
        <f>IFERROR(INDEX('Custodian Statement'!$E$2:$E$125,MATCH(E119,'Custodian Statement'!$H$2:$H$125,0)),0)</f>
        <v/>
      </c>
      <c r="J119" s="13">
        <f>IFERROR(INDEX('Custodian Statement'!$F$2:$F$125,MATCH(E119,'Custodian Statement'!$H$2:$H$125,0)),0)</f>
        <v/>
      </c>
      <c r="K119" s="11">
        <f>IFERROR(INDEX('Custodian Statement'!$G$2:$G$125,MATCH(E119,'Custodian Statement'!$H$2:$H$125,0)),0)</f>
        <v/>
      </c>
      <c r="L119" s="12">
        <f>F119-I119</f>
        <v/>
      </c>
      <c r="M119" s="11">
        <f>H119-K119</f>
        <v/>
      </c>
      <c r="N119" s="12">
        <f>IFERROR((G119-J119)/J119*10000,0)</f>
        <v/>
      </c>
      <c r="O119" s="6">
        <f>COUNTIF('Internal Book'!$H$2:$H$125,E119)</f>
        <v/>
      </c>
      <c r="P119" s="6">
        <f>COUNTIF('Custodian Statement'!$H$2:$H$125,E119)</f>
        <v/>
      </c>
      <c r="Q119" s="6">
        <f>IF(O119=0,"MISSING IN INTERNAL",IF(P119=0,"MISSING IN CUSTODIAN",IF(AND(D119="Cash",ABS(M119)&gt;Parameters!$B$4),"CASH BREAK",IF(L119&lt;&gt;0,"QUANTITY BREAK",IF(ABS(N119)&gt;Parameters!$B$3,"PRICE BREAK",IF(ABS(M119)&gt;Parameters!$B$4,"MV BREAK","MATCHED"))))))</f>
        <v/>
      </c>
      <c r="R119" s="14">
        <f>IFERROR(INDEX('Break Register'!$B$2:$B$10,MATCH(E119,'Break Register'!$A$2:$A$10,0)),"")</f>
        <v/>
      </c>
      <c r="S119" s="12">
        <f>IF(R119="","",Parameters!$B$2-R119)</f>
        <v/>
      </c>
      <c r="T119" s="6">
        <f>IF(S119="","",IF(S119&lt;=2,"0-2 days",IF(S119&lt;=5,"3-5 days",IF(S119&lt;=10,"6-10 days",IF(S119&lt;=30,"11-30 days","30+ days")))))</f>
        <v/>
      </c>
      <c r="U119" s="6">
        <f>IFERROR(INDEX('Break Register'!$C$2:$C$10,MATCH(E119,'Break Register'!$A$2:$A$10,0)),"")</f>
        <v/>
      </c>
      <c r="V119" s="11">
        <f>ABS(M119)</f>
        <v/>
      </c>
      <c r="W119" s="6">
        <f>IF(Q119="MATCHED",0,1)</f>
        <v/>
      </c>
    </row>
    <row r="120">
      <c r="A120" s="6" t="inlineStr">
        <is>
          <t>MMUS</t>
        </is>
      </c>
      <c r="B120" s="6" t="inlineStr">
        <is>
          <t>BD0076</t>
        </is>
      </c>
      <c r="C120" s="6" t="inlineStr">
        <is>
          <t>Corporate Note Series 16</t>
        </is>
      </c>
      <c r="D120" s="6" t="inlineStr">
        <is>
          <t>Bond</t>
        </is>
      </c>
      <c r="E120" s="6">
        <f>A120&amp;"|"&amp;B120</f>
        <v/>
      </c>
      <c r="F120" s="12">
        <f>IFERROR(INDEX('Internal Book'!$E$2:$E$125,MATCH(E120,'Internal Book'!$H$2:$H$125,0)),0)</f>
        <v/>
      </c>
      <c r="G120" s="13">
        <f>IFERROR(INDEX('Internal Book'!$F$2:$F$125,MATCH(E120,'Internal Book'!$H$2:$H$125,0)),0)</f>
        <v/>
      </c>
      <c r="H120" s="11">
        <f>IFERROR(INDEX('Internal Book'!$G$2:$G$125,MATCH(E120,'Internal Book'!$H$2:$H$125,0)),0)</f>
        <v/>
      </c>
      <c r="I120" s="12">
        <f>IFERROR(INDEX('Custodian Statement'!$E$2:$E$125,MATCH(E120,'Custodian Statement'!$H$2:$H$125,0)),0)</f>
        <v/>
      </c>
      <c r="J120" s="13">
        <f>IFERROR(INDEX('Custodian Statement'!$F$2:$F$125,MATCH(E120,'Custodian Statement'!$H$2:$H$125,0)),0)</f>
        <v/>
      </c>
      <c r="K120" s="11">
        <f>IFERROR(INDEX('Custodian Statement'!$G$2:$G$125,MATCH(E120,'Custodian Statement'!$H$2:$H$125,0)),0)</f>
        <v/>
      </c>
      <c r="L120" s="12">
        <f>F120-I120</f>
        <v/>
      </c>
      <c r="M120" s="11">
        <f>H120-K120</f>
        <v/>
      </c>
      <c r="N120" s="12">
        <f>IFERROR((G120-J120)/J120*10000,0)</f>
        <v/>
      </c>
      <c r="O120" s="6">
        <f>COUNTIF('Internal Book'!$H$2:$H$125,E120)</f>
        <v/>
      </c>
      <c r="P120" s="6">
        <f>COUNTIF('Custodian Statement'!$H$2:$H$125,E120)</f>
        <v/>
      </c>
      <c r="Q120" s="6">
        <f>IF(O120=0,"MISSING IN INTERNAL",IF(P120=0,"MISSING IN CUSTODIAN",IF(AND(D120="Cash",ABS(M120)&gt;Parameters!$B$4),"CASH BREAK",IF(L120&lt;&gt;0,"QUANTITY BREAK",IF(ABS(N120)&gt;Parameters!$B$3,"PRICE BREAK",IF(ABS(M120)&gt;Parameters!$B$4,"MV BREAK","MATCHED"))))))</f>
        <v/>
      </c>
      <c r="R120" s="14">
        <f>IFERROR(INDEX('Break Register'!$B$2:$B$10,MATCH(E120,'Break Register'!$A$2:$A$10,0)),"")</f>
        <v/>
      </c>
      <c r="S120" s="12">
        <f>IF(R120="","",Parameters!$B$2-R120)</f>
        <v/>
      </c>
      <c r="T120" s="6">
        <f>IF(S120="","",IF(S120&lt;=2,"0-2 days",IF(S120&lt;=5,"3-5 days",IF(S120&lt;=10,"6-10 days",IF(S120&lt;=30,"11-30 days","30+ days")))))</f>
        <v/>
      </c>
      <c r="U120" s="6">
        <f>IFERROR(INDEX('Break Register'!$C$2:$C$10,MATCH(E120,'Break Register'!$A$2:$A$10,0)),"")</f>
        <v/>
      </c>
      <c r="V120" s="11">
        <f>ABS(M120)</f>
        <v/>
      </c>
      <c r="W120" s="6">
        <f>IF(Q120="MATCHED",0,1)</f>
        <v/>
      </c>
    </row>
    <row r="121">
      <c r="A121" s="6" t="inlineStr">
        <is>
          <t>MMUS</t>
        </is>
      </c>
      <c r="B121" s="6" t="inlineStr">
        <is>
          <t>BD0077</t>
        </is>
      </c>
      <c r="C121" s="6" t="inlineStr">
        <is>
          <t>Corporate Note Series 17</t>
        </is>
      </c>
      <c r="D121" s="6" t="inlineStr">
        <is>
          <t>Bond</t>
        </is>
      </c>
      <c r="E121" s="6">
        <f>A121&amp;"|"&amp;B121</f>
        <v/>
      </c>
      <c r="F121" s="12">
        <f>IFERROR(INDEX('Internal Book'!$E$2:$E$125,MATCH(E121,'Internal Book'!$H$2:$H$125,0)),0)</f>
        <v/>
      </c>
      <c r="G121" s="13">
        <f>IFERROR(INDEX('Internal Book'!$F$2:$F$125,MATCH(E121,'Internal Book'!$H$2:$H$125,0)),0)</f>
        <v/>
      </c>
      <c r="H121" s="11">
        <f>IFERROR(INDEX('Internal Book'!$G$2:$G$125,MATCH(E121,'Internal Book'!$H$2:$H$125,0)),0)</f>
        <v/>
      </c>
      <c r="I121" s="12">
        <f>IFERROR(INDEX('Custodian Statement'!$E$2:$E$125,MATCH(E121,'Custodian Statement'!$H$2:$H$125,0)),0)</f>
        <v/>
      </c>
      <c r="J121" s="13">
        <f>IFERROR(INDEX('Custodian Statement'!$F$2:$F$125,MATCH(E121,'Custodian Statement'!$H$2:$H$125,0)),0)</f>
        <v/>
      </c>
      <c r="K121" s="11">
        <f>IFERROR(INDEX('Custodian Statement'!$G$2:$G$125,MATCH(E121,'Custodian Statement'!$H$2:$H$125,0)),0)</f>
        <v/>
      </c>
      <c r="L121" s="12">
        <f>F121-I121</f>
        <v/>
      </c>
      <c r="M121" s="11">
        <f>H121-K121</f>
        <v/>
      </c>
      <c r="N121" s="12">
        <f>IFERROR((G121-J121)/J121*10000,0)</f>
        <v/>
      </c>
      <c r="O121" s="6">
        <f>COUNTIF('Internal Book'!$H$2:$H$125,E121)</f>
        <v/>
      </c>
      <c r="P121" s="6">
        <f>COUNTIF('Custodian Statement'!$H$2:$H$125,E121)</f>
        <v/>
      </c>
      <c r="Q121" s="6">
        <f>IF(O121=0,"MISSING IN INTERNAL",IF(P121=0,"MISSING IN CUSTODIAN",IF(AND(D121="Cash",ABS(M121)&gt;Parameters!$B$4),"CASH BREAK",IF(L121&lt;&gt;0,"QUANTITY BREAK",IF(ABS(N121)&gt;Parameters!$B$3,"PRICE BREAK",IF(ABS(M121)&gt;Parameters!$B$4,"MV BREAK","MATCHED"))))))</f>
        <v/>
      </c>
      <c r="R121" s="14">
        <f>IFERROR(INDEX('Break Register'!$B$2:$B$10,MATCH(E121,'Break Register'!$A$2:$A$10,0)),"")</f>
        <v/>
      </c>
      <c r="S121" s="12">
        <f>IF(R121="","",Parameters!$B$2-R121)</f>
        <v/>
      </c>
      <c r="T121" s="6">
        <f>IF(S121="","",IF(S121&lt;=2,"0-2 days",IF(S121&lt;=5,"3-5 days",IF(S121&lt;=10,"6-10 days",IF(S121&lt;=30,"11-30 days","30+ days")))))</f>
        <v/>
      </c>
      <c r="U121" s="6">
        <f>IFERROR(INDEX('Break Register'!$C$2:$C$10,MATCH(E121,'Break Register'!$A$2:$A$10,0)),"")</f>
        <v/>
      </c>
      <c r="V121" s="11">
        <f>ABS(M121)</f>
        <v/>
      </c>
      <c r="W121" s="6">
        <f>IF(Q121="MATCHED",0,1)</f>
        <v/>
      </c>
    </row>
    <row r="122">
      <c r="A122" s="6" t="inlineStr">
        <is>
          <t>MMUS</t>
        </is>
      </c>
      <c r="B122" s="6" t="inlineStr">
        <is>
          <t>BD0078</t>
        </is>
      </c>
      <c r="C122" s="6" t="inlineStr">
        <is>
          <t>Corporate Note Series 18</t>
        </is>
      </c>
      <c r="D122" s="6" t="inlineStr">
        <is>
          <t>Bond</t>
        </is>
      </c>
      <c r="E122" s="6">
        <f>A122&amp;"|"&amp;B122</f>
        <v/>
      </c>
      <c r="F122" s="12">
        <f>IFERROR(INDEX('Internal Book'!$E$2:$E$125,MATCH(E122,'Internal Book'!$H$2:$H$125,0)),0)</f>
        <v/>
      </c>
      <c r="G122" s="13">
        <f>IFERROR(INDEX('Internal Book'!$F$2:$F$125,MATCH(E122,'Internal Book'!$H$2:$H$125,0)),0)</f>
        <v/>
      </c>
      <c r="H122" s="11">
        <f>IFERROR(INDEX('Internal Book'!$G$2:$G$125,MATCH(E122,'Internal Book'!$H$2:$H$125,0)),0)</f>
        <v/>
      </c>
      <c r="I122" s="12">
        <f>IFERROR(INDEX('Custodian Statement'!$E$2:$E$125,MATCH(E122,'Custodian Statement'!$H$2:$H$125,0)),0)</f>
        <v/>
      </c>
      <c r="J122" s="13">
        <f>IFERROR(INDEX('Custodian Statement'!$F$2:$F$125,MATCH(E122,'Custodian Statement'!$H$2:$H$125,0)),0)</f>
        <v/>
      </c>
      <c r="K122" s="11">
        <f>IFERROR(INDEX('Custodian Statement'!$G$2:$G$125,MATCH(E122,'Custodian Statement'!$H$2:$H$125,0)),0)</f>
        <v/>
      </c>
      <c r="L122" s="12">
        <f>F122-I122</f>
        <v/>
      </c>
      <c r="M122" s="11">
        <f>H122-K122</f>
        <v/>
      </c>
      <c r="N122" s="12">
        <f>IFERROR((G122-J122)/J122*10000,0)</f>
        <v/>
      </c>
      <c r="O122" s="6">
        <f>COUNTIF('Internal Book'!$H$2:$H$125,E122)</f>
        <v/>
      </c>
      <c r="P122" s="6">
        <f>COUNTIF('Custodian Statement'!$H$2:$H$125,E122)</f>
        <v/>
      </c>
      <c r="Q122" s="6">
        <f>IF(O122=0,"MISSING IN INTERNAL",IF(P122=0,"MISSING IN CUSTODIAN",IF(AND(D122="Cash",ABS(M122)&gt;Parameters!$B$4),"CASH BREAK",IF(L122&lt;&gt;0,"QUANTITY BREAK",IF(ABS(N122)&gt;Parameters!$B$3,"PRICE BREAK",IF(ABS(M122)&gt;Parameters!$B$4,"MV BREAK","MATCHED"))))))</f>
        <v/>
      </c>
      <c r="R122" s="14">
        <f>IFERROR(INDEX('Break Register'!$B$2:$B$10,MATCH(E122,'Break Register'!$A$2:$A$10,0)),"")</f>
        <v/>
      </c>
      <c r="S122" s="12">
        <f>IF(R122="","",Parameters!$B$2-R122)</f>
        <v/>
      </c>
      <c r="T122" s="6">
        <f>IF(S122="","",IF(S122&lt;=2,"0-2 days",IF(S122&lt;=5,"3-5 days",IF(S122&lt;=10,"6-10 days",IF(S122&lt;=30,"11-30 days","30+ days")))))</f>
        <v/>
      </c>
      <c r="U122" s="6">
        <f>IFERROR(INDEX('Break Register'!$C$2:$C$10,MATCH(E122,'Break Register'!$A$2:$A$10,0)),"")</f>
        <v/>
      </c>
      <c r="V122" s="11">
        <f>ABS(M122)</f>
        <v/>
      </c>
      <c r="W122" s="6">
        <f>IF(Q122="MATCHED",0,1)</f>
        <v/>
      </c>
    </row>
    <row r="123">
      <c r="A123" s="6" t="inlineStr">
        <is>
          <t>MMUS</t>
        </is>
      </c>
      <c r="B123" s="6" t="inlineStr">
        <is>
          <t>BD0080</t>
        </is>
      </c>
      <c r="C123" s="6" t="inlineStr">
        <is>
          <t>Corporate Note Series 20</t>
        </is>
      </c>
      <c r="D123" s="6" t="inlineStr">
        <is>
          <t>Bond</t>
        </is>
      </c>
      <c r="E123" s="6">
        <f>A123&amp;"|"&amp;B123</f>
        <v/>
      </c>
      <c r="F123" s="12">
        <f>IFERROR(INDEX('Internal Book'!$E$2:$E$125,MATCH(E123,'Internal Book'!$H$2:$H$125,0)),0)</f>
        <v/>
      </c>
      <c r="G123" s="13">
        <f>IFERROR(INDEX('Internal Book'!$F$2:$F$125,MATCH(E123,'Internal Book'!$H$2:$H$125,0)),0)</f>
        <v/>
      </c>
      <c r="H123" s="11">
        <f>IFERROR(INDEX('Internal Book'!$G$2:$G$125,MATCH(E123,'Internal Book'!$H$2:$H$125,0)),0)</f>
        <v/>
      </c>
      <c r="I123" s="12">
        <f>IFERROR(INDEX('Custodian Statement'!$E$2:$E$125,MATCH(E123,'Custodian Statement'!$H$2:$H$125,0)),0)</f>
        <v/>
      </c>
      <c r="J123" s="13">
        <f>IFERROR(INDEX('Custodian Statement'!$F$2:$F$125,MATCH(E123,'Custodian Statement'!$H$2:$H$125,0)),0)</f>
        <v/>
      </c>
      <c r="K123" s="11">
        <f>IFERROR(INDEX('Custodian Statement'!$G$2:$G$125,MATCH(E123,'Custodian Statement'!$H$2:$H$125,0)),0)</f>
        <v/>
      </c>
      <c r="L123" s="12">
        <f>F123-I123</f>
        <v/>
      </c>
      <c r="M123" s="11">
        <f>H123-K123</f>
        <v/>
      </c>
      <c r="N123" s="12">
        <f>IFERROR((G123-J123)/J123*10000,0)</f>
        <v/>
      </c>
      <c r="O123" s="6">
        <f>COUNTIF('Internal Book'!$H$2:$H$125,E123)</f>
        <v/>
      </c>
      <c r="P123" s="6">
        <f>COUNTIF('Custodian Statement'!$H$2:$H$125,E123)</f>
        <v/>
      </c>
      <c r="Q123" s="6">
        <f>IF(O123=0,"MISSING IN INTERNAL",IF(P123=0,"MISSING IN CUSTODIAN",IF(AND(D123="Cash",ABS(M123)&gt;Parameters!$B$4),"CASH BREAK",IF(L123&lt;&gt;0,"QUANTITY BREAK",IF(ABS(N123)&gt;Parameters!$B$3,"PRICE BREAK",IF(ABS(M123)&gt;Parameters!$B$4,"MV BREAK","MATCHED"))))))</f>
        <v/>
      </c>
      <c r="R123" s="14">
        <f>IFERROR(INDEX('Break Register'!$B$2:$B$10,MATCH(E123,'Break Register'!$A$2:$A$10,0)),"")</f>
        <v/>
      </c>
      <c r="S123" s="12">
        <f>IF(R123="","",Parameters!$B$2-R123)</f>
        <v/>
      </c>
      <c r="T123" s="6">
        <f>IF(S123="","",IF(S123&lt;=2,"0-2 days",IF(S123&lt;=5,"3-5 days",IF(S123&lt;=10,"6-10 days",IF(S123&lt;=30,"11-30 days","30+ days")))))</f>
        <v/>
      </c>
      <c r="U123" s="6">
        <f>IFERROR(INDEX('Break Register'!$C$2:$C$10,MATCH(E123,'Break Register'!$A$2:$A$10,0)),"")</f>
        <v/>
      </c>
      <c r="V123" s="11">
        <f>ABS(M123)</f>
        <v/>
      </c>
      <c r="W123" s="6">
        <f>IF(Q123="MATCHED",0,1)</f>
        <v/>
      </c>
    </row>
    <row r="124">
      <c r="A124" s="6" t="inlineStr">
        <is>
          <t>MMUS</t>
        </is>
      </c>
      <c r="B124" s="6" t="inlineStr">
        <is>
          <t>CASH_USD_MMUS</t>
        </is>
      </c>
      <c r="C124" s="6" t="inlineStr">
        <is>
          <t>USD Cash</t>
        </is>
      </c>
      <c r="D124" s="6" t="inlineStr">
        <is>
          <t>Cash</t>
        </is>
      </c>
      <c r="E124" s="6">
        <f>A124&amp;"|"&amp;B124</f>
        <v/>
      </c>
      <c r="F124" s="12">
        <f>IFERROR(INDEX('Internal Book'!$E$2:$E$125,MATCH(E124,'Internal Book'!$H$2:$H$125,0)),0)</f>
        <v/>
      </c>
      <c r="G124" s="13">
        <f>IFERROR(INDEX('Internal Book'!$F$2:$F$125,MATCH(E124,'Internal Book'!$H$2:$H$125,0)),0)</f>
        <v/>
      </c>
      <c r="H124" s="11">
        <f>IFERROR(INDEX('Internal Book'!$G$2:$G$125,MATCH(E124,'Internal Book'!$H$2:$H$125,0)),0)</f>
        <v/>
      </c>
      <c r="I124" s="12">
        <f>IFERROR(INDEX('Custodian Statement'!$E$2:$E$125,MATCH(E124,'Custodian Statement'!$H$2:$H$125,0)),0)</f>
        <v/>
      </c>
      <c r="J124" s="13">
        <f>IFERROR(INDEX('Custodian Statement'!$F$2:$F$125,MATCH(E124,'Custodian Statement'!$H$2:$H$125,0)),0)</f>
        <v/>
      </c>
      <c r="K124" s="11">
        <f>IFERROR(INDEX('Custodian Statement'!$G$2:$G$125,MATCH(E124,'Custodian Statement'!$H$2:$H$125,0)),0)</f>
        <v/>
      </c>
      <c r="L124" s="12">
        <f>F124-I124</f>
        <v/>
      </c>
      <c r="M124" s="11">
        <f>H124-K124</f>
        <v/>
      </c>
      <c r="N124" s="12">
        <f>IFERROR((G124-J124)/J124*10000,0)</f>
        <v/>
      </c>
      <c r="O124" s="6">
        <f>COUNTIF('Internal Book'!$H$2:$H$125,E124)</f>
        <v/>
      </c>
      <c r="P124" s="6">
        <f>COUNTIF('Custodian Statement'!$H$2:$H$125,E124)</f>
        <v/>
      </c>
      <c r="Q124" s="6">
        <f>IF(O124=0,"MISSING IN INTERNAL",IF(P124=0,"MISSING IN CUSTODIAN",IF(AND(D124="Cash",ABS(M124)&gt;Parameters!$B$4),"CASH BREAK",IF(L124&lt;&gt;0,"QUANTITY BREAK",IF(ABS(N124)&gt;Parameters!$B$3,"PRICE BREAK",IF(ABS(M124)&gt;Parameters!$B$4,"MV BREAK","MATCHED"))))))</f>
        <v/>
      </c>
      <c r="R124" s="14">
        <f>IFERROR(INDEX('Break Register'!$B$2:$B$10,MATCH(E124,'Break Register'!$A$2:$A$10,0)),"")</f>
        <v/>
      </c>
      <c r="S124" s="12">
        <f>IF(R124="","",Parameters!$B$2-R124)</f>
        <v/>
      </c>
      <c r="T124" s="6">
        <f>IF(S124="","",IF(S124&lt;=2,"0-2 days",IF(S124&lt;=5,"3-5 days",IF(S124&lt;=10,"6-10 days",IF(S124&lt;=30,"11-30 days","30+ days")))))</f>
        <v/>
      </c>
      <c r="U124" s="6">
        <f>IFERROR(INDEX('Break Register'!$C$2:$C$10,MATCH(E124,'Break Register'!$A$2:$A$10,0)),"")</f>
        <v/>
      </c>
      <c r="V124" s="11">
        <f>ABS(M124)</f>
        <v/>
      </c>
      <c r="W124" s="6">
        <f>IF(Q124="MATCHED",0,1)</f>
        <v/>
      </c>
    </row>
    <row r="125">
      <c r="A125" s="6" t="inlineStr">
        <is>
          <t>MMUS</t>
        </is>
      </c>
      <c r="B125" s="6" t="inlineStr">
        <is>
          <t>ET0082</t>
        </is>
      </c>
      <c r="C125" s="6" t="inlineStr">
        <is>
          <t>Vanguard S&amp;P 500</t>
        </is>
      </c>
      <c r="D125" s="6" t="inlineStr">
        <is>
          <t>ETF</t>
        </is>
      </c>
      <c r="E125" s="6">
        <f>A125&amp;"|"&amp;B125</f>
        <v/>
      </c>
      <c r="F125" s="12">
        <f>IFERROR(INDEX('Internal Book'!$E$2:$E$125,MATCH(E125,'Internal Book'!$H$2:$H$125,0)),0)</f>
        <v/>
      </c>
      <c r="G125" s="13">
        <f>IFERROR(INDEX('Internal Book'!$F$2:$F$125,MATCH(E125,'Internal Book'!$H$2:$H$125,0)),0)</f>
        <v/>
      </c>
      <c r="H125" s="11">
        <f>IFERROR(INDEX('Internal Book'!$G$2:$G$125,MATCH(E125,'Internal Book'!$H$2:$H$125,0)),0)</f>
        <v/>
      </c>
      <c r="I125" s="12">
        <f>IFERROR(INDEX('Custodian Statement'!$E$2:$E$125,MATCH(E125,'Custodian Statement'!$H$2:$H$125,0)),0)</f>
        <v/>
      </c>
      <c r="J125" s="13">
        <f>IFERROR(INDEX('Custodian Statement'!$F$2:$F$125,MATCH(E125,'Custodian Statement'!$H$2:$H$125,0)),0)</f>
        <v/>
      </c>
      <c r="K125" s="11">
        <f>IFERROR(INDEX('Custodian Statement'!$G$2:$G$125,MATCH(E125,'Custodian Statement'!$H$2:$H$125,0)),0)</f>
        <v/>
      </c>
      <c r="L125" s="12">
        <f>F125-I125</f>
        <v/>
      </c>
      <c r="M125" s="11">
        <f>H125-K125</f>
        <v/>
      </c>
      <c r="N125" s="12">
        <f>IFERROR((G125-J125)/J125*10000,0)</f>
        <v/>
      </c>
      <c r="O125" s="6">
        <f>COUNTIF('Internal Book'!$H$2:$H$125,E125)</f>
        <v/>
      </c>
      <c r="P125" s="6">
        <f>COUNTIF('Custodian Statement'!$H$2:$H$125,E125)</f>
        <v/>
      </c>
      <c r="Q125" s="6">
        <f>IF(O125=0,"MISSING IN INTERNAL",IF(P125=0,"MISSING IN CUSTODIAN",IF(AND(D125="Cash",ABS(M125)&gt;Parameters!$B$4),"CASH BREAK",IF(L125&lt;&gt;0,"QUANTITY BREAK",IF(ABS(N125)&gt;Parameters!$B$3,"PRICE BREAK",IF(ABS(M125)&gt;Parameters!$B$4,"MV BREAK","MATCHED"))))))</f>
        <v/>
      </c>
      <c r="R125" s="14">
        <f>IFERROR(INDEX('Break Register'!$B$2:$B$10,MATCH(E125,'Break Register'!$A$2:$A$10,0)),"")</f>
        <v/>
      </c>
      <c r="S125" s="12">
        <f>IF(R125="","",Parameters!$B$2-R125)</f>
        <v/>
      </c>
      <c r="T125" s="6">
        <f>IF(S125="","",IF(S125&lt;=2,"0-2 days",IF(S125&lt;=5,"3-5 days",IF(S125&lt;=10,"6-10 days",IF(S125&lt;=30,"11-30 days","30+ days")))))</f>
        <v/>
      </c>
      <c r="U125" s="6">
        <f>IFERROR(INDEX('Break Register'!$C$2:$C$10,MATCH(E125,'Break Register'!$A$2:$A$10,0)),"")</f>
        <v/>
      </c>
      <c r="V125" s="11">
        <f>ABS(M125)</f>
        <v/>
      </c>
      <c r="W125" s="6">
        <f>IF(Q125="MATCHED",0,1)</f>
        <v/>
      </c>
    </row>
    <row r="126">
      <c r="A126" s="6" t="inlineStr">
        <is>
          <t>MMUS</t>
        </is>
      </c>
      <c r="B126" s="6" t="inlineStr">
        <is>
          <t>ET0083</t>
        </is>
      </c>
      <c r="C126" s="6" t="inlineStr">
        <is>
          <t>SPDR Gold Shares</t>
        </is>
      </c>
      <c r="D126" s="6" t="inlineStr">
        <is>
          <t>ETF</t>
        </is>
      </c>
      <c r="E126" s="6">
        <f>A126&amp;"|"&amp;B126</f>
        <v/>
      </c>
      <c r="F126" s="12">
        <f>IFERROR(INDEX('Internal Book'!$E$2:$E$125,MATCH(E126,'Internal Book'!$H$2:$H$125,0)),0)</f>
        <v/>
      </c>
      <c r="G126" s="13">
        <f>IFERROR(INDEX('Internal Book'!$F$2:$F$125,MATCH(E126,'Internal Book'!$H$2:$H$125,0)),0)</f>
        <v/>
      </c>
      <c r="H126" s="11">
        <f>IFERROR(INDEX('Internal Book'!$G$2:$G$125,MATCH(E126,'Internal Book'!$H$2:$H$125,0)),0)</f>
        <v/>
      </c>
      <c r="I126" s="12">
        <f>IFERROR(INDEX('Custodian Statement'!$E$2:$E$125,MATCH(E126,'Custodian Statement'!$H$2:$H$125,0)),0)</f>
        <v/>
      </c>
      <c r="J126" s="13">
        <f>IFERROR(INDEX('Custodian Statement'!$F$2:$F$125,MATCH(E126,'Custodian Statement'!$H$2:$H$125,0)),0)</f>
        <v/>
      </c>
      <c r="K126" s="11">
        <f>IFERROR(INDEX('Custodian Statement'!$G$2:$G$125,MATCH(E126,'Custodian Statement'!$H$2:$H$125,0)),0)</f>
        <v/>
      </c>
      <c r="L126" s="12">
        <f>F126-I126</f>
        <v/>
      </c>
      <c r="M126" s="11">
        <f>H126-K126</f>
        <v/>
      </c>
      <c r="N126" s="12">
        <f>IFERROR((G126-J126)/J126*10000,0)</f>
        <v/>
      </c>
      <c r="O126" s="6">
        <f>COUNTIF('Internal Book'!$H$2:$H$125,E126)</f>
        <v/>
      </c>
      <c r="P126" s="6">
        <f>COUNTIF('Custodian Statement'!$H$2:$H$125,E126)</f>
        <v/>
      </c>
      <c r="Q126" s="6">
        <f>IF(O126=0,"MISSING IN INTERNAL",IF(P126=0,"MISSING IN CUSTODIAN",IF(AND(D126="Cash",ABS(M126)&gt;Parameters!$B$4),"CASH BREAK",IF(L126&lt;&gt;0,"QUANTITY BREAK",IF(ABS(N126)&gt;Parameters!$B$3,"PRICE BREAK",IF(ABS(M126)&gt;Parameters!$B$4,"MV BREAK","MATCHED"))))))</f>
        <v/>
      </c>
      <c r="R126" s="14">
        <f>IFERROR(INDEX('Break Register'!$B$2:$B$10,MATCH(E126,'Break Register'!$A$2:$A$10,0)),"")</f>
        <v/>
      </c>
      <c r="S126" s="12">
        <f>IF(R126="","",Parameters!$B$2-R126)</f>
        <v/>
      </c>
      <c r="T126" s="6">
        <f>IF(S126="","",IF(S126&lt;=2,"0-2 days",IF(S126&lt;=5,"3-5 days",IF(S126&lt;=10,"6-10 days",IF(S126&lt;=30,"11-30 days","30+ days")))))</f>
        <v/>
      </c>
      <c r="U126" s="6">
        <f>IFERROR(INDEX('Break Register'!$C$2:$C$10,MATCH(E126,'Break Register'!$A$2:$A$10,0)),"")</f>
        <v/>
      </c>
      <c r="V126" s="11">
        <f>ABS(M126)</f>
        <v/>
      </c>
      <c r="W126" s="6">
        <f>IF(Q126="MATCHED",0,1)</f>
        <v/>
      </c>
    </row>
    <row r="127">
      <c r="A127" s="6" t="inlineStr">
        <is>
          <t>MMUS</t>
        </is>
      </c>
      <c r="B127" s="6" t="inlineStr">
        <is>
          <t>ET0084</t>
        </is>
      </c>
      <c r="C127" s="6" t="inlineStr">
        <is>
          <t>iShares EUR Corp Bond</t>
        </is>
      </c>
      <c r="D127" s="6" t="inlineStr">
        <is>
          <t>ETF</t>
        </is>
      </c>
      <c r="E127" s="6">
        <f>A127&amp;"|"&amp;B127</f>
        <v/>
      </c>
      <c r="F127" s="12">
        <f>IFERROR(INDEX('Internal Book'!$E$2:$E$125,MATCH(E127,'Internal Book'!$H$2:$H$125,0)),0)</f>
        <v/>
      </c>
      <c r="G127" s="13">
        <f>IFERROR(INDEX('Internal Book'!$F$2:$F$125,MATCH(E127,'Internal Book'!$H$2:$H$125,0)),0)</f>
        <v/>
      </c>
      <c r="H127" s="11">
        <f>IFERROR(INDEX('Internal Book'!$G$2:$G$125,MATCH(E127,'Internal Book'!$H$2:$H$125,0)),0)</f>
        <v/>
      </c>
      <c r="I127" s="12">
        <f>IFERROR(INDEX('Custodian Statement'!$E$2:$E$125,MATCH(E127,'Custodian Statement'!$H$2:$H$125,0)),0)</f>
        <v/>
      </c>
      <c r="J127" s="13">
        <f>IFERROR(INDEX('Custodian Statement'!$F$2:$F$125,MATCH(E127,'Custodian Statement'!$H$2:$H$125,0)),0)</f>
        <v/>
      </c>
      <c r="K127" s="11">
        <f>IFERROR(INDEX('Custodian Statement'!$G$2:$G$125,MATCH(E127,'Custodian Statement'!$H$2:$H$125,0)),0)</f>
        <v/>
      </c>
      <c r="L127" s="12">
        <f>F127-I127</f>
        <v/>
      </c>
      <c r="M127" s="11">
        <f>H127-K127</f>
        <v/>
      </c>
      <c r="N127" s="12">
        <f>IFERROR((G127-J127)/J127*10000,0)</f>
        <v/>
      </c>
      <c r="O127" s="6">
        <f>COUNTIF('Internal Book'!$H$2:$H$125,E127)</f>
        <v/>
      </c>
      <c r="P127" s="6">
        <f>COUNTIF('Custodian Statement'!$H$2:$H$125,E127)</f>
        <v/>
      </c>
      <c r="Q127" s="6">
        <f>IF(O127=0,"MISSING IN INTERNAL",IF(P127=0,"MISSING IN CUSTODIAN",IF(AND(D127="Cash",ABS(M127)&gt;Parameters!$B$4),"CASH BREAK",IF(L127&lt;&gt;0,"QUANTITY BREAK",IF(ABS(N127)&gt;Parameters!$B$3,"PRICE BREAK",IF(ABS(M127)&gt;Parameters!$B$4,"MV BREAK","MATCHED"))))))</f>
        <v/>
      </c>
      <c r="R127" s="14">
        <f>IFERROR(INDEX('Break Register'!$B$2:$B$10,MATCH(E127,'Break Register'!$A$2:$A$10,0)),"")</f>
        <v/>
      </c>
      <c r="S127" s="12">
        <f>IF(R127="","",Parameters!$B$2-R127)</f>
        <v/>
      </c>
      <c r="T127" s="6">
        <f>IF(S127="","",IF(S127&lt;=2,"0-2 days",IF(S127&lt;=5,"3-5 days",IF(S127&lt;=10,"6-10 days",IF(S127&lt;=30,"11-30 days","30+ days")))))</f>
        <v/>
      </c>
      <c r="U127" s="6">
        <f>IFERROR(INDEX('Break Register'!$C$2:$C$10,MATCH(E127,'Break Register'!$A$2:$A$10,0)),"")</f>
        <v/>
      </c>
      <c r="V127" s="11">
        <f>ABS(M127)</f>
        <v/>
      </c>
      <c r="W127" s="6">
        <f>IF(Q127="MATCHED",0,1)</f>
        <v/>
      </c>
    </row>
  </sheetData>
  <conditionalFormatting sqref="Q2:Q127">
    <cfRule type="expression" priority="1" dxfId="0">
      <formula>AND($Q2&lt;&gt;"MATCHED",$Q2&lt;&gt;"")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2" customWidth="1" min="5" max="5"/>
    <col width="4" customWidth="1" min="6" max="6"/>
    <col width="16" customWidth="1" min="7" max="7"/>
    <col width="10" customWidth="1" min="8" max="8"/>
  </cols>
  <sheetData>
    <row r="1">
      <c r="A1" s="1" t="inlineStr">
        <is>
          <t>Reconciliation Dashboard</t>
        </is>
      </c>
    </row>
    <row r="2">
      <c r="A2" s="2" t="inlineStr">
        <is>
          <t>As-of 30 Jun 2026   |   4 funds   |   internal book vs custodian</t>
        </is>
      </c>
    </row>
    <row r="4">
      <c r="A4" s="15" t="inlineStr">
        <is>
          <t>Positions reconciled</t>
        </is>
      </c>
      <c r="C4" s="15" t="inlineStr">
        <is>
          <t>Open breaks</t>
        </is>
      </c>
      <c r="E4" s="15" t="inlineStr">
        <is>
          <t>Match rate</t>
        </is>
      </c>
      <c r="G4" s="15" t="inlineStr">
        <is>
          <t>Break MV exposure</t>
        </is>
      </c>
    </row>
    <row r="5">
      <c r="A5" s="16">
        <f>COUNTA('Reconciliation'!$E$2:$E$127)</f>
        <v/>
      </c>
      <c r="C5" s="16">
        <f>SUM('Reconciliation'!$W$2:$W$127)</f>
        <v/>
      </c>
      <c r="E5" s="17">
        <f>1-SUM('Reconciliation'!$W$2:$W$127)/COUNTA('Reconciliation'!$E$2:$E$127)</f>
        <v/>
      </c>
      <c r="G5" s="18">
        <f>SUMIFS('Reconciliation'!$V$2:$V$127,'Reconciliation'!$W$2:$W$127,1)</f>
        <v/>
      </c>
    </row>
    <row r="8">
      <c r="A8" s="4" t="inlineStr">
        <is>
          <t>Breaks by type</t>
        </is>
      </c>
      <c r="D8" s="4" t="inlineStr">
        <is>
          <t>Break aging</t>
        </is>
      </c>
      <c r="G8" s="4" t="inlineStr">
        <is>
          <t>Breaks by fund</t>
        </is>
      </c>
    </row>
    <row r="9">
      <c r="A9" s="19" t="inlineStr">
        <is>
          <t>Type</t>
        </is>
      </c>
      <c r="B9" s="19" t="inlineStr">
        <is>
          <t>Count</t>
        </is>
      </c>
      <c r="D9" s="19" t="inlineStr">
        <is>
          <t>Age bucket</t>
        </is>
      </c>
      <c r="E9" s="19" t="inlineStr">
        <is>
          <t>Count</t>
        </is>
      </c>
      <c r="G9" s="19" t="inlineStr">
        <is>
          <t>Fund</t>
        </is>
      </c>
      <c r="H9" s="19" t="inlineStr">
        <is>
          <t>Breaks</t>
        </is>
      </c>
    </row>
    <row r="10">
      <c r="A10" s="3" t="inlineStr">
        <is>
          <t>MISSING IN INTERNAL</t>
        </is>
      </c>
      <c r="B10" s="20">
        <f>COUNTIF('Reconciliation'!$Q$2:$Q$127,"MISSING IN INTERNAL")</f>
        <v/>
      </c>
      <c r="D10" s="3" t="inlineStr">
        <is>
          <t>0-2 days</t>
        </is>
      </c>
      <c r="E10" s="20">
        <f>COUNTIF('Reconciliation'!$T$2:$T$127,"0-2 days")</f>
        <v/>
      </c>
      <c r="G10" s="3" t="inlineStr">
        <is>
          <t>EQGL</t>
        </is>
      </c>
      <c r="H10" s="20">
        <f>SUMIFS('Reconciliation'!$W$2:$W$127,'Reconciliation'!$A$2:$A$127,G10)</f>
        <v/>
      </c>
    </row>
    <row r="11">
      <c r="A11" s="3" t="inlineStr">
        <is>
          <t>MISSING IN CUSTODIAN</t>
        </is>
      </c>
      <c r="B11" s="20">
        <f>COUNTIF('Reconciliation'!$Q$2:$Q$127,"MISSING IN CUSTODIAN")</f>
        <v/>
      </c>
      <c r="D11" s="3" t="inlineStr">
        <is>
          <t>3-5 days</t>
        </is>
      </c>
      <c r="E11" s="20">
        <f>COUNTIF('Reconciliation'!$T$2:$T$127,"3-5 days")</f>
        <v/>
      </c>
      <c r="G11" s="3" t="inlineStr">
        <is>
          <t>FIIG</t>
        </is>
      </c>
      <c r="H11" s="20">
        <f>SUMIFS('Reconciliation'!$W$2:$W$127,'Reconciliation'!$A$2:$A$127,G11)</f>
        <v/>
      </c>
    </row>
    <row r="12">
      <c r="A12" s="3" t="inlineStr">
        <is>
          <t>QUANTITY BREAK</t>
        </is>
      </c>
      <c r="B12" s="20">
        <f>COUNTIF('Reconciliation'!$Q$2:$Q$127,"QUANTITY BREAK")</f>
        <v/>
      </c>
      <c r="D12" s="3" t="inlineStr">
        <is>
          <t>6-10 days</t>
        </is>
      </c>
      <c r="E12" s="20">
        <f>COUNTIF('Reconciliation'!$T$2:$T$127,"6-10 days")</f>
        <v/>
      </c>
      <c r="G12" s="3" t="inlineStr">
        <is>
          <t>BALM</t>
        </is>
      </c>
      <c r="H12" s="20">
        <f>SUMIFS('Reconciliation'!$W$2:$W$127,'Reconciliation'!$A$2:$A$127,G12)</f>
        <v/>
      </c>
    </row>
    <row r="13">
      <c r="A13" s="3" t="inlineStr">
        <is>
          <t>PRICE BREAK</t>
        </is>
      </c>
      <c r="B13" s="20">
        <f>COUNTIF('Reconciliation'!$Q$2:$Q$127,"PRICE BREAK")</f>
        <v/>
      </c>
      <c r="D13" s="3" t="inlineStr">
        <is>
          <t>11-30 days</t>
        </is>
      </c>
      <c r="E13" s="20">
        <f>COUNTIF('Reconciliation'!$T$2:$T$127,"11-30 days")</f>
        <v/>
      </c>
      <c r="G13" s="3" t="inlineStr">
        <is>
          <t>MMUS</t>
        </is>
      </c>
      <c r="H13" s="20">
        <f>SUMIFS('Reconciliation'!$W$2:$W$127,'Reconciliation'!$A$2:$A$127,G13)</f>
        <v/>
      </c>
    </row>
    <row r="14">
      <c r="A14" s="3" t="inlineStr">
        <is>
          <t>CASH BREAK</t>
        </is>
      </c>
      <c r="B14" s="20">
        <f>COUNTIF('Reconciliation'!$Q$2:$Q$127,"CASH BREAK")</f>
        <v/>
      </c>
      <c r="D14" s="3" t="inlineStr">
        <is>
          <t>30+ days</t>
        </is>
      </c>
      <c r="E14" s="20">
        <f>COUNTIF('Reconciliation'!$T$2:$T$127,"30+ days")</f>
        <v/>
      </c>
    </row>
    <row r="15">
      <c r="A15" s="3" t="inlineStr">
        <is>
          <t>MV BREAK</t>
        </is>
      </c>
      <c r="B15" s="20">
        <f>COUNTIF('Reconciliation'!$Q$2:$Q$127,"MV BREAK")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Chintamani Deogaonkar</dc:creator>
  <cp:lastModifiedBy>Chintamani Deogaonkar</cp:lastModifiedBy>
</cp:coreProperties>
</file>